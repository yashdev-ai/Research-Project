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wanthgollapudi/Desktop/RA/"/>
    </mc:Choice>
  </mc:AlternateContent>
  <xr:revisionPtr revIDLastSave="0" documentId="13_ncr:1_{CEFE7B90-8E5E-9946-8B59-ADCAF87202C4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All Answers" sheetId="1" r:id="rId1"/>
    <sheet name="Community Colleges" sheetId="2" r:id="rId2"/>
    <sheet name="dummy" sheetId="3" r:id="rId3"/>
  </sheets>
  <definedNames>
    <definedName name="_xlnm._FilterDatabase" localSheetId="0" hidden="1">'All Answers'!$A$1:$BG$652</definedName>
    <definedName name="_xlnm._FilterDatabase" localSheetId="1" hidden="1">'Community Colleges'!$A$1:$AY$32</definedName>
    <definedName name="_xlnm._FilterDatabase" localSheetId="2" hidden="1">dummy!$A$2:$AY$32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3" l="1"/>
  <c r="B32" i="3"/>
  <c r="C32" i="3"/>
  <c r="D32" i="3"/>
  <c r="E32" i="3"/>
  <c r="F32" i="3"/>
  <c r="G32" i="3"/>
  <c r="H32" i="3"/>
  <c r="P32" i="3"/>
  <c r="Q32" i="3"/>
  <c r="R32" i="3"/>
  <c r="X32" i="3"/>
  <c r="Y32" i="3"/>
  <c r="Z32" i="3"/>
  <c r="AA32" i="3"/>
  <c r="AB32" i="3"/>
  <c r="AC32" i="3"/>
  <c r="AK32" i="3"/>
  <c r="AL32" i="3"/>
  <c r="AM32" i="3"/>
  <c r="AN32" i="3"/>
  <c r="AD36" i="2"/>
  <c r="AD35" i="2"/>
  <c r="AD34" i="2"/>
  <c r="O34" i="2"/>
  <c r="L34" i="2"/>
  <c r="U34" i="2"/>
  <c r="R34" i="2"/>
  <c r="A5" i="2"/>
  <c r="A4" i="2"/>
</calcChain>
</file>

<file path=xl/sharedStrings.xml><?xml version="1.0" encoding="utf-8"?>
<sst xmlns="http://schemas.openxmlformats.org/spreadsheetml/2006/main" count="30516" uniqueCount="2688">
  <si>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</si>
  <si>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</si>
  <si>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</si>
  <si>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</si>
  <si>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</si>
  <si>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</si>
  <si>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</si>
  <si>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</si>
  <si>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</si>
  <si>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</si>
  <si>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</si>
  <si>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</si>
  <si>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</si>
  <si>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</si>
  <si>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</si>
  <si>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</si>
  <si>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</si>
  <si>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9_1</t>
  </si>
  <si>
    <t>9_2</t>
  </si>
  <si>
    <t>9_3</t>
  </si>
  <si>
    <t>9_4</t>
  </si>
  <si>
    <t>9_5</t>
  </si>
  <si>
    <t>9_6</t>
  </si>
  <si>
    <t>9_7</t>
  </si>
  <si>
    <t>14_1</t>
  </si>
  <si>
    <t>14_2</t>
  </si>
  <si>
    <t>14_3</t>
  </si>
  <si>
    <t>14_4</t>
  </si>
  <si>
    <t>14_5</t>
  </si>
  <si>
    <t>21_1</t>
  </si>
  <si>
    <t>21_2</t>
  </si>
  <si>
    <t>21_3</t>
  </si>
  <si>
    <t>21_4</t>
  </si>
  <si>
    <t>21_5</t>
  </si>
  <si>
    <t>21_6</t>
  </si>
  <si>
    <t>21_7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</si>
  <si>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</si>
  <si>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</si>
  <si>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</si>
  <si>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</si>
  <si>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</si>
  <si>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</si>
  <si>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</si>
  <si>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</si>
  <si>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</si>
  <si>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</si>
  <si>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</si>
  <si>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</si>
  <si>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</si>
  <si>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</si>
  <si>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As of today, are you attending college full-time or part-time?</t>
  </si>
  <si>
    <t>How many years have you been in college (only include years where you had an active student status)?</t>
  </si>
  <si>
    <t>Thinking about your last academic year, which of the following best describes your grades?</t>
  </si>
  <si>
    <t>Which of the following ways do you pay for the expenses associated with attending college? (check all that apply)</t>
  </si>
  <si>
    <t>In the last year, did a parent or guardian claim you as a “dependent” for tax purposes?</t>
  </si>
  <si>
    <t>Do you know someone that is or has been in a homeless situation while attending a community college?</t>
  </si>
  <si>
    <t>Have you been refused housing (rental) based on your source of income?</t>
  </si>
  <si>
    <t>Have you attempted to apply for housing and been declined based on your source of income?</t>
  </si>
  <si>
    <t>In the past 12 months, did you experience any of the following? - Did not pay or underpay your rent/mortgage?</t>
  </si>
  <si>
    <t>In the past 12 months, did you experience any of the following? - Receive a summons to appear in housing court?</t>
  </si>
  <si>
    <t>In the past 12 months, did you experience any of the following? - Not pay the full amount of a gas, oil, or electricity bill?</t>
  </si>
  <si>
    <t>In the past 12 months, did you experience any of the following? - Borrow money from friends or family to help pay bills?</t>
  </si>
  <si>
    <t>In the past 12 months, did you experience any of the following? - Have an account default or go into collections?</t>
  </si>
  <si>
    <t>In the past 12 months, did you experience any of the following? - Move in with other people, even for a little while, because of financial problems?</t>
  </si>
  <si>
    <t>In the past 12 months, did you experience any of the following? - Live with others beyond the expected capacity of the house or apartment?</t>
  </si>
  <si>
    <t>In the past 12 months, was there a rent or mortgage increase that made it difficult to pay?</t>
  </si>
  <si>
    <t>In the past 12 months, how many times have you moved?</t>
  </si>
  <si>
    <t>In the past 12 months, did you couch surf – that is, moved from one temporary housing arrangement to another because you had no other place to live?</t>
  </si>
  <si>
    <t>The following items are rated on a 5-point scale, ranging from 1 (strongly disagree) to 5 (strongly agree) - I meet the official performance requirements expected out of a student.</t>
  </si>
  <si>
    <t>The following items are rated on a 5-point scale, ranging from 1 (strongly disagree) to 5 (strongly agree) - I adequately complete assigned duties.</t>
  </si>
  <si>
    <t>The following items are rated on a 5-point scale, ranging from 1 (strongly disagree) to 5 (strongly agree) - I fulfill responsibilities specified (e.g., study, homework, readings, papers) in my courses.</t>
  </si>
  <si>
    <t>The following items are rated on a 5-point scale, ranging from 1 (strongly disagree) to 5 (strongly agree) - I perform tasks that are expected of me.</t>
  </si>
  <si>
    <t>The following items are rated on a 5-point scale, ranging from 1 (strongly disagree) to 5 (strongly agree) - My performance is beyond the demands in my course.</t>
  </si>
  <si>
    <t>At birth, what sex were you assigned on your birth certificate?</t>
  </si>
  <si>
    <t>Currently, how do you describe yourself?</t>
  </si>
  <si>
    <t>In what year were you born?</t>
  </si>
  <si>
    <t>Are you a U.S. citizen or permanent resident?</t>
  </si>
  <si>
    <t>Have you ever served in the U.S. Armed Forces, military Reserves, or National Guard?</t>
  </si>
  <si>
    <t>How do you usually describe your race and/or ethnicity?</t>
  </si>
  <si>
    <t>Do you have any of the following disabilities or medical conditions? (Mark Yes or No for each item) - Learning disability (dyslexia, etc.)</t>
  </si>
  <si>
    <t>Do you have any of the following disabilities or medical conditions? (Mark Yes or No for each item) - Attention deficit hyperactivity disorder (ADHD)</t>
  </si>
  <si>
    <t>Do you have any of the following disabilities or medical conditions? (Mark Yes or No for each item) - Autism spectrum disorder</t>
  </si>
  <si>
    <t>Do you have any of the following disabilities or medical conditions? (Mark Yes or No for each item) - Physical disability (speech, sight, mobility, hearing, etc.)</t>
  </si>
  <si>
    <t>Do you have any of the following disabilities or medical conditions? (Mark Yes or No for each item) - Chronic illness (cancer, diabetes, autoimmune disorders, etc.)</t>
  </si>
  <si>
    <t>Do you have any of the following disabilities or medical conditions? (Mark Yes or No for each item) - Psychological disorder (depression, etc.)</t>
  </si>
  <si>
    <t>Do you have any of the following disabilities or medical conditions? (Mark Yes or No for each item) - Other</t>
  </si>
  <si>
    <t>How would you describe your current relationship status?</t>
  </si>
  <si>
    <t>Have you ever been in foster care?</t>
  </si>
  <si>
    <t>Please provide the name of the community college you attended.</t>
  </si>
  <si>
    <t>E-mail (this e-mail will be used to distribute your giftcard)</t>
  </si>
  <si>
    <t>We would like to follow-up with you on your responses with an interview. The interview will take a maximum of 30-45 minutes. As a result of COVID-19, we will conduct interviews via a teleconference tool.  For your participation in the interview, you will receive a $25 gift-card to Wal-Mart. Are you willing to participate in a follow-up interview?</t>
  </si>
  <si>
    <t>Please provide us with your name, an e-mail address and/or contact number.</t>
  </si>
  <si>
    <t>{"ImportId":"startDate","timeZone":"America/Denver"}</t>
  </si>
  <si>
    <t>{"ImportId":"endDate","timeZone":"America/Denver"}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</si>
  <si>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</si>
  <si>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</si>
  <si>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</si>
  <si>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</si>
  <si>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</si>
  <si>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{"ImportId":"recordedDate","timeZone":"America/Denver"}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</si>
  <si>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</si>
  <si>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</si>
  <si>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</si>
  <si>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</si>
  <si>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</si>
  <si>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</si>
  <si>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</si>
  <si>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</si>
  <si>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</si>
  <si>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{"ImportId":"QID6"}</t>
  </si>
  <si>
    <t>{"ImportId":"QID7"}</t>
  </si>
  <si>
    <t>{"ImportId":"QID8"}</t>
  </si>
  <si>
    <t>{"ImportId":"QID9"}</t>
  </si>
  <si>
    <t>{"ImportId":"QID10"}</t>
  </si>
  <si>
    <t>{"ImportId":"QID4"}</t>
  </si>
  <si>
    <t>{"ImportId":"QID15"}</t>
  </si>
  <si>
    <t>{"ImportId":"QID30"}</t>
  </si>
  <si>
    <t>{"ImportId":"QID11_1"}</t>
  </si>
  <si>
    <t>{"ImportId":"QID11_2"}</t>
  </si>
  <si>
    <t>{"ImportId":"QID11_3"}</t>
  </si>
  <si>
    <t>{"ImportId":"QID11_4"}</t>
  </si>
  <si>
    <t>{"ImportId":"QID11_5"}</t>
  </si>
  <si>
    <t>{"ImportId":"QID11_6"}</t>
  </si>
  <si>
    <t>{"ImportId":"QID11_7"}</t>
  </si>
  <si>
    <t>{"ImportId":"QID13"}</t>
  </si>
  <si>
    <t>{"ImportId":"QID12_TEXT"}</t>
  </si>
  <si>
    <t>{"ImportId":"QID14"}</t>
  </si>
  <si>
    <t>{"ImportId":"QID17_1"}</t>
  </si>
  <si>
    <t>{"ImportId":"QID17_2"}</t>
  </si>
  <si>
    <t>{"ImportId":"QID17_3"}</t>
  </si>
  <si>
    <t>{"ImportId":"QID17_4"}</t>
  </si>
  <si>
    <t>{"ImportId":"QID17_5"}</t>
  </si>
  <si>
    <t>{"ImportId":"QID18"}</t>
  </si>
  <si>
    <t>{"ImportId":"QID19"}</t>
  </si>
  <si>
    <t>{"ImportId":"QID20_TEXT"}</t>
  </si>
  <si>
    <t>{"ImportId":"QID21"}</t>
  </si>
  <si>
    <t>{"ImportId":"QID22"}</t>
  </si>
  <si>
    <t>{"ImportId":"QID23"}</t>
  </si>
  <si>
    <t>{"ImportId":"QID24_1"}</t>
  </si>
  <si>
    <t>{"ImportId":"QID24_2"}</t>
  </si>
  <si>
    <t>{"ImportId":"QID24_3"}</t>
  </si>
  <si>
    <t>{"ImportId":"QID24_4"}</t>
  </si>
  <si>
    <t>{"ImportId":"QID24_5"}</t>
  </si>
  <si>
    <t>{"ImportId":"QID24_6"}</t>
  </si>
  <si>
    <t>{"ImportId":"QID24_7"}</t>
  </si>
  <si>
    <t>{"ImportId":"QID25"}</t>
  </si>
  <si>
    <t>{"ImportId":"QID26"}</t>
  </si>
  <si>
    <t>{"ImportId":"QID31_TEXT"}</t>
  </si>
  <si>
    <t>{"ImportId":"QID32_TEXT"}</t>
  </si>
  <si>
    <t>{"ImportId":"QID27"}</t>
  </si>
  <si>
    <t>{"ImportId":"QID28_TEXT"}</t>
  </si>
  <si>
    <t>104.6.164.250</t>
  </si>
  <si>
    <t>R_1Lh6Q718027QvW2</t>
  </si>
  <si>
    <t>anonymous</t>
  </si>
  <si>
    <t>EN</t>
  </si>
  <si>
    <t>No - Part-time (less than 12 credits)</t>
  </si>
  <si>
    <t>5 years or more</t>
  </si>
  <si>
    <t>A</t>
  </si>
  <si>
    <t>A job that isn’t work-study (including self-employment),Student loans,Stipend or fellowship,Help from family or friends</t>
  </si>
  <si>
    <t>No</t>
  </si>
  <si>
    <t>Yes</t>
  </si>
  <si>
    <t>none</t>
  </si>
  <si>
    <t>Strongly Agree</t>
  </si>
  <si>
    <t>Agree</t>
  </si>
  <si>
    <t>Disagree</t>
  </si>
  <si>
    <t>Female</t>
  </si>
  <si>
    <t>African American or Black</t>
  </si>
  <si>
    <t>Single</t>
  </si>
  <si>
    <t>Anah, awalla57@uncc.edu</t>
  </si>
  <si>
    <t>71.75.194.144</t>
  </si>
  <si>
    <t>R_0l00Uk10M7dXHrz</t>
  </si>
  <si>
    <t>R_2wv5eXIoOeqwIip</t>
  </si>
  <si>
    <t>139.55.148.60</t>
  </si>
  <si>
    <t>R_1jcFDJN1dTgp5iX</t>
  </si>
  <si>
    <t>Yes - Full-time (at least 12 credits)</t>
  </si>
  <si>
    <t>4 years</t>
  </si>
  <si>
    <t>B</t>
  </si>
  <si>
    <t>Student loans,Help from family or friends,Credit cards</t>
  </si>
  <si>
    <t>Zero</t>
  </si>
  <si>
    <t>Male</t>
  </si>
  <si>
    <t>White or Caucasian</t>
  </si>
  <si>
    <t>In a relationship</t>
  </si>
  <si>
    <t>CPCC</t>
  </si>
  <si>
    <t>ddubovy@uncc.edu</t>
  </si>
  <si>
    <t>107.77.232.144</t>
  </si>
  <si>
    <t>R_xxbeIU1db0uvU5P</t>
  </si>
  <si>
    <t>A job that isn’t work-study (including self-employment),Pell Grant,Other grants from the federal or state government,Other grants from my college or university,Student loans</t>
  </si>
  <si>
    <t>hcoley3@uncc.edu</t>
  </si>
  <si>
    <t>Haley Coley
hcoley3@uncc.edu
704-804-2212</t>
  </si>
  <si>
    <t>153.33.71.24</t>
  </si>
  <si>
    <t>R_2q9omOa7129EZ9A</t>
  </si>
  <si>
    <t>A job that isn’t work-study (including self-employment),Other grants from my college or university,Student loans,Help from family or friends</t>
  </si>
  <si>
    <t>Neutral</t>
  </si>
  <si>
    <t>UNCC</t>
  </si>
  <si>
    <t>cbodenh1@uncc.edu</t>
  </si>
  <si>
    <t>107.77.237.234</t>
  </si>
  <si>
    <t>R_1OAZZKDrlq2Fqoi</t>
  </si>
  <si>
    <t>A job that isn’t work-study (including self-employment),Help from family or friends,Savings</t>
  </si>
  <si>
    <t>Strongly Disagree</t>
  </si>
  <si>
    <t>akoenig8@uncc.edu</t>
  </si>
  <si>
    <t>174.195.7.227</t>
  </si>
  <si>
    <t>R_2ie3aFF1PSrqKul</t>
  </si>
  <si>
    <t>Other grants from my college or university,Help from family or friends</t>
  </si>
  <si>
    <t>Southeast Asian</t>
  </si>
  <si>
    <t>Southwestern Community College</t>
  </si>
  <si>
    <t>aorquin@uncc.edu</t>
  </si>
  <si>
    <t>65.188.150.182</t>
  </si>
  <si>
    <t>R_10Iq44CAGRlvfmc</t>
  </si>
  <si>
    <t>3 years</t>
  </si>
  <si>
    <t>A job that isn’t work-study (including self-employment),Pell Grant</t>
  </si>
  <si>
    <t>Hispanic or Latino</t>
  </si>
  <si>
    <t>Randolph Community College</t>
  </si>
  <si>
    <t>esmeraldasuarez56@yahoo.com</t>
  </si>
  <si>
    <t>107.88.177.45</t>
  </si>
  <si>
    <t>R_A6amORigzjGKHG9</t>
  </si>
  <si>
    <t>A job that isn’t work-study (including self-employment),Pell Grant,Help from family or friends,Savings</t>
  </si>
  <si>
    <t>Rowan Cabarrus Community College</t>
  </si>
  <si>
    <t>chelseaa36@gmail.com</t>
  </si>
  <si>
    <t>71.71.218.30</t>
  </si>
  <si>
    <t>R_yqdrOkqkz4H0Kw9</t>
  </si>
  <si>
    <t>Pell Grant,Student loans,Credit cards</t>
  </si>
  <si>
    <t>nono</t>
  </si>
  <si>
    <t>Divorced</t>
  </si>
  <si>
    <t>bmswazi@uncc.edu</t>
  </si>
  <si>
    <t>104.139.1.66</t>
  </si>
  <si>
    <t>R_3eqbnlwTIJhhIDo</t>
  </si>
  <si>
    <t>1 year</t>
  </si>
  <si>
    <t>Other grants from my college or university,Student loans,Help from family or friends,Credit cards</t>
  </si>
  <si>
    <t>South Piedmont Community College</t>
  </si>
  <si>
    <t>lbenite4@uncc.edu</t>
  </si>
  <si>
    <t>Leslie Y. Benitez, lbenite4@uncc.edu, 9803289986</t>
  </si>
  <si>
    <t>75.181.77.140</t>
  </si>
  <si>
    <t>R_82rDkRu01YQXWut</t>
  </si>
  <si>
    <t>R_2ZCTaNPOTRQvBSv</t>
  </si>
  <si>
    <t>144.34.169.253</t>
  </si>
  <si>
    <t>R_20YDP0eGa2P6C7k</t>
  </si>
  <si>
    <t>Not attending</t>
  </si>
  <si>
    <t>D</t>
  </si>
  <si>
    <t>A job that isn’t work-study (including self-employment),Other grants from the federal or state government,Tuition remission,Credit cards,Employer support,Other</t>
  </si>
  <si>
    <t>Transgender</t>
  </si>
  <si>
    <t>African American or Black,Pacific Islander or Native Hawaiian,Other (please specify)</t>
  </si>
  <si>
    <t>Married or domestic partnership</t>
  </si>
  <si>
    <t>Alma College</t>
  </si>
  <si>
    <t>proteinefhu@gmail.com</t>
  </si>
  <si>
    <t>R_2D14Ty31is0yJb2</t>
  </si>
  <si>
    <t>F</t>
  </si>
  <si>
    <t>A work-study job,Other grants from my college or university,Tuition remission</t>
  </si>
  <si>
    <t>Middle Eastern or North African or Arab or Arab American,Pacific Islander or Native Hawaiian,Other Asian or Asian-American</t>
  </si>
  <si>
    <t>Gwynedd-Mercy College</t>
  </si>
  <si>
    <t>radiususqu@gmail.com</t>
  </si>
  <si>
    <t>R_3iqxYJ6zpN2Esqw</t>
  </si>
  <si>
    <t>Pell Grant,Other grants from my college or university</t>
  </si>
  <si>
    <t>White or Caucasian,Pacific Islander or Native Hawaiian,Other Asian or Asian-American,Other (please specify)</t>
  </si>
  <si>
    <t>Cumberland University</t>
  </si>
  <si>
    <t>bordergzsq@gmail.com</t>
  </si>
  <si>
    <t>R_Y4VGcVlDU7T4ywV</t>
  </si>
  <si>
    <t>A work-study job,A job that isn’t work-study (including self-employment),Tuition remission,Other</t>
  </si>
  <si>
    <t>Southeast Asian,Other (please specify)</t>
  </si>
  <si>
    <t>Empire State College</t>
  </si>
  <si>
    <t>picturemxhg@gmail.com</t>
  </si>
  <si>
    <t>R_3HLm9KQ3coTV6wy</t>
  </si>
  <si>
    <t>A work-study job,Student loans,Help from family or friends</t>
  </si>
  <si>
    <t>R_AgPtNwviWFggoWB</t>
  </si>
  <si>
    <t>C</t>
  </si>
  <si>
    <t>Employer support</t>
  </si>
  <si>
    <t>African American or Black,Hispanic or Latino,American Indian or Alaskan Native,Middle Eastern or North African or Arab or Arab American,Other Asian or Asian-American,Other (please specify)</t>
  </si>
  <si>
    <t>George Wythe University</t>
  </si>
  <si>
    <t>wispyqqpy@gmail.com</t>
  </si>
  <si>
    <t>R_325ic4xh8VW5SOk</t>
  </si>
  <si>
    <t>A work-study job,A job that isn’t work-study (including self-employment),Other grants from the federal or state government</t>
  </si>
  <si>
    <t>African American or Black,Hispanic or Latino,American Indian or Alaskan Native,Other (please specify)</t>
  </si>
  <si>
    <t>College of the Holy Cross</t>
  </si>
  <si>
    <t>chastetddf@gmail.com</t>
  </si>
  <si>
    <t>R_WBBZdMWsRokkscV</t>
  </si>
  <si>
    <t>2 years</t>
  </si>
  <si>
    <t>Student loans,Tuition remission</t>
  </si>
  <si>
    <t>White or Caucasian,African American or Black,Southeast Asian,Other (please specify)</t>
  </si>
  <si>
    <t>Roberts Wesleyan College</t>
  </si>
  <si>
    <t>surpasstgkk@gmail.com</t>
  </si>
  <si>
    <t>R_31dcYcXXaMdJvms</t>
  </si>
  <si>
    <t>Other grants from the federal or state government,Employer support,Other</t>
  </si>
  <si>
    <t>White or Caucasian,African American or Black,Hispanic or Latino,Middle Eastern or North African or Arab or Arab American,Pacific Islander or Native Hawaiian,Other (please specify)</t>
  </si>
  <si>
    <t>Williams College</t>
  </si>
  <si>
    <t>vegetationqjld@gmail.com</t>
  </si>
  <si>
    <t>R_3nT8BrOPS8SKkDd</t>
  </si>
  <si>
    <t>Other grants from my college or university,Student loans,Employer support,Other</t>
  </si>
  <si>
    <t>African American or Black,American Indian or Alaskan Native,Pacific Islander or Native Hawaiian,Other Asian or Asian-American</t>
  </si>
  <si>
    <t>Southwestern University</t>
  </si>
  <si>
    <t>sensoryhcsp@gmail.com</t>
  </si>
  <si>
    <t>R_27HDncXgIBSs6C7</t>
  </si>
  <si>
    <t>Pell Grant</t>
  </si>
  <si>
    <t>Siena Heights University</t>
  </si>
  <si>
    <t>derrickhomu@gmail.com</t>
  </si>
  <si>
    <t>R_2c6l4LFTwbLzaJ4</t>
  </si>
  <si>
    <t>Employer support,Other</t>
  </si>
  <si>
    <t>White or Caucasian,African American or Black,American Indian or Alaskan Native,Middle Eastern or North African or Arab or Arab American,Southeast Asian</t>
  </si>
  <si>
    <t>Saint Michael's College</t>
  </si>
  <si>
    <t>strengthlsph@gmail.com</t>
  </si>
  <si>
    <t>R_1kZyQSOJ8LcicPQ</t>
  </si>
  <si>
    <t>A work-study job,A job that isn’t work-study (including self-employment),Pell Grant,Help from family or friends,Savings,Other</t>
  </si>
  <si>
    <t>White or Caucasian,Middle Eastern or North African or Arab or Arab American,Pacific Islander or Native Hawaiian</t>
  </si>
  <si>
    <t>Saint Mary-of-the-Woods College</t>
  </si>
  <si>
    <t>approachotuf@gmail.com</t>
  </si>
  <si>
    <t>45.89.197.118</t>
  </si>
  <si>
    <t>R_3oSDwMvuPOZRso1</t>
  </si>
  <si>
    <t>social</t>
  </si>
  <si>
    <t>Pell Grant,Help from family or friends,Employer support</t>
  </si>
  <si>
    <t>White or Caucasian,Hispanic or Latino</t>
  </si>
  <si>
    <t>fmjmpdrf@gmail.com</t>
  </si>
  <si>
    <t>R_tKDkguzXglyoKLn</t>
  </si>
  <si>
    <t>Less than 1 year</t>
  </si>
  <si>
    <t>A work-study job,Other grants from my college or university,Student loans,Other</t>
  </si>
  <si>
    <t>White or Caucasian,African American or Black</t>
  </si>
  <si>
    <t>Blue Mountain College</t>
  </si>
  <si>
    <t>symbolicrpvg@gmail.com</t>
  </si>
  <si>
    <t>R_33ffpKZFtSDEXBg</t>
  </si>
  <si>
    <t>Other grants from my college or university,Help from family or friends,Other</t>
  </si>
  <si>
    <t>White or Caucasian,African American or Black,Hispanic or Latino,Pacific Islander or Native Hawaiian,Other (please specify)</t>
  </si>
  <si>
    <t>Sarah Lawrence College</t>
  </si>
  <si>
    <t>liberalevbe@gmail.com</t>
  </si>
  <si>
    <t>R_26fn0S8Iac2C02O</t>
  </si>
  <si>
    <t>A work-study job,Pell Grant,Tuition remission,Help from family or friends,Credit cards</t>
  </si>
  <si>
    <t>American Indian or Alaskan Native</t>
  </si>
  <si>
    <t>DePauw University</t>
  </si>
  <si>
    <t>monochromerimi@gmail.com</t>
  </si>
  <si>
    <t>R_2XbztVIOxs3Q1X8</t>
  </si>
  <si>
    <t>A work-study job,Savings,Employer support</t>
  </si>
  <si>
    <t>Other Asian or Asian-American</t>
  </si>
  <si>
    <t>Taylor University</t>
  </si>
  <si>
    <t>midwifeyzni@gmail.com</t>
  </si>
  <si>
    <t>R_3MmunwPwo7GySJn</t>
  </si>
  <si>
    <t>Student loans,Employer support</t>
  </si>
  <si>
    <t>African American or Black,Hispanic or Latino,Middle Eastern or North African or Arab or Arab American,Southeast Asian,Other Asian or Asian-American,Other (please specify)</t>
  </si>
  <si>
    <t>The College of Saint Mary Magdalen</t>
  </si>
  <si>
    <t>mesquitefvyf@gmail.com</t>
  </si>
  <si>
    <t>R_1ImIzskxwKOq5em</t>
  </si>
  <si>
    <t>African American or Black,Hispanic or Latino,Other Asian or Asian-American</t>
  </si>
  <si>
    <t>Le Moyne College</t>
  </si>
  <si>
    <t>skylightoutw@gmail.com</t>
  </si>
  <si>
    <t>R_2xKLbWcxAVcRqvz</t>
  </si>
  <si>
    <t>A work-study job,Savings,Credit cards</t>
  </si>
  <si>
    <t>State University of New York at Fredonia</t>
  </si>
  <si>
    <t>spikelikenagx@gmail.com</t>
  </si>
  <si>
    <t>R_Z5103JJa0G3A8XT</t>
  </si>
  <si>
    <t>Pell Grant,Student loans,Tuition remission,Savings</t>
  </si>
  <si>
    <t>White or Caucasian,Other Asian or Asian-American</t>
  </si>
  <si>
    <t>Coker College</t>
  </si>
  <si>
    <t>dissolvelthf@gmail.com</t>
  </si>
  <si>
    <t>R_3KvWRn0tjRupNQn</t>
  </si>
  <si>
    <t>A job that isn’t work-study (including self-employment),Help from family or friends,Credit cards,Employer support</t>
  </si>
  <si>
    <t>White or Caucasian,African American or Black,Middle Eastern or North African or Arab or Arab American,Southeast Asian,Pacific Islander or Native Hawaiian,Other (please specify)</t>
  </si>
  <si>
    <t>Merrimack College</t>
  </si>
  <si>
    <t>chillymxlz@gmail.com</t>
  </si>
  <si>
    <t>R_2fPRJWk58Olnl17</t>
  </si>
  <si>
    <t>A work-study job,A job that isn’t work-study (including self-employment),Pell Grant,Other grants from my college or university,Student loans,Tuition remission</t>
  </si>
  <si>
    <t>Hispanic or Latino,Other Asian or Asian-American</t>
  </si>
  <si>
    <t>Bridgewater State College</t>
  </si>
  <si>
    <t>ethicstchs@gmail.com</t>
  </si>
  <si>
    <t>R_5iMEVHmDjAJBCa5</t>
  </si>
  <si>
    <t>A job that isn’t work-study (including self-employment),Student loans,Savings,Credit cards</t>
  </si>
  <si>
    <t>White or Caucasian,African American or Black,Hispanic or Latino,Pacific Islander or Native Hawaiian,Other Asian or Asian-American</t>
  </si>
  <si>
    <t>Cedar Crest College</t>
  </si>
  <si>
    <t>respectxjxw@gmail.com</t>
  </si>
  <si>
    <t>R_XOePuBvsRtMzr69</t>
  </si>
  <si>
    <t>Pell Grant,Help from family or friends,Savings,Credit cards</t>
  </si>
  <si>
    <t>College of the University of Chicago</t>
  </si>
  <si>
    <t>indicatormotd@gmail.com</t>
  </si>
  <si>
    <t>R_1BQVrqcZ42v5ES3</t>
  </si>
  <si>
    <t>A work-study job,Tuition remission,Help from family or friends</t>
  </si>
  <si>
    <t>African American or Black,American Indian or Alaskan Native,Middle Eastern or North African or Arab or Arab American,Southeast Asian,Pacific Islander or Native Hawaiian,Other (please specify)</t>
  </si>
  <si>
    <t>Huntingdon College</t>
  </si>
  <si>
    <t>nutritionhyrc@gmail.com</t>
  </si>
  <si>
    <t>R_usRY87BtBTcJZlL</t>
  </si>
  <si>
    <t>Pell Grant,Other grants from the federal or state government,Student loans,Tuition remission,Credit cards,Employer support</t>
  </si>
  <si>
    <t>African American or Black,American Indian or Alaskan Native</t>
  </si>
  <si>
    <t>Nebraska Wesleyan University</t>
  </si>
  <si>
    <t>linenwkaf@gmail.com</t>
  </si>
  <si>
    <t>R_BG0VdonPThTcCf7</t>
  </si>
  <si>
    <t>A job that isn’t work-study (including self-employment),Other grants from the federal or state government,Tuition remission,Savings,Credit cards</t>
  </si>
  <si>
    <t>Gutenberg College</t>
  </si>
  <si>
    <t>oysterlpto@gmail.com</t>
  </si>
  <si>
    <t>R_2vZYqWUwCyqamsV</t>
  </si>
  <si>
    <t>A job that isn’t work-study (including self-employment),Tuition remission,Credit cards</t>
  </si>
  <si>
    <t>White or Caucasian,Pacific Islander or Native Hawaiian</t>
  </si>
  <si>
    <t>Greensboro College</t>
  </si>
  <si>
    <t>liberalmkqu@gmail.com</t>
  </si>
  <si>
    <t>R_2vdK2WSDFNbhkfL</t>
  </si>
  <si>
    <t>African American or Black,Hispanic or Latino,Middle Eastern or North African or Arab or Arab American,Southeast Asian,Pacific Islander or Native Hawaiian,Other (please specify)</t>
  </si>
  <si>
    <t>Brevard College</t>
  </si>
  <si>
    <t>reptilemlqm@gmail.com</t>
  </si>
  <si>
    <t>R_2ZCxq5yd8M5eSUg</t>
  </si>
  <si>
    <t>Other grants from the federal or state government,Help from family or friends,Other</t>
  </si>
  <si>
    <t>American Indian or Alaskan Native,Southeast Asian</t>
  </si>
  <si>
    <t>Warner University</t>
  </si>
  <si>
    <t>dictionurnv@gmail.com</t>
  </si>
  <si>
    <t>R_3QDy5AyeHnkptsa</t>
  </si>
  <si>
    <t>A work-study job,A job that isn’t work-study (including self-employment),Other grants from the federal or state government,Other grants from my college or university,Savings,Other</t>
  </si>
  <si>
    <t>African American or Black,Middle Eastern or North African or Arab or Arab American,Other Asian or Asian-American</t>
  </si>
  <si>
    <t>Kentucky Wesleyan College</t>
  </si>
  <si>
    <t>lucrativeicoa@gmail.com</t>
  </si>
  <si>
    <t>R_3R8C0zRTHs32nT8</t>
  </si>
  <si>
    <t>A job that isn’t work-study (including self-employment),Pell Grant,Student loans,Tuition remission,Savings,Other</t>
  </si>
  <si>
    <t>Hispanic or Latino,Other (please specify)</t>
  </si>
  <si>
    <t>Carlow University</t>
  </si>
  <si>
    <t>chordqyym@gmail.com</t>
  </si>
  <si>
    <t>R_1JK5GQLgZUYOcAB</t>
  </si>
  <si>
    <t>Other grants from the federal or state government,Other</t>
  </si>
  <si>
    <t>Morehouse College</t>
  </si>
  <si>
    <t>microbeowff@gmail.com</t>
  </si>
  <si>
    <t>R_2VJvgv5CPNMhWbu</t>
  </si>
  <si>
    <t>A job that isn’t work-study (including self-employment),Tuition remission,Help from family or friends,Employer support,Other</t>
  </si>
  <si>
    <t>Hispanic or Latino,Pacific Islander or Native Hawaiian,Other Asian or Asian-American,Other (please specify)</t>
  </si>
  <si>
    <t>Augsburg College</t>
  </si>
  <si>
    <t>aloofhhkq@gmail.com</t>
  </si>
  <si>
    <t>R_1Feq8Ck7TxfxCdH</t>
  </si>
  <si>
    <t>A job that isn’t work-study (including self-employment),Student loans</t>
  </si>
  <si>
    <t>219.76.150.216</t>
  </si>
  <si>
    <t>R_33BcxHVEvgrBQ3U</t>
  </si>
  <si>
    <t>A work-study job</t>
  </si>
  <si>
    <t>Lassen Community College</t>
  </si>
  <si>
    <t>watermanvivancoh830@gmail.com</t>
  </si>
  <si>
    <t>R_1r1WrHZ3v6WovyH</t>
  </si>
  <si>
    <t>A work-study job,A job that isn’t work-study (including self-employment),Pell Grant,Tuition remission,Savings,Employer support</t>
  </si>
  <si>
    <t>African American or Black,Hispanic or Latino,Middle Eastern or North African or Arab or Arab American,Southeast Asian,Pacific Islander or Native Hawaiian,Other Asian or Asian-American</t>
  </si>
  <si>
    <t>Grove City College</t>
  </si>
  <si>
    <t>fashioneyta@gmail.com</t>
  </si>
  <si>
    <t>R_1JOroOzSnUw3XDZ</t>
  </si>
  <si>
    <t>Student loans</t>
  </si>
  <si>
    <t>Smith College</t>
  </si>
  <si>
    <t>stockysdwr@gmail.com</t>
  </si>
  <si>
    <t>R_1qUn2gKy2t0mHSX</t>
  </si>
  <si>
    <t>A work-study job,Other grants from the federal or state government,Tuition remission,Credit cards,Employer support,Other</t>
  </si>
  <si>
    <t>White or Caucasian,African American or Black,Hispanic or Latino,Pacific Islander or Native Hawaiian</t>
  </si>
  <si>
    <t>Covenant College</t>
  </si>
  <si>
    <t>inheritehbp@gmail.com</t>
  </si>
  <si>
    <t>R_sHTSHYFXeWLgcgN</t>
  </si>
  <si>
    <t>Other grants from my college or university</t>
  </si>
  <si>
    <t>Hispanic or Latino,American Indian or Alaskan Native,Middle Eastern or North African or Arab or Arab American</t>
  </si>
  <si>
    <t>Saint Vincent College</t>
  </si>
  <si>
    <t>drawbackjfme@gmail.com</t>
  </si>
  <si>
    <t>R_74HGnPXlJQMKj9D</t>
  </si>
  <si>
    <t>Pell Grant,Help from family or friends,Credit cards</t>
  </si>
  <si>
    <t>Great Books Programs in Canada</t>
  </si>
  <si>
    <t>shrubzkcq@gmail.com</t>
  </si>
  <si>
    <t>R_3Hq2gFFDOVvujkD</t>
  </si>
  <si>
    <t>Pell Grant,Other grants from the federal or state government,Help from family or friends</t>
  </si>
  <si>
    <t>Mills College</t>
  </si>
  <si>
    <t>sleddinglxhq@gmail.com</t>
  </si>
  <si>
    <t>R_1dubKcVffZ4UGpH</t>
  </si>
  <si>
    <t>A work-study job,Other grants from my college or university,Tuition remission,Help from family or friends,Credit cards,Employer support</t>
  </si>
  <si>
    <t>White or Caucasian,African American or Black,Hispanic or Latino,American Indian or Alaskan Native,Pacific Islander or Native Hawaiian,Other (please specify)</t>
  </si>
  <si>
    <t>Marist College</t>
  </si>
  <si>
    <t>chasteojvr@gmail.com</t>
  </si>
  <si>
    <t>R_etUAcLjb8fCStjj</t>
  </si>
  <si>
    <t>Other grants from the federal or state government,Employer support</t>
  </si>
  <si>
    <t>Messiah College</t>
  </si>
  <si>
    <t>inspiringjhxc@gmail.com</t>
  </si>
  <si>
    <t>R_1jqYKppCS6rsGy9</t>
  </si>
  <si>
    <t>A work-study job,Pell Grant,Savings,Employer support</t>
  </si>
  <si>
    <t>White or Caucasian,American Indian or Alaskan Native</t>
  </si>
  <si>
    <t>Canisius College</t>
  </si>
  <si>
    <t>magnifyshyp@gmail.com</t>
  </si>
  <si>
    <t>R_2WTPUOBalUPAtFm</t>
  </si>
  <si>
    <t>Other grants from the federal or state government,Student loans</t>
  </si>
  <si>
    <t>White or Caucasian,American Indian or Alaskan Native,Middle Eastern or North African or Arab or Arab American,Southeast Asian,Other Asian or Asian-American,Other (please specify)</t>
  </si>
  <si>
    <t>University of St. Thomas</t>
  </si>
  <si>
    <t>skyrocketclbc@gmail.com</t>
  </si>
  <si>
    <t>R_TbX9ZquKSkGSYiR</t>
  </si>
  <si>
    <t>White or Caucasian,African American or Black,American Indian or Alaskan Native,Pacific Islander or Native Hawaiian,Other Asian or Asian-American</t>
  </si>
  <si>
    <t>College of Mount St. Joseph</t>
  </si>
  <si>
    <t>refurbishlges@gmail.com</t>
  </si>
  <si>
    <t>R_2dxMgC3WQoTxSuP</t>
  </si>
  <si>
    <t>Pell Grant,Student loans,Savings,Credit cards</t>
  </si>
  <si>
    <t>Middle Eastern or North African or Arab or Arab American,Southeast Asian</t>
  </si>
  <si>
    <t>Mercer University</t>
  </si>
  <si>
    <t>flickermvru@gmail.com</t>
  </si>
  <si>
    <t>R_6zXZHxP1lOHJm1j</t>
  </si>
  <si>
    <t>American Indian or Alaskan Native,Southeast Asian,Pacific Islander or Native Hawaiian</t>
  </si>
  <si>
    <t>Albertus Magnus College</t>
  </si>
  <si>
    <t>lumberphyc@gmail.com</t>
  </si>
  <si>
    <t>R_1GEzAcYLG0zjKQW</t>
  </si>
  <si>
    <t>Help from family or friends,Other</t>
  </si>
  <si>
    <t>American Indian or Alaskan Native,Pacific Islander or Native Hawaiian,Other Asian or Asian-American</t>
  </si>
  <si>
    <t>Carroll University</t>
  </si>
  <si>
    <t>presentstor@gmail.com</t>
  </si>
  <si>
    <t>R_3QE7nPnmWOUeONR</t>
  </si>
  <si>
    <t>Other grants from my college or university,Student loans,Help from family or friends,Credit cards,Employer support</t>
  </si>
  <si>
    <t>White or Caucasian,African American or Black,American Indian or Alaskan Native,Middle Eastern or North African or Arab or Arab American,Pacific Islander or Native Hawaiian,Other (please specify)</t>
  </si>
  <si>
    <t>College of Mount Saint Vincent</t>
  </si>
  <si>
    <t>intimacygams@gmail.com</t>
  </si>
  <si>
    <t>R_2EbL9TxAPIzCoB8</t>
  </si>
  <si>
    <t>A work-study job,Other grants from my college or university,Student loans</t>
  </si>
  <si>
    <t>African American or Black,American Indian or Alaskan Native,Southeast Asian,Other Asian or Asian-American</t>
  </si>
  <si>
    <t>Marymount Manhattan College</t>
  </si>
  <si>
    <t>puzzlingaouu@gmail.com</t>
  </si>
  <si>
    <t>R_1IToOZUGCCuoh2M</t>
  </si>
  <si>
    <t>Help from family or friends</t>
  </si>
  <si>
    <t>African American or Black,American Indian or Alaskan Native,Middle Eastern or North African or Arab or Arab American,Pacific Islander or Native Hawaiian,Other (please specify)</t>
  </si>
  <si>
    <t>Benedict College</t>
  </si>
  <si>
    <t>musclexmor@gmail.com</t>
  </si>
  <si>
    <t>R_1mLcAIijK62Sf7O</t>
  </si>
  <si>
    <t>A work-study job,Pell Grant,Other grants from the federal or state government,Student loans,Savings,Other</t>
  </si>
  <si>
    <t>Abilene Christian University</t>
  </si>
  <si>
    <t>motivatebivb@gmail.com</t>
  </si>
  <si>
    <t>R_2uV8aLDbiUfoqj9</t>
  </si>
  <si>
    <t>Other grants from the federal or state government,Other grants from my college or university,Savings,Other</t>
  </si>
  <si>
    <t>Calvin College</t>
  </si>
  <si>
    <t>profiteereptg@gmail.com</t>
  </si>
  <si>
    <t>R_3CN9kJEE8SaZ1Xm</t>
  </si>
  <si>
    <t>Pell Grant,Tuition remission,Other</t>
  </si>
  <si>
    <t>White or Caucasian,Other Asian or Asian-American,Other (please specify)</t>
  </si>
  <si>
    <t>Greenville College</t>
  </si>
  <si>
    <t>missionaryemth@gmail.com</t>
  </si>
  <si>
    <t>R_3qPrCirhL8qxMT7</t>
  </si>
  <si>
    <t>Pell Grant,Employer support</t>
  </si>
  <si>
    <t>Other Asian or Asian-American,Other (please specify)</t>
  </si>
  <si>
    <t>College of Saint Elizabeth</t>
  </si>
  <si>
    <t>affinitybwae@gmail.com</t>
  </si>
  <si>
    <t>R_2b2lHhxGuVJOuwx</t>
  </si>
  <si>
    <t>A job that isn’t work-study (including self-employment),Other grants from the federal or state government,Savings,Other</t>
  </si>
  <si>
    <t>Middle Eastern or North African or Arab or Arab American,Other Asian or Asian-American,Other (please specify)</t>
  </si>
  <si>
    <t>Chatham University</t>
  </si>
  <si>
    <t>packageljhe@gmail.com</t>
  </si>
  <si>
    <t>R_1DRR0V1KhwAZJ9b</t>
  </si>
  <si>
    <t>Other grants from the federal or state government,Savings,Other</t>
  </si>
  <si>
    <t>Lycoming College</t>
  </si>
  <si>
    <t>obsoletegdbv@gmail.com</t>
  </si>
  <si>
    <t>R_2zphYIrIGABXIfT</t>
  </si>
  <si>
    <t>A work-study job,Other grants from the federal or state government,Other grants from my college or university,Student loans</t>
  </si>
  <si>
    <t>White or Caucasian,Hispanic or Latino,Southeast Asian</t>
  </si>
  <si>
    <t>Central College</t>
  </si>
  <si>
    <t>persistymub@gmail.com</t>
  </si>
  <si>
    <t>R_2TTV6pIMGm49gf4</t>
  </si>
  <si>
    <t>A work-study job,Pell Grant,Other grants from the federal or state government,Student loans,Employer support</t>
  </si>
  <si>
    <t>Hispanic or Latino,American Indian or Alaskan Native,Middle Eastern or North African or Arab or Arab American,Pacific Islander or Native Hawaiian,Other (please specify)</t>
  </si>
  <si>
    <t>Roger Williams University</t>
  </si>
  <si>
    <t>inflationmkkr@gmail.com</t>
  </si>
  <si>
    <t>R_264SoJFJaJVSNfW</t>
  </si>
  <si>
    <t>Pell Grant,Other grants from the federal or state government,Other grants from my college or university,Student loans,Help from family or friends,Employer support</t>
  </si>
  <si>
    <t>African American or Black,Other Asian or Asian-American</t>
  </si>
  <si>
    <t>Nyack College</t>
  </si>
  <si>
    <t>onsetnqwd@gmail.com</t>
  </si>
  <si>
    <t>R_8CayZ1dTB7TP66J</t>
  </si>
  <si>
    <t>Other grants from the federal or state government,Other grants from my college or university,Help from family or friends,Employer support</t>
  </si>
  <si>
    <t>Georgetown College</t>
  </si>
  <si>
    <t>amazingtcmo@gmail.com</t>
  </si>
  <si>
    <t>R_2zwJ9GCWKundgEV</t>
  </si>
  <si>
    <t>Pell Grant,Student loans,Tuition remission</t>
  </si>
  <si>
    <t>White or Caucasian,African American or Black,Southeast Asian,Pacific Islander or Native Hawaiian,Other Asian or Asian-American,Other (please specify)</t>
  </si>
  <si>
    <t>Lafayette College</t>
  </si>
  <si>
    <t>landscapefscb@gmail.com</t>
  </si>
  <si>
    <t>R_1OvMLOpvLDlhi6S</t>
  </si>
  <si>
    <t>A work-study job,Employer support</t>
  </si>
  <si>
    <t>White or Caucasian,Pacific Islander or Native Hawaiian,Other (please specify)</t>
  </si>
  <si>
    <t>Middlebury College</t>
  </si>
  <si>
    <t>segmentanhi@gmail.com</t>
  </si>
  <si>
    <t>R_Rrf4MNEHtwc69B7</t>
  </si>
  <si>
    <t>Other</t>
  </si>
  <si>
    <t>White or Caucasian,Hispanic or Latino,American Indian or Alaskan Native,Other Asian or Asian-American</t>
  </si>
  <si>
    <t>Wagner College</t>
  </si>
  <si>
    <t>brominedshb@gmail.com</t>
  </si>
  <si>
    <t>R_20NI7LosxDO1zpg</t>
  </si>
  <si>
    <t>A work-study job,A job that isn’t work-study (including self-employment),Student loans,Tuition remission,Savings,Credit cards</t>
  </si>
  <si>
    <t>White or Caucasian,Southeast Asian</t>
  </si>
  <si>
    <t>Scripps College</t>
  </si>
  <si>
    <t>confrontldcx@gmail.com</t>
  </si>
  <si>
    <t>R_10D9JOVt4xMmv7j</t>
  </si>
  <si>
    <t>University of Sioux Falls</t>
  </si>
  <si>
    <t>bromineqeej@gmail.com</t>
  </si>
  <si>
    <t>R_2fIPq4EltivL64H</t>
  </si>
  <si>
    <t>Tuition remission</t>
  </si>
  <si>
    <t>African American or Black,Pacific Islander or Native Hawaiian,Other Asian or Asian-American,Other (please specify)</t>
  </si>
  <si>
    <t>delineatexlsz@gmail.com</t>
  </si>
  <si>
    <t>R_32Sk8DVDbp1gIKH</t>
  </si>
  <si>
    <t>Occidental College</t>
  </si>
  <si>
    <t>surfacevatf@gmail.com</t>
  </si>
  <si>
    <t>R_25EJQDjMAaLLphm</t>
  </si>
  <si>
    <t>Credit cards,Employer support,Other</t>
  </si>
  <si>
    <t>Southeast Asian,Pacific Islander or Native Hawaiian</t>
  </si>
  <si>
    <t>Five Colleges</t>
  </si>
  <si>
    <t>bankruptcyvyuo@gmail.com</t>
  </si>
  <si>
    <t>R_1hYb7du6WeKKoOZ</t>
  </si>
  <si>
    <t>A job that isn’t work-study (including self-employment),Pell Grant,Tuition remission,Savings</t>
  </si>
  <si>
    <t>Wilmington College</t>
  </si>
  <si>
    <t>scheduleqmpd@gmail.com</t>
  </si>
  <si>
    <t>R_31B4m70FFSOXqWs</t>
  </si>
  <si>
    <t>Other grants from the federal or state government,Student loans,Help from family or friends,Savings,Credit cards,Employer support</t>
  </si>
  <si>
    <t>White or Caucasian,Hispanic or Latino,American Indian or Alaskan Native,Middle Eastern or North African or Arab or Arab American,Southeast Asian,Other Asian or Asian-American</t>
  </si>
  <si>
    <t>Curry College</t>
  </si>
  <si>
    <t>implementtomc@gmail.com</t>
  </si>
  <si>
    <t>R_2i1YOl6pQucYIpj</t>
  </si>
  <si>
    <t>A work-study job,A job that isn’t work-study (including self-employment),Employer support,Other</t>
  </si>
  <si>
    <t>White or Caucasian,Hispanic or Latino,Other Asian or Asian-American</t>
  </si>
  <si>
    <t>Grinnell College</t>
  </si>
  <si>
    <t>parcelmueg@gmail.com</t>
  </si>
  <si>
    <t>R_Ao1xIBCjwYnFa8N</t>
  </si>
  <si>
    <t>A work-study job,A job that isn’t work-study (including self-employment),Other grants from the federal or state government,Other grants from my college or university,Tuition remission,Help from family or friends</t>
  </si>
  <si>
    <t>Adrian College</t>
  </si>
  <si>
    <t>detectiwuj@gmail.com</t>
  </si>
  <si>
    <t>R_2WwXPvq9uJn9Ptj</t>
  </si>
  <si>
    <t>A job that isn’t work-study (including self-employment),Pell Grant,Other grants from the federal or state government,Student loans,Savings,Employer support</t>
  </si>
  <si>
    <t>Franklin &amp; Marshall College</t>
  </si>
  <si>
    <t>fervorrxjs@gmail.com</t>
  </si>
  <si>
    <t>R_125vfsAByXGBd7s</t>
  </si>
  <si>
    <t>Other grants from the federal or state government,Help from family or friends,Credit cards</t>
  </si>
  <si>
    <t>Pacific Islander or Native Hawaiian</t>
  </si>
  <si>
    <t>Point Park University</t>
  </si>
  <si>
    <t>calculatevhth@gmail.com</t>
  </si>
  <si>
    <t>R_2TyJS9UjrXm60a9</t>
  </si>
  <si>
    <t>A job that isn’t work-study (including self-employment),Pell Grant,Other grants from the federal or state government,Help from family or friends,Credit cards,Other</t>
  </si>
  <si>
    <t>Lyon College</t>
  </si>
  <si>
    <t>burdensomeuayh@gmail.com</t>
  </si>
  <si>
    <t>R_25X7FupZElc74SP</t>
  </si>
  <si>
    <t>Pell Grant,Other grants from my college or university,Tuition remission,Help from family or friends,Savings</t>
  </si>
  <si>
    <t>White or Caucasian,American Indian or Alaskan Native,Southeast Asian</t>
  </si>
  <si>
    <t>Dallas Baptist University</t>
  </si>
  <si>
    <t>adversezeor@gmail.com</t>
  </si>
  <si>
    <t>R_3lPGZ64PiGqre5s</t>
  </si>
  <si>
    <t>Other grants from the federal or state government,Other grants from my college or university,Savings,Credit cards,Employer support</t>
  </si>
  <si>
    <t>White or Caucasian,African American or Black,Hispanic or Latino,Middle Eastern or North African or Arab or Arab American,Pacific Islander or Native Hawaiian,Other Asian or Asian-American</t>
  </si>
  <si>
    <t>College of the Atlantic</t>
  </si>
  <si>
    <t>maneuverztrc@gmail.com</t>
  </si>
  <si>
    <t>R_ePpSZMOJQIsPZ9D</t>
  </si>
  <si>
    <t>A work-study job,A job that isn’t work-study (including self-employment),Pell Grant,Other grants from my college or university,Help from family or friends,Employer support</t>
  </si>
  <si>
    <t>University of Montevallo</t>
  </si>
  <si>
    <t>approachpyre@gmail.com</t>
  </si>
  <si>
    <t>R_22MivvVrKQIa1jx</t>
  </si>
  <si>
    <t>A work-study job,A job that isn’t work-study (including self-employment),Other grants from my college or university,Help from family or friends,Savings</t>
  </si>
  <si>
    <t>White or Caucasian,American Indian or Alaskan Native,Middle Eastern or North African or Arab or Arab American,Southeast Asian,Pacific Islander or Native Hawaiian,Other (please specify)</t>
  </si>
  <si>
    <t>Francis Marion University</t>
  </si>
  <si>
    <t>diameterpwja@gmail.com</t>
  </si>
  <si>
    <t>R_2Pbp9mjxzx1ewoz</t>
  </si>
  <si>
    <t>A work-study job,A job that isn’t work-study (including self-employment),Other grants from my college or university,Credit cards,Employer support</t>
  </si>
  <si>
    <t>Hispanic or Latino,Middle Eastern or North African or Arab or Arab American</t>
  </si>
  <si>
    <t>Shepherd University</t>
  </si>
  <si>
    <t>orientedxmfn@gmail.com</t>
  </si>
  <si>
    <t>R_2XdgUtwgSzO2hPa</t>
  </si>
  <si>
    <t>Student loans,Tuition remission,Help from family or friends,Savings,Employer support</t>
  </si>
  <si>
    <t>Middle Eastern or North African or Arab or Arab American</t>
  </si>
  <si>
    <t>Menlo College</t>
  </si>
  <si>
    <t>fulfilzrid@gmail.com</t>
  </si>
  <si>
    <t>R_3NVU4L4GTFxJdAM</t>
  </si>
  <si>
    <t>A work-study job,A job that isn’t work-study (including self-employment),Student loans,Savings,Credit cards,Employer support</t>
  </si>
  <si>
    <t>Medaille College</t>
  </si>
  <si>
    <t>descenttzvo@gmail.com</t>
  </si>
  <si>
    <t>R_1Gvwn4dWz1BIEEW</t>
  </si>
  <si>
    <t>Other grants from my college or university,Student loans,Savings,Credit cards,Employer support,Other</t>
  </si>
  <si>
    <t>White or Caucasian,African American or Black,Hispanic or Latino,Middle Eastern or North African or Arab or Arab American</t>
  </si>
  <si>
    <t>Asbury University</t>
  </si>
  <si>
    <t>conceptmzia@gmail.com</t>
  </si>
  <si>
    <t>R_qF7BL9w7k4VxSJH</t>
  </si>
  <si>
    <t>Student loans,Other</t>
  </si>
  <si>
    <t>African American or Black,Hispanic or Latino,American Indian or Alaskan Native,Pacific Islander or Native Hawaiian,Other Asian or Asian-American</t>
  </si>
  <si>
    <t>Wheeling Jesuit University</t>
  </si>
  <si>
    <t>subtitlefpfh@gmail.com</t>
  </si>
  <si>
    <t>R_24e0VtWMbeWEi3I</t>
  </si>
  <si>
    <t>Pell Grant,Other grants from the federal or state government,Other grants from my college or university,Help from family or friends,Credit cards,Employer support</t>
  </si>
  <si>
    <t>American Indian or Alaskan Native,Middle Eastern or North African or Arab or Arab American,Southeast Asian,Pacific Islander or Native Hawaiian,Other Asian or Asian-American,Other (please specify)</t>
  </si>
  <si>
    <t>Olivet College</t>
  </si>
  <si>
    <t>heightenvkwa@gmail.com</t>
  </si>
  <si>
    <t>R_1MKtEbEJsvDoFAj</t>
  </si>
  <si>
    <t>Student loans,Tuition remission,Credit cards</t>
  </si>
  <si>
    <t>Henderson State University</t>
  </si>
  <si>
    <t>pigmentqvsq@gmail.com</t>
  </si>
  <si>
    <t>R_3KoMZdfOTVr0urP</t>
  </si>
  <si>
    <t>Pell Grant,Savings,Other</t>
  </si>
  <si>
    <t>White or Caucasian,African American or Black,Middle Eastern or North African or Arab or Arab American,Other Asian or Asian-American</t>
  </si>
  <si>
    <t>Thomas Aquinas College</t>
  </si>
  <si>
    <t>obligingoaom@gmail.com</t>
  </si>
  <si>
    <t>R_1OSO3rbMZoFowdX</t>
  </si>
  <si>
    <t>A work-study job,Pell Grant,Other grants from my college or university,Student loans,Help from family or friends</t>
  </si>
  <si>
    <t>Wesleyan College</t>
  </si>
  <si>
    <t>codifymyhv@gmail.com</t>
  </si>
  <si>
    <t>R_aVuVvAKzE2TKW5j</t>
  </si>
  <si>
    <t>Tuition remission,Help from family or friends</t>
  </si>
  <si>
    <t>Linfield College</t>
  </si>
  <si>
    <t>discounthebi@gmail.com</t>
  </si>
  <si>
    <t>R_wRb0YiGrKK3AbwR</t>
  </si>
  <si>
    <t>White or Caucasian,Hispanic or Latino,American Indian or Alaskan Native,Middle Eastern or North African or Arab or Arab American,Other Asian or Asian-American,Other (please specify)</t>
  </si>
  <si>
    <t>Midland University</t>
  </si>
  <si>
    <t>hazardnpos@gmail.com</t>
  </si>
  <si>
    <t>R_2SB0sbfJfesbkDl</t>
  </si>
  <si>
    <t>Student loans,Tuition remission,Help from family or friends</t>
  </si>
  <si>
    <t>African American or Black,Middle Eastern or North African or Arab or Arab American,Southeast Asian,Pacific Islander or Native Hawaiian,Other Asian or Asian-American</t>
  </si>
  <si>
    <t>Bates College</t>
  </si>
  <si>
    <t>arrangerrdys@gmail.com</t>
  </si>
  <si>
    <t>R_2zYcVoQ8FYOMSrD</t>
  </si>
  <si>
    <t>A job that isn’t work-study (including self-employment),Other grants from the federal or state government,Other grants from my college or university,Help from family or friends,Savings</t>
  </si>
  <si>
    <t>White or Caucasian,Hispanic or Latino,American Indian or Alaskan Native,Middle Eastern or North African or Arab or Arab American,Pacific Islander or Native Hawaiian</t>
  </si>
  <si>
    <t>Lyndon State College</t>
  </si>
  <si>
    <t>apathyjlzz@gmail.com</t>
  </si>
  <si>
    <t>R_1kIeBThQwUFpvla</t>
  </si>
  <si>
    <t>A job that isn’t work-study (including self-employment),Other grants from the federal or state government,Student loans,Other</t>
  </si>
  <si>
    <t>Hispanic or Latino,Pacific Islander or Native Hawaiian</t>
  </si>
  <si>
    <t>Southern Nazarene University</t>
  </si>
  <si>
    <t>dimensionypks@gmail.com</t>
  </si>
  <si>
    <t>R_1n24SNcRYCPWMig</t>
  </si>
  <si>
    <t>Pell Grant,Other grants from the federal or state government,Other grants from my college or university,Help from family or friends,Other</t>
  </si>
  <si>
    <t>Lipscomb University</t>
  </si>
  <si>
    <t>ministryumgo@gmail.com</t>
  </si>
  <si>
    <t>R_1f13Ir9CFhW6AJs</t>
  </si>
  <si>
    <t>Other grants from the federal or state government</t>
  </si>
  <si>
    <t>Middle Eastern or North African or Arab or Arab American,Other (please specify)</t>
  </si>
  <si>
    <t>Trinity College</t>
  </si>
  <si>
    <t>suburbjgqv@gmail.com</t>
  </si>
  <si>
    <t>R_1LO1fsKjetUlbjs</t>
  </si>
  <si>
    <t>Pell Grant,Other grants from the federal or state government,Other grants from my college or university,Tuition remission,Credit cards,Employer support</t>
  </si>
  <si>
    <t>White or Caucasian,African American or Black,American Indian or Alaskan Native,Southeast Asian,Other Asian or Asian-American</t>
  </si>
  <si>
    <t>Western State Colorado University</t>
  </si>
  <si>
    <t>academicuguu@gmail.com</t>
  </si>
  <si>
    <t>R_2wKL9HQFA6jeC2z</t>
  </si>
  <si>
    <t>Tuition remission,Other</t>
  </si>
  <si>
    <t>White or Caucasian,American Indian or Alaskan Native,Middle Eastern or North African or Arab or Arab American,Pacific Islander or Native Hawaiian,Other (please specify)</t>
  </si>
  <si>
    <t>Malone University</t>
  </si>
  <si>
    <t>capacitykych@gmail.com</t>
  </si>
  <si>
    <t>R_1jfw2Gh3xX5bZFq</t>
  </si>
  <si>
    <t>A job that isn’t work-study (including self-employment)</t>
  </si>
  <si>
    <t>White or Caucasian,African American or Black,American Indian or Alaskan Native,Southeast Asian</t>
  </si>
  <si>
    <t>St. Mary's College of Maryland</t>
  </si>
  <si>
    <t>unanimityajqd@gmail.com</t>
  </si>
  <si>
    <t>R_1GJEt4t7enxRez1</t>
  </si>
  <si>
    <t>A work-study job,Credit cards</t>
  </si>
  <si>
    <t>White or Caucasian,African American or Black,Hispanic or Latino,Southeast Asian,Other Asian or Asian-American,Other (please specify)</t>
  </si>
  <si>
    <t>Tennessee Wesleyan College</t>
  </si>
  <si>
    <t>waterfallkwyt@gmail.com</t>
  </si>
  <si>
    <t>108.88.27.57</t>
  </si>
  <si>
    <t>R_2v5I6t2VEinPyPo</t>
  </si>
  <si>
    <t>A job that isn’t work-study (including self-employment),Savings</t>
  </si>
  <si>
    <t>pagano20011@gmail.com</t>
  </si>
  <si>
    <t>R_1ISCt4vwrdOevMu</t>
  </si>
  <si>
    <t>Credit cards</t>
  </si>
  <si>
    <t>Other (please specify)</t>
  </si>
  <si>
    <t>Blackburn College</t>
  </si>
  <si>
    <t>tepeetdtn@gmail.com</t>
  </si>
  <si>
    <t>R_10pGM3NaGnBeeX8</t>
  </si>
  <si>
    <t>Pell Grant,Tuition remission,Savings</t>
  </si>
  <si>
    <t>White or Caucasian,American Indian or Alaskan Native,Pacific Islander or Native Hawaiian</t>
  </si>
  <si>
    <t>Trinity University</t>
  </si>
  <si>
    <t>specifygugy@gmail.com</t>
  </si>
  <si>
    <t>R_1ocjT0oSgRWagDz</t>
  </si>
  <si>
    <t>Sweet Briar College</t>
  </si>
  <si>
    <t>productionhnon@gmail.com</t>
  </si>
  <si>
    <t>R_3hannBMSXDXHSQM</t>
  </si>
  <si>
    <t>Hispanic or Latino,American Indian or Alaskan Native,Middle Eastern or North African or Arab or Arab American,Pacific Islander or Native Hawaiian,Other Asian or Asian-American</t>
  </si>
  <si>
    <t>Ashland University</t>
  </si>
  <si>
    <t>parasitictvlj@gmail.com</t>
  </si>
  <si>
    <t>R_1JCnb2StDWZ3LKv</t>
  </si>
  <si>
    <t>A job that isn’t work-study (including self-employment),Pell Grant,Other grants from my college or university,Student loans,Help from family or friends,Savings</t>
  </si>
  <si>
    <t>White or Caucasian,African American or Black,Middle Eastern or North African or Arab or Arab American,Other (please specify)</t>
  </si>
  <si>
    <t>Wittenberg University</t>
  </si>
  <si>
    <t>widowevnt@gmail.com</t>
  </si>
  <si>
    <t>R_1Qon1DMkR4Iz8LE</t>
  </si>
  <si>
    <t>mineralhpgz@gmail.com</t>
  </si>
  <si>
    <t>R_29g2OeKiJ20mTXf</t>
  </si>
  <si>
    <t>Muskingum University</t>
  </si>
  <si>
    <t>pearlyitvg@gmail.com</t>
  </si>
  <si>
    <t>R_2RadKhNfWE8jJtt</t>
  </si>
  <si>
    <t>A work-study job,A job that isn’t work-study (including self-employment),Student loans,Help from family or friends,Savings,Other</t>
  </si>
  <si>
    <t>White or Caucasian,African American or Black,Hispanic or Latino,Southeast Asian,Other (please specify)</t>
  </si>
  <si>
    <t>Thiel College</t>
  </si>
  <si>
    <t>divergedqey@gmail.com</t>
  </si>
  <si>
    <t>R_x64Ewioo3drsFsl</t>
  </si>
  <si>
    <t>American Indian or Alaskan Native,Middle Eastern or North African or Arab or Arab American,Other Asian or Asian-American</t>
  </si>
  <si>
    <t>Lynchburg College</t>
  </si>
  <si>
    <t>boundaryauwf@gmail.com</t>
  </si>
  <si>
    <t>R_3hrsHoPTPwmTM4f</t>
  </si>
  <si>
    <t>Hispanic or Latino,American Indian or Alaskan Native,Middle Eastern or North African or Arab or Arab American,Other Asian or Asian-American,Other (please specify)</t>
  </si>
  <si>
    <t>Missouri Valley College</t>
  </si>
  <si>
    <t>reaishffay@gmail.com</t>
  </si>
  <si>
    <t>73.233.118.236</t>
  </si>
  <si>
    <t>R_BrWlYlREVo3JXz3</t>
  </si>
  <si>
    <t>shakoyasawcge@gmail.com</t>
  </si>
  <si>
    <t>70.179.99.221</t>
  </si>
  <si>
    <t>R_3QJM5FNPp9Hv7Dj</t>
  </si>
  <si>
    <t>A work-study job,Student loans,Tuition remission,Help from family or friends</t>
  </si>
  <si>
    <t>viewxps@gmail.com</t>
  </si>
  <si>
    <t xml:space="preserve">Mackintosh Reg,viewxps@gmail.com
</t>
  </si>
  <si>
    <t>R_ZwThRBCBiLrq9yh</t>
  </si>
  <si>
    <t>Other grants from the federal or state government,Other grants from my college or university,Student loans,Tuition remission</t>
  </si>
  <si>
    <t>White or Caucasian,Hispanic or Latino,American Indian or Alaskan Native,Southeast Asian,Pacific Islander or Native Hawaiian,Other Asian or Asian-American</t>
  </si>
  <si>
    <t>Newberry College</t>
  </si>
  <si>
    <t>concealwdlv@gmail.com</t>
  </si>
  <si>
    <t>24.143.42.27</t>
  </si>
  <si>
    <t>R_1Ej5cmaAlNXh1R0</t>
  </si>
  <si>
    <t>bcaistbi@gmail.com</t>
  </si>
  <si>
    <t>R_2PBF2flQhZWYEgW</t>
  </si>
  <si>
    <t>Winthrop University</t>
  </si>
  <si>
    <t>affordableqhhq@gmail.com</t>
  </si>
  <si>
    <t>67.175.77.94</t>
  </si>
  <si>
    <t>R_24OurUtlGpKy84F</t>
  </si>
  <si>
    <t>A work-study job,Other grants from my college or university,Help from family or friends</t>
  </si>
  <si>
    <t>Kashmere_Schraub9393@yahoo.com</t>
  </si>
  <si>
    <t>174.58.206.192</t>
  </si>
  <si>
    <t>R_27BZniMWYB9K079</t>
  </si>
  <si>
    <t>Angela.Rhodes890@gmail.com</t>
  </si>
  <si>
    <t>73.9.204.16</t>
  </si>
  <si>
    <t>R_1K0wtGVgj51VE0H</t>
  </si>
  <si>
    <t>A work-study job,Other grants from the federal or state government,Student loans,Tuition remission,Help from family or friends</t>
  </si>
  <si>
    <t>cathleen7836@gmail.com</t>
  </si>
  <si>
    <t>R_1NwhVmr9dftD2J7</t>
  </si>
  <si>
    <t>A work-study job,Pell Grant,Other grants from my college or university,Savings,Other</t>
  </si>
  <si>
    <t>White or Caucasian,African American or Black,Hispanic or Latino,Southeast Asian,Pacific Islander or Native Hawaiian,Other (please specify)</t>
  </si>
  <si>
    <t>Lebanon Valley College</t>
  </si>
  <si>
    <t>conceivecmkf@gmail.com</t>
  </si>
  <si>
    <t>67.176.180.68</t>
  </si>
  <si>
    <t>R_3KIkYNLQRkr9WTf</t>
  </si>
  <si>
    <t>A work-study job,Other grants from the federal or state government,Student loans,Help from family or friends,Credit cards</t>
  </si>
  <si>
    <t>pettyffree@gmail.com</t>
  </si>
  <si>
    <t>R_3EuNe6ZVprfcdNg</t>
  </si>
  <si>
    <t>Mount Saint Mary College</t>
  </si>
  <si>
    <t>remedydxfk@gmail.com</t>
  </si>
  <si>
    <t>73.74.133.61</t>
  </si>
  <si>
    <t>R_sTHK8ZsCQICNrrz</t>
  </si>
  <si>
    <t>eplszths@gmail.com</t>
  </si>
  <si>
    <t>99.60.73.37</t>
  </si>
  <si>
    <t>R_3ykZm2Si0rvZ1rX</t>
  </si>
  <si>
    <t>Myra.Horton8813@gmail.com</t>
  </si>
  <si>
    <t>R_agHkUODMIcDaD0R</t>
  </si>
  <si>
    <t>A job that isn’t work-study (including self-employment),Pell Grant,Other grants from the federal or state government,Student loans,Tuition remission,Employer support</t>
  </si>
  <si>
    <t>African American or Black,Hispanic or Latino,American Indian or Alaskan Native,Southeast Asian,Pacific Islander or Native Hawaiian,Other (please specify)</t>
  </si>
  <si>
    <t>University of the Ozarks</t>
  </si>
  <si>
    <t>flattenmyce@gmail.com</t>
  </si>
  <si>
    <t>76.16.60.204</t>
  </si>
  <si>
    <t>R_2PoGfVeYxLmMVcD</t>
  </si>
  <si>
    <t>Darline_Vanbrocklin1919@yahoo.com-</t>
  </si>
  <si>
    <t>R_3fSPKPLochOTuNO</t>
  </si>
  <si>
    <t>Other grants from the federal or state government,Tuition remission,Help from family or friends,Other</t>
  </si>
  <si>
    <t>aviatorhxpe@gmail.com</t>
  </si>
  <si>
    <t>72.224.225.98</t>
  </si>
  <si>
    <t>R_1opwiPiWg9FXwHJ</t>
  </si>
  <si>
    <t>klimusbuqtvjk@gmail.com</t>
  </si>
  <si>
    <t>R_11aqMnXtDD8kzff</t>
  </si>
  <si>
    <t>White or Caucasian,Middle Eastern or North African or Arab or Arab American,Other (please specify)</t>
  </si>
  <si>
    <t>Judson College</t>
  </si>
  <si>
    <t>awarenessurmq@gmail.com</t>
  </si>
  <si>
    <t>67.11.107.225</t>
  </si>
  <si>
    <t>R_utgQweZk5JGPWZr</t>
  </si>
  <si>
    <t>jasheemlvtvup@gmail.com</t>
  </si>
  <si>
    <t>73.72.4.172</t>
  </si>
  <si>
    <t>R_DIPUsaZYaPQNbCV</t>
  </si>
  <si>
    <t>A work-study job,Student loans,Help from family or friends,Credit cards</t>
  </si>
  <si>
    <t>African American or Black,Hispanic or Latino</t>
  </si>
  <si>
    <t>giovanniweo@gmail.com</t>
  </si>
  <si>
    <t>205.178.97.198</t>
  </si>
  <si>
    <t>R_11gW9H5j588dwoI</t>
  </si>
  <si>
    <t>Kyrian_Guittar5555@yahoo.com</t>
  </si>
  <si>
    <t>73.176.57.205</t>
  </si>
  <si>
    <t>R_WvAJn23XaL5bj8t</t>
  </si>
  <si>
    <t>A work-study job,Student loans,Tuition remission,Help from family or friends,Credit cards</t>
  </si>
  <si>
    <t>yuygdcvh@gmail.com</t>
  </si>
  <si>
    <t>R_yJ6qURYcT1h60Vz</t>
  </si>
  <si>
    <t>A job that isn’t work-study (including self-employment),Other grants from the federal or state government,Other grants from my college or university</t>
  </si>
  <si>
    <t>African American or Black,Middle Eastern or North African or Arab or Arab American,Southeast Asian,Pacific Islander or Native Hawaiian,Other Asian or Asian-American,Other (please specify)</t>
  </si>
  <si>
    <t>Santa Fe University of Art and Design</t>
  </si>
  <si>
    <t>frigidvxny@gmail.com</t>
  </si>
  <si>
    <t>73.176.166.146</t>
  </si>
  <si>
    <t>R_BPpThqpOZANyzpn</t>
  </si>
  <si>
    <t>A work-study job,Other grants from my college or university,Tuition remission,Help from family or friends,Credit cards</t>
  </si>
  <si>
    <t>kathrynkfov@gmail.com</t>
  </si>
  <si>
    <t>98.34.38.28</t>
  </si>
  <si>
    <t>R_1mF9wLbboFqWziz</t>
  </si>
  <si>
    <t>A work-study job,Other grants from my college or university,Student loans,Help from family or friends,Credit cards</t>
  </si>
  <si>
    <t>jotmjngf@gmail.com</t>
  </si>
  <si>
    <t>75.132.192.241</t>
  </si>
  <si>
    <t>R_0pmvVqSPSelYUEN</t>
  </si>
  <si>
    <t>A work-study job,Other grants from the federal or state government,Student loans,Tuition remission,Help from family or friends,Credit cards</t>
  </si>
  <si>
    <t>zjbaivws@gmail.com</t>
  </si>
  <si>
    <t>R_302WeIu05ndl4a6</t>
  </si>
  <si>
    <t>A work-study job,Help from family or friends,Employer support</t>
  </si>
  <si>
    <t>AmerValentine@yahoo.com</t>
  </si>
  <si>
    <t>Mark B Williams
AmerValentine@yahoo.com</t>
  </si>
  <si>
    <t>R_2a98bM3EGmmRkIK</t>
  </si>
  <si>
    <t>Hispanic or Latino,Southeast Asian</t>
  </si>
  <si>
    <t>Presbyterian College</t>
  </si>
  <si>
    <t>resolutioniivx@gmail.com</t>
  </si>
  <si>
    <t>104.50.123.109</t>
  </si>
  <si>
    <t>R_2tGsloED3we4ecQ</t>
  </si>
  <si>
    <t>allbutiqrgupr@gmail.com</t>
  </si>
  <si>
    <t>73.176.164.100</t>
  </si>
  <si>
    <t>R_w4SLBYvyZoujScF</t>
  </si>
  <si>
    <t>Other grants from my college or university,Savings,Credit cards</t>
  </si>
  <si>
    <t>White or Caucasian,Middle Eastern or North African or Arab or Arab American</t>
  </si>
  <si>
    <t>Saachi_Quirke77@yahoo.com</t>
  </si>
  <si>
    <t>R_3EgT0uhPwgzY6wM</t>
  </si>
  <si>
    <t>Pell Grant,Tuition remission,Credit cards,Employer support</t>
  </si>
  <si>
    <t>Bethany Lutheran College</t>
  </si>
  <si>
    <t>compactsefo@gmail.com</t>
  </si>
  <si>
    <t>173.185.146.146</t>
  </si>
  <si>
    <t>R_3kigplxxEEkBL9J</t>
  </si>
  <si>
    <t>precyoushvnbdt@gmail.com</t>
  </si>
  <si>
    <t>174.99.220.3</t>
  </si>
  <si>
    <t>R_1nPJ0m96rv8F7cU</t>
  </si>
  <si>
    <t>alliecnbz@gmail.com</t>
  </si>
  <si>
    <t>R_3xV94JRIYcCN4NH</t>
  </si>
  <si>
    <t>Other grants from my college or university,Help from family or friends,Savings</t>
  </si>
  <si>
    <t>African American or Black,American Indian or Alaskan Native,Southeast Asian,Pacific Islander or Native Hawaiian,Other Asian or Asian-American,Other (please specify)</t>
  </si>
  <si>
    <t>Hiram College</t>
  </si>
  <si>
    <t>contendpokv@gmail.com</t>
  </si>
  <si>
    <t>207.38.143.160</t>
  </si>
  <si>
    <t>R_1lnSQEcWIP5FOdx</t>
  </si>
  <si>
    <t>Pell Grant,Help from family or friends</t>
  </si>
  <si>
    <t>Jarredrga@gmail.com</t>
  </si>
  <si>
    <t>209.34.198.38</t>
  </si>
  <si>
    <t>R_28P5PURhbcTiyle</t>
  </si>
  <si>
    <t>fortunaizruva@gmail.com</t>
  </si>
  <si>
    <t>69.132.28.103</t>
  </si>
  <si>
    <t>R_1DAVzl0puDzNhUz</t>
  </si>
  <si>
    <t>A work-study job,Other grants from my college or university,Help from family or friends,Credit cards</t>
  </si>
  <si>
    <t>trendoihl@gmail.com</t>
  </si>
  <si>
    <t>73.75.39.149</t>
  </si>
  <si>
    <t>R_2XoHoIHB6xJW2NH</t>
  </si>
  <si>
    <t>Lauriana_Colander4848@yahoo.com</t>
  </si>
  <si>
    <t>73.176.163.205</t>
  </si>
  <si>
    <t>R_YaTzxEMWx1N6dKp</t>
  </si>
  <si>
    <t>Student loans,Help from family or friends</t>
  </si>
  <si>
    <t>University of Mecklenburg</t>
  </si>
  <si>
    <t>SkyelarFrankenberry@yahoo.com</t>
  </si>
  <si>
    <t>71.239.188.85</t>
  </si>
  <si>
    <t>R_Z9x3m6C8R6pClpL</t>
  </si>
  <si>
    <t>Pell Grant,Credit cards</t>
  </si>
  <si>
    <t>Roxanne.Wigginsh@gmail.com</t>
  </si>
  <si>
    <t>R_2sYWcdD0vEHO170</t>
  </si>
  <si>
    <t>Pell Grant,Tuition remission,Savings,Credit cards,Other</t>
  </si>
  <si>
    <t>Hispanic or Latino,Southeast Asian,Pacific Islander or Native Hawaiian,Other Asian or Asian-American,Other (please specify)</t>
  </si>
  <si>
    <t>productivewibg@gmail.com</t>
  </si>
  <si>
    <t>98.32.147.82</t>
  </si>
  <si>
    <t>R_24Ie7Dxkm3RFhTq</t>
  </si>
  <si>
    <t>moviewdy@gmail.com</t>
  </si>
  <si>
    <t>R_2ccSoomLy8eZidv</t>
  </si>
  <si>
    <t>A work-study job,Other grants from the federal or state government,Savings,Employer support</t>
  </si>
  <si>
    <t>White or Caucasian,African American or Black,Southeast Asian,Other Asian or Asian-American,Other (please specify)</t>
  </si>
  <si>
    <t>Gustavus Adolphus College</t>
  </si>
  <si>
    <t>steadyulrq@gmail.com</t>
  </si>
  <si>
    <t>99.67.193.189</t>
  </si>
  <si>
    <t>R_27KBcfiie7S88eo</t>
  </si>
  <si>
    <t>A work-study job,Other grants from the federal or state government,Other grants from my college or university,Student loans,Help from family or friends,Credit cards</t>
  </si>
  <si>
    <t>nhffkhlp@gmail.com</t>
  </si>
  <si>
    <t>76.23.106.181</t>
  </si>
  <si>
    <t>R_307BzuzSYl7pkQ9</t>
  </si>
  <si>
    <t>AreeyaDemerchant1991@yahoo.com</t>
  </si>
  <si>
    <t>24.219.24.93</t>
  </si>
  <si>
    <t>R_3Eor2tXnmbWJnYk</t>
  </si>
  <si>
    <t>hike.Gwendolyn@gmail.com</t>
  </si>
  <si>
    <t>R_1dE9YuZRSKBJFnn</t>
  </si>
  <si>
    <t>Savings</t>
  </si>
  <si>
    <t>principalpsjq@gmail.com</t>
  </si>
  <si>
    <t>98.193.21.201</t>
  </si>
  <si>
    <t>R_2wHLlzxNzsSjRuf</t>
  </si>
  <si>
    <t>A work-study job,Other grants from my college or university,Tuition remission,Savings</t>
  </si>
  <si>
    <t>NA</t>
  </si>
  <si>
    <t>White or Caucasian,American Indian or Alaskan Native,Southeast Asian,Pacific Islander or Native Hawaiian,Other Asian or Asian-American</t>
  </si>
  <si>
    <t>Gad_Mckissack8484@yahoo.com</t>
  </si>
  <si>
    <t>73.36.163.176</t>
  </si>
  <si>
    <t>R_2aX73nr5ulThh7P</t>
  </si>
  <si>
    <t>herdjosef@gmail.com</t>
  </si>
  <si>
    <t>38.124.66.114</t>
  </si>
  <si>
    <t>R_Y32tXoIe8VrIv3b</t>
  </si>
  <si>
    <t>ek26468@gmail.com</t>
  </si>
  <si>
    <t>R_21ze32Vtjm7seNC</t>
  </si>
  <si>
    <t>A job that isn’t work-study (including self-employment),Pell Grant,Other grants from the federal or state government,Other grants from my college or university,Student loans,Help from family or friends</t>
  </si>
  <si>
    <t>Madonna University</t>
  </si>
  <si>
    <t>endearjfdf@gmail.com</t>
  </si>
  <si>
    <t>172.58.140.233</t>
  </si>
  <si>
    <t>R_31aBRH9rinLDy0t</t>
  </si>
  <si>
    <t>proudwjysfg@gmail.com</t>
  </si>
  <si>
    <t>98.155.82.62</t>
  </si>
  <si>
    <t>R_2Xhs1wu9AYE3smf</t>
  </si>
  <si>
    <t>Other grants from my college or university,Tuition remission</t>
  </si>
  <si>
    <t>Aryaveer_Klaman4444@yahoo.com</t>
  </si>
  <si>
    <t>67.165.153.187</t>
  </si>
  <si>
    <t>R_1jNEpTNPCsEzPSo</t>
  </si>
  <si>
    <t>qwfhhsru@gmail.com</t>
  </si>
  <si>
    <t>72.23.121.213</t>
  </si>
  <si>
    <t>R_0Jw6uk950c6V92V</t>
  </si>
  <si>
    <t>PomillaJacqlyn1984@yahoo.com</t>
  </si>
  <si>
    <t>R_3lGG1UEfwystZEc</t>
  </si>
  <si>
    <t>A work-study job,Help from family or friends</t>
  </si>
  <si>
    <t>statehkqw@gmail.com</t>
  </si>
  <si>
    <t>68.107.127.75</t>
  </si>
  <si>
    <t>R_2q9jOBJUmefzlbg</t>
  </si>
  <si>
    <t>FlorinePattonmdl@yahoo.com</t>
  </si>
  <si>
    <t xml:space="preserve"> Donald T Utt
FlorinePattonmdl@yahoo.com</t>
  </si>
  <si>
    <t>R_24IQO5zY6E2bEVq</t>
  </si>
  <si>
    <t>Pell Grant,Student loans,Help from family or friends</t>
  </si>
  <si>
    <t>Mercy College</t>
  </si>
  <si>
    <t>innatesvrg@gmail.com</t>
  </si>
  <si>
    <t>24.12.76.204</t>
  </si>
  <si>
    <t>R_Ybli4jjCO4BSwlX</t>
  </si>
  <si>
    <t>cluytsjk@gmail.com</t>
  </si>
  <si>
    <t>73.139.194.171</t>
  </si>
  <si>
    <t>R_3e5dGEvpXaBIrrY</t>
  </si>
  <si>
    <t>plastowiedskq@gmail.com</t>
  </si>
  <si>
    <t>76.16.27.122</t>
  </si>
  <si>
    <t>R_VImMnyfc1KZSVZD</t>
  </si>
  <si>
    <t>dwxiwpen@gmail.com</t>
  </si>
  <si>
    <t>47.222.52.71</t>
  </si>
  <si>
    <t>R_22YbmeQc7ZJlmVU</t>
  </si>
  <si>
    <t>Kataleena_Hannegan4242@yahoo.com</t>
  </si>
  <si>
    <t>174.82.88.235</t>
  </si>
  <si>
    <t>R_pfmATo7w4qYebKh</t>
  </si>
  <si>
    <t>RhoderickLemichael1993@yahoo.com</t>
  </si>
  <si>
    <t>R_3PAjr3lIuECdjRl</t>
  </si>
  <si>
    <t>White or Caucasian,African American or Black,American Indian or Alaskan Native,Middle Eastern or North African or Arab or Arab American,Pacific Islander or Native Hawaiian,Other Asian or Asian-American</t>
  </si>
  <si>
    <t>Alice Lloyd College</t>
  </si>
  <si>
    <t>subspecieseghe@gmail.com</t>
  </si>
  <si>
    <t>96.224.90.110</t>
  </si>
  <si>
    <t>R_575NwyW6ajW2WZj</t>
  </si>
  <si>
    <t>kevondrickzintvf@gmail.com</t>
  </si>
  <si>
    <t>206.13.104.96</t>
  </si>
  <si>
    <t>R_3O8iVCir4fg1jAa</t>
  </si>
  <si>
    <t>adrianitcyvrg@gmail.com</t>
  </si>
  <si>
    <t>R_1IFZmAjMZRkrVCb</t>
  </si>
  <si>
    <t>A work-study job,Pell Grant,Student loans,Help from family or friends,Savings,Other</t>
  </si>
  <si>
    <t>African American or Black,American Indian or Alaskan Native,Middle Eastern or North African or Arab or Arab American,Other Asian or Asian-American</t>
  </si>
  <si>
    <t>Houghton College</t>
  </si>
  <si>
    <t>outrightprso@gmail.com</t>
  </si>
  <si>
    <t>45.25.240.29</t>
  </si>
  <si>
    <t>R_bC2y1eEnxvuQSHf</t>
  </si>
  <si>
    <t>michaelah938@gmail.com</t>
  </si>
  <si>
    <t>75.73.142.9</t>
  </si>
  <si>
    <t>R_3Oi7gqwzNNfkQ7A</t>
  </si>
  <si>
    <t>Other grants from my college or university,Tuition remission,Help from family or friends</t>
  </si>
  <si>
    <t>Perseis_Pavlovic3535@yahoo.com</t>
  </si>
  <si>
    <t>99.190.43.37</t>
  </si>
  <si>
    <t>R_3b14MT2fLirHbEZ</t>
  </si>
  <si>
    <t>givelynne@gmail.com</t>
  </si>
  <si>
    <t>R_24iSPsAWZZdYVKD</t>
  </si>
  <si>
    <t>A job that isn’t work-study (including self-employment),Help from family or friends,Employer support</t>
  </si>
  <si>
    <t>Virginia Intermont College</t>
  </si>
  <si>
    <t>blankethwyo@gmail.com</t>
  </si>
  <si>
    <t>170.10.32.54</t>
  </si>
  <si>
    <t>R_1hLlxX4shjsdfWC</t>
  </si>
  <si>
    <t>IlaSimpsongfp@yahoo.com</t>
  </si>
  <si>
    <t>Cindy J Merrick
IlaSimpsongfp@yahoo.com</t>
  </si>
  <si>
    <t>71.72.56.44</t>
  </si>
  <si>
    <t>R_3GoWHpZsrwqQFWl</t>
  </si>
  <si>
    <t>dxhqegrbcffv@gmail.com</t>
  </si>
  <si>
    <t>97.98.12.46</t>
  </si>
  <si>
    <t>R_30bHupfgVKeGL6c</t>
  </si>
  <si>
    <t>A job that isn’t work-study (including self-employment),Other grants from my college or university,Employer support</t>
  </si>
  <si>
    <t>DrelickCordero@yahoo.com</t>
  </si>
  <si>
    <t>R_2QheZDbZ5ojbN6F</t>
  </si>
  <si>
    <t>A work-study job,A job that isn’t work-study (including self-employment),Other grants from my college or university,Student loans</t>
  </si>
  <si>
    <t>Reinhardt University</t>
  </si>
  <si>
    <t>scratchzcxa@gmail.com</t>
  </si>
  <si>
    <t>71.201.226.63</t>
  </si>
  <si>
    <t>R_1pzYst40aTi9Qdn</t>
  </si>
  <si>
    <t>Help from family or friends,Savings,Credit cards,Employer support</t>
  </si>
  <si>
    <t>Josette_Karnish9090@yahoo.com</t>
  </si>
  <si>
    <t>160.16.206.32</t>
  </si>
  <si>
    <t>R_xlJ01pzP4NGTs77</t>
  </si>
  <si>
    <t>A job that isn’t work-study (including self-employment),Other grants from the federal or state government,Employer support</t>
  </si>
  <si>
    <t>demetricksbngwok@gmail.com</t>
  </si>
  <si>
    <t>99.151.37.13</t>
  </si>
  <si>
    <t>R_cNNbLPVm8FCKgXn</t>
  </si>
  <si>
    <t>Troy.Dean4729@gmail.com</t>
  </si>
  <si>
    <t>162.200.56.116</t>
  </si>
  <si>
    <t>R_24jj2BkdyayP7zI</t>
  </si>
  <si>
    <t>A job that isn’t work-study (including self-employment),Help from family or friends,Other</t>
  </si>
  <si>
    <t>DiyanaStancey@yahoo.com</t>
  </si>
  <si>
    <t>73.208.166.13</t>
  </si>
  <si>
    <t>R_9BnY2Zl5xYWzhGV</t>
  </si>
  <si>
    <t>washburtu@gmail.com</t>
  </si>
  <si>
    <t>R_2QzGZrTGCxqc0gL</t>
  </si>
  <si>
    <t>African American or Black,Hispanic or Latino,Southeast Asian</t>
  </si>
  <si>
    <t>crookedpugi@gmail.com</t>
  </si>
  <si>
    <t>47.208.154.147</t>
  </si>
  <si>
    <t>R_2YtSkafe7bSfErA</t>
  </si>
  <si>
    <t>OlaGayolm@yahoo.com</t>
  </si>
  <si>
    <t>69.47.241.208</t>
  </si>
  <si>
    <t>R_3NDu7sOEnwwiWRA</t>
  </si>
  <si>
    <t>zfdyhklv@gmail.com</t>
  </si>
  <si>
    <t>69.231.81.148</t>
  </si>
  <si>
    <t>R_1LM6I3Q7PygQ76O</t>
  </si>
  <si>
    <t>A job that isn’t work-study (including self-employment),Other grants from my college or university,Help from family or friends</t>
  </si>
  <si>
    <t>PhinazeeKaylanie1989@yahoo.com</t>
  </si>
  <si>
    <t>R_12r5c7KyiC2KX4W</t>
  </si>
  <si>
    <t>A job that isn’t work-study (including self-employment),Student loans,Credit cards,Other</t>
  </si>
  <si>
    <t>Connecticut College</t>
  </si>
  <si>
    <t>reclaimsfpj@gmail.com</t>
  </si>
  <si>
    <t>68.110.247.250</t>
  </si>
  <si>
    <t>R_z6WPhrZ6NiTPzgJ</t>
  </si>
  <si>
    <t>Yale University</t>
  </si>
  <si>
    <t>AliaWintersxjc@yahoo.com</t>
  </si>
  <si>
    <t>98.206.2.136</t>
  </si>
  <si>
    <t>R_1IcMrnzlX7Bqz7S</t>
  </si>
  <si>
    <t>A job that isn’t work-study (including self-employment),Help from family or friends</t>
  </si>
  <si>
    <t>exii.chulita184@gmail.com</t>
  </si>
  <si>
    <t>73.231.25.30</t>
  </si>
  <si>
    <t>R_3qsRU0yNYG4GrU7</t>
  </si>
  <si>
    <t>A work-study job,Other grants from my college or university,Stipend or fellowship,Tuition remission,Help from family or friends</t>
  </si>
  <si>
    <t>American Indian or Alaskan Native,Other Asian or Asian-American</t>
  </si>
  <si>
    <t>Viraj_Gomberg2323@yahoo.com</t>
  </si>
  <si>
    <t>66.229.111.12</t>
  </si>
  <si>
    <t>R_1gpX8v5Issh5L0E</t>
  </si>
  <si>
    <t>GuleyKailin1986@yahoo.com</t>
  </si>
  <si>
    <t>R_WcAygN1XLQgzBKh</t>
  </si>
  <si>
    <t>White or Caucasian,American Indian or Alaskan Native,Middle Eastern or North African or Arab or Arab American,Southeast Asian</t>
  </si>
  <si>
    <t>Lesley College</t>
  </si>
  <si>
    <t>explosiongldn@gmail.com</t>
  </si>
  <si>
    <t>67.61.172.7</t>
  </si>
  <si>
    <t>R_UWQBIfaqBpenpAd</t>
  </si>
  <si>
    <t>Jeannie.Shaw4742@gmail.com</t>
  </si>
  <si>
    <t>69.47.224.40</t>
  </si>
  <si>
    <t>R_1NePRdDY24hU2N5</t>
  </si>
  <si>
    <t>jd14780791@gmail.com</t>
  </si>
  <si>
    <t>24.17.25.71</t>
  </si>
  <si>
    <t>R_9Bvb17SY8K5wSFr</t>
  </si>
  <si>
    <t>BanningXaidyn@yahoo.com</t>
  </si>
  <si>
    <t>R_3ql1BlYAZnjzgJ0</t>
  </si>
  <si>
    <t>Student loans,Help from family or friends,Employer support</t>
  </si>
  <si>
    <t>African American or Black,Hispanic or Latino,American Indian or Alaskan Native,Middle Eastern or North African or Arab or Arab American,Southeast Asian,Other Asian or Asian-American</t>
  </si>
  <si>
    <t>MacMurray College</t>
  </si>
  <si>
    <t>ambitionxvhk@gmail.com</t>
  </si>
  <si>
    <t>67.173.171.231</t>
  </si>
  <si>
    <t>R_2wcxTE4otBzOlpd</t>
  </si>
  <si>
    <t>admitadkh@gmail.com</t>
  </si>
  <si>
    <t>73.96.65.209</t>
  </si>
  <si>
    <t>R_3nBKLWL7MmHr9VR</t>
  </si>
  <si>
    <t>Jasmine.Page2755@gmail.com</t>
  </si>
  <si>
    <t>68.43.208.78</t>
  </si>
  <si>
    <t>R_2zIyiAoEb5fImCE</t>
  </si>
  <si>
    <t>SorenGregorysbc@yahoo.com</t>
  </si>
  <si>
    <t>174.51.62.51</t>
  </si>
  <si>
    <t>R_1mRgSJ4ZJOMkBcF</t>
  </si>
  <si>
    <t>A work-study job,Other grants from the federal or state government,Other grants from my college or university</t>
  </si>
  <si>
    <t>Bentley_Anschutz9494@yahoo.com</t>
  </si>
  <si>
    <t>98.227.11.40</t>
  </si>
  <si>
    <t>R_1prDKeUTQJKGXdZ</t>
  </si>
  <si>
    <t>haltfjc@gmail.com</t>
  </si>
  <si>
    <t>76.109.108.107</t>
  </si>
  <si>
    <t>R_1hYlZu0vd4nohli</t>
  </si>
  <si>
    <t>Wm.Fitzgerald758@gmail.com</t>
  </si>
  <si>
    <t>R_12hRBEZE1GHC6QZ</t>
  </si>
  <si>
    <t>White or Caucasian,Other (please specify)</t>
  </si>
  <si>
    <t>John Brown University</t>
  </si>
  <si>
    <t>crustaceanlazy@gmail.com</t>
  </si>
  <si>
    <t>73.246.158.44</t>
  </si>
  <si>
    <t>R_3GqBcW3vFjIFB5t</t>
  </si>
  <si>
    <t>Pell Grant,Tuition remission</t>
  </si>
  <si>
    <t>Esperanzadxws@gmail.com</t>
  </si>
  <si>
    <t>73.60.1.75</t>
  </si>
  <si>
    <t>R_WlJWUWHe2BLuYUh</t>
  </si>
  <si>
    <t>sametrauidfmv@gmail.com</t>
  </si>
  <si>
    <t>66.172.114.99</t>
  </si>
  <si>
    <t>R_2rwiUXAu45WUqly</t>
  </si>
  <si>
    <t>Tuition remission,Savings,Credit cards,Employer support</t>
  </si>
  <si>
    <t>Suheyla_Mceady6868@yahoo.com</t>
  </si>
  <si>
    <t>R_3suhiJeq8wJLPDp</t>
  </si>
  <si>
    <t>Bacone College</t>
  </si>
  <si>
    <t>equivalentxayh@gmail.com</t>
  </si>
  <si>
    <t>71.223.122.40</t>
  </si>
  <si>
    <t>R_2cneBIHIiZa4A29</t>
  </si>
  <si>
    <t>A work-study job,Other grants from my college or university,Student loans,Help from family or friends</t>
  </si>
  <si>
    <t>SerenaHerrerawrk@yahoo.com</t>
  </si>
  <si>
    <t>99.106.80.104</t>
  </si>
  <si>
    <t>R_1FhvZHxHk0RZ84q</t>
  </si>
  <si>
    <t>ivesveajbaq@gmail.com</t>
  </si>
  <si>
    <t>24.21.11.134</t>
  </si>
  <si>
    <t>R_3QMhz6kArRyuR6U</t>
  </si>
  <si>
    <t>ptjane1@gmail.com</t>
  </si>
  <si>
    <t>R_1NFAgVY0wL51FV6</t>
  </si>
  <si>
    <t>Hispanic or Latino,American Indian or Alaskan Native,Middle Eastern or North African or Arab or Arab American,Pacific Islander or Native Hawaiian</t>
  </si>
  <si>
    <t>Adams State University</t>
  </si>
  <si>
    <t>midwifekzzk@gmail.com</t>
  </si>
  <si>
    <t>47.146.130.106</t>
  </si>
  <si>
    <t>R_3pxfyd5E47DkR6V</t>
  </si>
  <si>
    <t>A work-study job,Student loans,Help from family or friends,Employer support</t>
  </si>
  <si>
    <t>Laine_Stdenny7979@yahoo.com</t>
  </si>
  <si>
    <t>24.162.54.69</t>
  </si>
  <si>
    <t>R_XCc2zyTi38BuCbf</t>
  </si>
  <si>
    <t>A job that isn’t work-study (including self-employment),Other grants from the federal or state government</t>
  </si>
  <si>
    <t>ervant4eternal@gmail.com</t>
  </si>
  <si>
    <t>67.168.185.127</t>
  </si>
  <si>
    <t>R_3DdxRsU66vqsLDx</t>
  </si>
  <si>
    <t>CarlShepherdahs@yahoo.com</t>
  </si>
  <si>
    <t>R_3HOdhhzotThRZYJ</t>
  </si>
  <si>
    <t>Bethel College</t>
  </si>
  <si>
    <t>jaggedllzn@gmail.com</t>
  </si>
  <si>
    <t>R_scjxIet5Lz8eZY5</t>
  </si>
  <si>
    <t>Hispanic or Latino,American Indian or Alaskan Native,Middle Eastern or North African or Arab or Arab American,Southeast Asian,Other Asian or Asian-American,Other (please specify)</t>
  </si>
  <si>
    <t>Green Mountain College</t>
  </si>
  <si>
    <t>cosmickwdy@gmail.com</t>
  </si>
  <si>
    <t>76.113.38.247</t>
  </si>
  <si>
    <t>R_3e1T4qPHUujaNPi</t>
  </si>
  <si>
    <t>JamarcusKingwxi@yahoo.com</t>
  </si>
  <si>
    <t>98.227.63.44</t>
  </si>
  <si>
    <t>R_10ux3ButLbCvyyT</t>
  </si>
  <si>
    <t>Student loans,Help from family or friends,Savings</t>
  </si>
  <si>
    <t>Harvard University</t>
  </si>
  <si>
    <t>ValeryStewartjfp@yahoo.com</t>
  </si>
  <si>
    <t>76.175.49.223</t>
  </si>
  <si>
    <t>R_2eUyMP77rIqcCCc</t>
  </si>
  <si>
    <t>Dustyyesp@gmail.com</t>
  </si>
  <si>
    <t>R_1i5nULd9jgmwW6e</t>
  </si>
  <si>
    <t>A work-study job,Pell Grant,Other grants from the federal or state government,Tuition remission,Help from family or friends,Savings</t>
  </si>
  <si>
    <t>White or Caucasian,American Indian or Alaskan Native,Middle Eastern or North African or Arab or Arab American,Southeast Asian,Pacific Islander or Native Hawaiian</t>
  </si>
  <si>
    <t>Principia College</t>
  </si>
  <si>
    <t>derrickpnrs@gmail.com</t>
  </si>
  <si>
    <t>97.73.244.243</t>
  </si>
  <si>
    <t>R_268UvTfYPJrhUgH</t>
  </si>
  <si>
    <t>kenniyahpwdsir@gmail.com</t>
  </si>
  <si>
    <t>99.121.61.46</t>
  </si>
  <si>
    <t>R_2s15NoEYeX9cioC</t>
  </si>
  <si>
    <t>A work-study job,Student loans</t>
  </si>
  <si>
    <t>ErnestBriggsanq@yahoo.com</t>
  </si>
  <si>
    <t>R_rjstcmohACPh18l</t>
  </si>
  <si>
    <t>White or Caucasian,African American or Black,Hispanic or Latino,Middle Eastern or North African or Arab or Arab American,Southeast Asian</t>
  </si>
  <si>
    <t>Lane College</t>
  </si>
  <si>
    <t>impactmuue@gmail.com</t>
  </si>
  <si>
    <t>172.75.121.59</t>
  </si>
  <si>
    <t>R_3DfFSvYarzacdvr</t>
  </si>
  <si>
    <t>KenyonNealmje@yahoo.com</t>
  </si>
  <si>
    <t>R_2uPa7nBckAik5Wj</t>
  </si>
  <si>
    <t>Pell Grant,Other grants from my college or university,Student loans,Tuition remission,Employer support,Other</t>
  </si>
  <si>
    <t>Ursinus College</t>
  </si>
  <si>
    <t>infraredlgtb@gmail.com</t>
  </si>
  <si>
    <t>173.3.122.221</t>
  </si>
  <si>
    <t>R_1DGwH7PL04E8Spl</t>
  </si>
  <si>
    <t>SydneyWiseqzl@yahoo.com</t>
  </si>
  <si>
    <t>R_2zqAbaISLCsZY8g</t>
  </si>
  <si>
    <t>Mars Hill College</t>
  </si>
  <si>
    <t>elementaryurnq@gmail.com</t>
  </si>
  <si>
    <t>70.244.32.170</t>
  </si>
  <si>
    <t>R_3ikycggl8lx1ZnE</t>
  </si>
  <si>
    <t>JanaMcclureuqb@yahoo.com</t>
  </si>
  <si>
    <t>R_1f13yMAMmwJ0QjL</t>
  </si>
  <si>
    <t>MerleJacobsoncwr@yahoo.com</t>
  </si>
  <si>
    <t>149.129.60.47</t>
  </si>
  <si>
    <t>R_3kbur9NYU7IKJRN</t>
  </si>
  <si>
    <t>katelynnkhp@gmail.com</t>
  </si>
  <si>
    <t xml:space="preserve">katelynnkhp@gmail.com
</t>
  </si>
  <si>
    <t>R_232kn1upAv3j5J1</t>
  </si>
  <si>
    <t>A job that isn’t work-study (including self-employment),Other grants from my college or university,Tuition remission,Help from family or friends,Savings,Other</t>
  </si>
  <si>
    <t>African American or Black,American Indian or Alaskan Native,Southeast Asian,Other Asian or Asian-American,Other (please specify)</t>
  </si>
  <si>
    <t>Culver–Stockton College</t>
  </si>
  <si>
    <t>stagecoachsdqq@gmail.com</t>
  </si>
  <si>
    <t>R_1Qo3GdumRS2uCNK</t>
  </si>
  <si>
    <t>Belmont University</t>
  </si>
  <si>
    <t>diameteruerc@gmail.com</t>
  </si>
  <si>
    <t>R_2WOJiWcuqoct709</t>
  </si>
  <si>
    <t>A work-study job,Pell Grant,Student loans,Employer support</t>
  </si>
  <si>
    <t>White or Caucasian,African American or Black,American Indian or Alaskan Native,Middle Eastern or North African or Arab or Arab American,Pacific Islander or Native Hawaiian</t>
  </si>
  <si>
    <t>Westminster College</t>
  </si>
  <si>
    <t>improvisebxed@gmail.com</t>
  </si>
  <si>
    <t>R_r2NvQLsLxj2g7T3</t>
  </si>
  <si>
    <t>A job that isn’t work-study (including self-employment),Other</t>
  </si>
  <si>
    <t>Colby College</t>
  </si>
  <si>
    <t>identifyiqrw@gmail.com</t>
  </si>
  <si>
    <t>174.81.234.88</t>
  </si>
  <si>
    <t>R_3Olc30nO0Mj4MpY</t>
  </si>
  <si>
    <t>stephaniejones3452@gmail.com</t>
  </si>
  <si>
    <t>Jacqueline S Perkins  stephaniejones3452@gmail.com</t>
  </si>
  <si>
    <t>R_22K3Y7R8IV7yZEC</t>
  </si>
  <si>
    <t>White or Caucasian,African American or Black,American Indian or Alaskan Native,Southeast Asian,Other (please specify)</t>
  </si>
  <si>
    <t>Thomas More College of Liberal Arts</t>
  </si>
  <si>
    <t>oilskinsbpbg@gmail.com</t>
  </si>
  <si>
    <t>R_OwZ9icu8R9Ca7K1</t>
  </si>
  <si>
    <t>Hispanic or Latino,Middle Eastern or North African or Arab or Arab American,Southeast Asian</t>
  </si>
  <si>
    <t>Goddard College</t>
  </si>
  <si>
    <t>realityzjml@gmail.com</t>
  </si>
  <si>
    <t>R_2Qrrwv0lBbGbyTJ</t>
  </si>
  <si>
    <t>A job that isn’t work-study (including self-employment),Other grants from the federal or state government,Other grants from my college or university,Help from family or friends,Savings,Other</t>
  </si>
  <si>
    <t>African American or Black,American Indian or Alaskan Native,Middle Eastern or North African or Arab or Arab American,Southeast Asian</t>
  </si>
  <si>
    <t>Regis College</t>
  </si>
  <si>
    <t>randomxczg@gmail.com</t>
  </si>
  <si>
    <t>65.79.147.253</t>
  </si>
  <si>
    <t>R_2YyRYIrM6p9XCjP</t>
  </si>
  <si>
    <t>JanelleGoodwin786@gmail.com</t>
  </si>
  <si>
    <t>Constance A Jones               JanelleGoodwin786@gmail.com</t>
  </si>
  <si>
    <t>R_ZgenM3JSUJxD5Sh</t>
  </si>
  <si>
    <t>A job that isn’t work-study (including self-employment),Other grants from my college or university,Student loans,Other</t>
  </si>
  <si>
    <t>White or Caucasian,African American or Black,Middle Eastern or North African or Arab or Arab American,Southeast Asian,Pacific Islander or Native Hawaiian,Other Asian or Asian-American</t>
  </si>
  <si>
    <t>McPherson College</t>
  </si>
  <si>
    <t>jaugnprxbn@gmail.com</t>
  </si>
  <si>
    <t>R_2Ui4pYZWrKuQeUq</t>
  </si>
  <si>
    <t>Central Baptist College</t>
  </si>
  <si>
    <t>fearsometjkq@gmail.com</t>
  </si>
  <si>
    <t>R_3qfgmYeMNDzG2YN</t>
  </si>
  <si>
    <t>A job that isn’t work-study (including self-employment),Other grants from my college or university,Help from family or friends,Other</t>
  </si>
  <si>
    <t>Skidmore College</t>
  </si>
  <si>
    <t>ironworkstpbt@gmail.com</t>
  </si>
  <si>
    <t>R_1ISqIH0GGsWkihv</t>
  </si>
  <si>
    <t>African American or Black,American Indian or Alaskan Native,Middle Eastern or North African or Arab or Arab American,Southeast Asian,Pacific Islander or Native Hawaiian,Other Asian or Asian-American</t>
  </si>
  <si>
    <t>conceivedaps@gmail.com</t>
  </si>
  <si>
    <t>R_1dtN2krQfToZW7g</t>
  </si>
  <si>
    <t>A job that isn’t work-study (including self-employment),Student loans,Tuition remission,Credit cards,Employer support</t>
  </si>
  <si>
    <t>White or Caucasian,African American or Black,Middle Eastern or North African or Arab or Arab American</t>
  </si>
  <si>
    <t>Gonzaga University</t>
  </si>
  <si>
    <t>disastrousicol@gmail.com</t>
  </si>
  <si>
    <t>R_Di6S0T66tSL7esV</t>
  </si>
  <si>
    <t>White or Caucasian,Hispanic or Latino,Southeast Asian,Other (please specify)</t>
  </si>
  <si>
    <t>Seattle University</t>
  </si>
  <si>
    <t>frictionzjwb@gmail.com</t>
  </si>
  <si>
    <t>68.96.140.229</t>
  </si>
  <si>
    <t>R_yDCZfytEgJ60vC1</t>
  </si>
  <si>
    <t>bfuvxdze@gmail.com</t>
  </si>
  <si>
    <t>R_1n0FCAbVFg3T36E</t>
  </si>
  <si>
    <t>A work-study job,Pell Grant,Other grants from the federal or state government,Student loans,Help from family or friends,Employer support</t>
  </si>
  <si>
    <t>African American or Black,Middle Eastern or North African or Arab or Arab American,Southeast Asian</t>
  </si>
  <si>
    <t>Susquehanna University</t>
  </si>
  <si>
    <t>fertilizeiskb@gmail.com</t>
  </si>
  <si>
    <t>R_1IzLi3Okf1w4SWW</t>
  </si>
  <si>
    <t>LASHONAWILLIAMS6548@gmail.com</t>
  </si>
  <si>
    <t>R_1fj70YR4rdvnY7E</t>
  </si>
  <si>
    <t>Pell Grant,Other grants from the federal or state government,Savings</t>
  </si>
  <si>
    <t>College of Saint Benedict and Saint John's University</t>
  </si>
  <si>
    <t>fictionmxni@gmail.com</t>
  </si>
  <si>
    <t>143.244.60.165</t>
  </si>
  <si>
    <t>R_2wH6yX55wBN2jUs</t>
  </si>
  <si>
    <t>JoseCisnerosJr.2156@gmail.com</t>
  </si>
  <si>
    <t>R_3GuC0Zpv3KzuoKw</t>
  </si>
  <si>
    <t>Point Loma Nazarene University</t>
  </si>
  <si>
    <t>municipalgkrh@gmail.com</t>
  </si>
  <si>
    <t>R_27agzwCGdfSCPsf</t>
  </si>
  <si>
    <t>Other grants from my college or university,Tuition remission,Help from family or friends,Credit cards,Other</t>
  </si>
  <si>
    <t>White or Caucasian,African American or Black,Hispanic or Latino,Middle Eastern or North African or Arab or Arab American,Other Asian or Asian-American,Other (please specify)</t>
  </si>
  <si>
    <t>University of Scranton</t>
  </si>
  <si>
    <t>symbolizekkfu@gmail.com</t>
  </si>
  <si>
    <t>R_2fHGGTLhKAngyht</t>
  </si>
  <si>
    <t>A work-study job,A job that isn’t work-study (including self-employment),Other grants from the federal or state government,Student loans</t>
  </si>
  <si>
    <t>Saint Joseph's College of Maine</t>
  </si>
  <si>
    <t>subwaygxrp@gmail.com</t>
  </si>
  <si>
    <t>R_vqwQeKGLkobZ4NX</t>
  </si>
  <si>
    <t>Other grants from my college or university,Tuition remission,Credit cards,Employer support</t>
  </si>
  <si>
    <t>University of Great Falls</t>
  </si>
  <si>
    <t>bisongdly@gmail.com</t>
  </si>
  <si>
    <t>R_2cnZiUnvZaLF11Y</t>
  </si>
  <si>
    <t>Hope College</t>
  </si>
  <si>
    <t>dismalmnei@gmail.com</t>
  </si>
  <si>
    <t>208.59.78.1</t>
  </si>
  <si>
    <t>R_7OPkla9DmWv8F5D</t>
  </si>
  <si>
    <t>CarolBaker7415@gmail.com</t>
  </si>
  <si>
    <t>R_3oI2iAX2GVe4dgf</t>
  </si>
  <si>
    <t>A work-study job,A job that isn’t work-study (including self-employment),Other grants from my college or university,Student loans,Employer support,Other</t>
  </si>
  <si>
    <t>African American or Black,Middle Eastern or North African or Arab or Arab American,Southeast Asian,Other Asian or Asian-American</t>
  </si>
  <si>
    <t>Dillard University</t>
  </si>
  <si>
    <t>notionbqqv@gmail.com</t>
  </si>
  <si>
    <t>108.83.50.128</t>
  </si>
  <si>
    <t>R_26mT3GJe6uLeFCa</t>
  </si>
  <si>
    <t>VICKICOORS49441@gmail.com</t>
  </si>
  <si>
    <t>R_1cY2Ntsqsb6QuTp</t>
  </si>
  <si>
    <t>Student loans,Credit cards</t>
  </si>
  <si>
    <t>Wofford College</t>
  </si>
  <si>
    <t>appealingryyf@gmail.com</t>
  </si>
  <si>
    <t>R_1kYaBYw3tCKARnl</t>
  </si>
  <si>
    <t>Wisconsin Lutheran College</t>
  </si>
  <si>
    <t>scenicejkt@gmail.com</t>
  </si>
  <si>
    <t>R_3LciR123ZqVxIwC</t>
  </si>
  <si>
    <t>A work-study job,Pell Grant,Other grants from the federal or state government,Other grants from my college or university,Student loans</t>
  </si>
  <si>
    <t>African American or Black,Hispanic or Latino,American Indian or Alaskan Native,Other Asian or Asian-American</t>
  </si>
  <si>
    <t>Buffalo State College</t>
  </si>
  <si>
    <t>exertmvhk@gmail.com</t>
  </si>
  <si>
    <t>R_2Pbu6mrcOyiXGyO</t>
  </si>
  <si>
    <t>Randolph–Macon College</t>
  </si>
  <si>
    <t>populatedqtid@gmail.com</t>
  </si>
  <si>
    <t>R_UxLxJf2CnrQpppD</t>
  </si>
  <si>
    <t>A job that isn’t work-study (including self-employment),Other grants from the federal or state government,Other grants from my college or university,Student loans,Savings,Other</t>
  </si>
  <si>
    <t>College of Charleston</t>
  </si>
  <si>
    <t>aggregatepmzw@gmail.com</t>
  </si>
  <si>
    <t>73.44.25.170</t>
  </si>
  <si>
    <t>R_RV1ckPQvST4ZBi9</t>
  </si>
  <si>
    <t>Help from family or friends,Credit cards</t>
  </si>
  <si>
    <t>MauriceBlair6352@gmail.com</t>
  </si>
  <si>
    <t>R_1H7sfXQAUnDdONz</t>
  </si>
  <si>
    <t>A work-study job,Pell Grant,Savings,Credit cards,Employer support,Other</t>
  </si>
  <si>
    <t>Southeast Asian,Other Asian or Asian-American</t>
  </si>
  <si>
    <t>Eastern Connecticut State University</t>
  </si>
  <si>
    <t>presentxzkl@gmail.com</t>
  </si>
  <si>
    <t>R_33vXG8rwq1c9vta</t>
  </si>
  <si>
    <t>Pell Grant,Other grants from the federal or state government,Employer support,Other</t>
  </si>
  <si>
    <t>African American or Black,Southeast Asian,Other Asian or Asian-American</t>
  </si>
  <si>
    <t>loyalistqrwd@gmail.com</t>
  </si>
  <si>
    <t>R_A6izbsnUYSip3s5</t>
  </si>
  <si>
    <t>Pacific Islander or Native Hawaiian,Other Asian or Asian-American</t>
  </si>
  <si>
    <t>King's College</t>
  </si>
  <si>
    <t>externalzhke@gmail.com</t>
  </si>
  <si>
    <t>R_RKcJb7C8D47r7ep</t>
  </si>
  <si>
    <t>African American or Black,Hispanic or Latino,Middle Eastern or North African or Arab or Arab American</t>
  </si>
  <si>
    <t>University of Science and Arts of Oklahoma</t>
  </si>
  <si>
    <t>perplexingftwx@gmail.com</t>
  </si>
  <si>
    <t>R_3kFFJ3oFe1IksSq</t>
  </si>
  <si>
    <t>Lewis &amp; Clark College</t>
  </si>
  <si>
    <t>approveyxpm@gmail.com</t>
  </si>
  <si>
    <t>R_1LZnp7ap4kIhQvJ</t>
  </si>
  <si>
    <t>A job that isn’t work-study (including self-employment),Pell Grant,Other grants from my college or university,Tuition remission,Employer support</t>
  </si>
  <si>
    <t>White or Caucasian,African American or Black,American Indian or Alaskan Native,Pacific Islander or Native Hawaiian,Other (please specify)</t>
  </si>
  <si>
    <t>multiplyskie@gmail.com</t>
  </si>
  <si>
    <t>R_3pmdsEsvxAMiTgy</t>
  </si>
  <si>
    <t>A work-study job,Pell Grant,Other grants from my college or university,Savings,Credit cards</t>
  </si>
  <si>
    <t>African American or Black,American Indian or Alaskan Native,Middle Eastern or North African or Arab or Arab American,Southeast Asian,Pacific Islander or Native Hawaiian</t>
  </si>
  <si>
    <t>Agnes Scott College</t>
  </si>
  <si>
    <t>exportuwgc@gmail.com</t>
  </si>
  <si>
    <t>R_9HcwbTJzZcGNm37</t>
  </si>
  <si>
    <t>American Indian or Alaskan Native,Middle Eastern or North African or Arab or Arab American,Southeast Asian,Pacific Islander or Native Hawaiian</t>
  </si>
  <si>
    <t>Limestone College</t>
  </si>
  <si>
    <t>originkcls@gmail.com</t>
  </si>
  <si>
    <t>R_posyW41cmaAo6LT</t>
  </si>
  <si>
    <t>A job that isn’t work-study (including self-employment),Other grants from my college or university,Student loans,Tuition remission,Savings,Other</t>
  </si>
  <si>
    <t>African American or Black,Other (please specify)</t>
  </si>
  <si>
    <t>College of Saint Thomas More</t>
  </si>
  <si>
    <t>romanceapgp@gmail.com</t>
  </si>
  <si>
    <t>R_1dmdKlxijHZIgbT</t>
  </si>
  <si>
    <t>Other grants from the federal or state government,Tuition remission,Help from family or friends</t>
  </si>
  <si>
    <t>Trinity International University</t>
  </si>
  <si>
    <t>preciselyftex@gmail.com</t>
  </si>
  <si>
    <t>R_0JqWlHttKdqpQe5</t>
  </si>
  <si>
    <t>Other grants from my college or university,Tuition remission,Employer support,Other</t>
  </si>
  <si>
    <t>University of Saint Joseph</t>
  </si>
  <si>
    <t>injectionnfog@gmail.com</t>
  </si>
  <si>
    <t>90.205.91.130</t>
  </si>
  <si>
    <t>R_33fBuU7LFdbr44H</t>
  </si>
  <si>
    <t>regeneronius1985@yahoo.com</t>
  </si>
  <si>
    <t xml:space="preserve">	Margarita L         417-445-2951         regeneronius1985@yahoo.com</t>
  </si>
  <si>
    <t>R_1QisXGyrnnhOF8X</t>
  </si>
  <si>
    <t>Other grants from my college or university,Tuition remission,Help from family or friends,Credit cards,Employer support,Other</t>
  </si>
  <si>
    <t>African American or Black,Pacific Islander or Native Hawaiian</t>
  </si>
  <si>
    <t>St. Catharine College</t>
  </si>
  <si>
    <t>dizzyckqp@gmail.com</t>
  </si>
  <si>
    <t>R_8B76AVLqztEPMaZ</t>
  </si>
  <si>
    <t>A work-study job,Other grants from my college or university,Student loans,Tuition remission,Help from family or friends,Employer support</t>
  </si>
  <si>
    <t>Hispanic or Latino,American Indian or Alaskan Native,Middle Eastern or North African or Arab or Arab American,Other Asian or Asian-American</t>
  </si>
  <si>
    <t>Shimer College</t>
  </si>
  <si>
    <t>paraphrasegmqb@gmail.com</t>
  </si>
  <si>
    <t>220.81.231.190</t>
  </si>
  <si>
    <t>R_12zfbItuTED460b</t>
  </si>
  <si>
    <t>a297quaigia@yahoo.com</t>
  </si>
  <si>
    <t xml:space="preserve">	Ester B Dumont</t>
  </si>
  <si>
    <t>R_2X6td6zb9vOQ4Df</t>
  </si>
  <si>
    <t>Other grants from the federal or state government,Tuition remission,Savings</t>
  </si>
  <si>
    <t>Coe College</t>
  </si>
  <si>
    <t>contendfbpw@gmail.com</t>
  </si>
  <si>
    <t>73.74.97.240</t>
  </si>
  <si>
    <t>R_3kty6sR02hK6YNz</t>
  </si>
  <si>
    <t>LorenzoRamirez4446@gmail.com</t>
  </si>
  <si>
    <t>R_880gzPDVxwqRaPT</t>
  </si>
  <si>
    <t>Other grants from my college or university,Savings,Employer support,Other</t>
  </si>
  <si>
    <t>African American or Black,Southeast Asian,Pacific Islander or Native Hawaiian,Other Asian or Asian-American</t>
  </si>
  <si>
    <t>Concordia College</t>
  </si>
  <si>
    <t>nascentpxrd@gmail.com</t>
  </si>
  <si>
    <t>R_2zdAd5fa0jXMjNE</t>
  </si>
  <si>
    <t>A work-study job,Other grants from the federal or state government,Student loans,Savings,Employer support</t>
  </si>
  <si>
    <t>American Indian or Alaskan Native,Middle Eastern or North African or Arab or Arab American,Other (please specify)</t>
  </si>
  <si>
    <t>Rhodes College</t>
  </si>
  <si>
    <t>ecologistnmif@gmail.com</t>
  </si>
  <si>
    <t>83.32.133.219</t>
  </si>
  <si>
    <t>R_3lEqHxwLa0rgV9q</t>
  </si>
  <si>
    <t>aerial_2001@yahoo.com</t>
  </si>
  <si>
    <t xml:space="preserve">	Mary R Ford</t>
  </si>
  <si>
    <t>R_3KPKR7JN8rLfWk4</t>
  </si>
  <si>
    <t>Ouachita Baptist University</t>
  </si>
  <si>
    <t>esoterichnly@gmail.com</t>
  </si>
  <si>
    <t>R_1IyL50MxRWmcZi0</t>
  </si>
  <si>
    <t>A job that isn’t work-study (including self-employment),Other grants from the federal or state government,Student loans,Credit cards,Other</t>
  </si>
  <si>
    <t>Goucher College</t>
  </si>
  <si>
    <t>ordinancezecb@gmail.com</t>
  </si>
  <si>
    <t>R_3oTOs15MBITPzZw</t>
  </si>
  <si>
    <t>White or Caucasian,Hispanic or Latino,American Indian or Alaskan Native,Middle Eastern or North African or Arab or Arab American,Southeast Asian</t>
  </si>
  <si>
    <t>Rust College</t>
  </si>
  <si>
    <t>liberatefpni@gmail.com</t>
  </si>
  <si>
    <t>49.169.55.237</t>
  </si>
  <si>
    <t>R_siJ06u2xkQJ1wOd</t>
  </si>
  <si>
    <t>c935afri@yahoo.com</t>
  </si>
  <si>
    <t xml:space="preserve">	Mary C Dickerson         c935afri@yahoo.com       812-640-7945</t>
  </si>
  <si>
    <t>R_2VIOxV8ZNuXdosl</t>
  </si>
  <si>
    <t>Pell Grant,Other grants from the federal or state government,Student loans,Tuition remission,Savings,Other</t>
  </si>
  <si>
    <t>Hobart and William Smith Colleges</t>
  </si>
  <si>
    <t>exclusiveftgu@gmail.com</t>
  </si>
  <si>
    <t>R_1BOZJEtSyJ1y2qZ</t>
  </si>
  <si>
    <t>Pell Grant,Other grants from the federal or state government,Student loans,Credit cards</t>
  </si>
  <si>
    <t>African American or Black,Hispanic or Latino,Middle Eastern or North African or Arab or Arab American,Pacific Islander or Native Hawaiian</t>
  </si>
  <si>
    <t>clientpjcq@gmail.com</t>
  </si>
  <si>
    <t>R_1n8GNG0104Yv8Kv</t>
  </si>
  <si>
    <t>A work-study job,A job that isn’t work-study (including self-employment),Pell Grant,Savings,Other</t>
  </si>
  <si>
    <t>Hispanic or Latino,Southeast Asian,Pacific Islander or Native Hawaiian</t>
  </si>
  <si>
    <t>Warren Wilson College</t>
  </si>
  <si>
    <t>kinsmankzlh@gmail.com</t>
  </si>
  <si>
    <t>76.100.70.80</t>
  </si>
  <si>
    <t>R_3NXtaUdnd5LCxQu</t>
  </si>
  <si>
    <t>tuitioneternal@yahoo.com</t>
  </si>
  <si>
    <t xml:space="preserve">	Melissa T Hutson      tuitioneternal@yahoo.com      432-289-2780</t>
  </si>
  <si>
    <t>R_1l6JQx8RY72q4c1</t>
  </si>
  <si>
    <t>Hispanic or Latino,American Indian or Alaskan Native,Other (please specify)</t>
  </si>
  <si>
    <t>Mount Mercy University</t>
  </si>
  <si>
    <t>follyaiex3@gmail.com</t>
  </si>
  <si>
    <t>R_XhsIEWSqXf7iAWl</t>
  </si>
  <si>
    <t>A job that isn’t work-study (including self-employment),Pell Grant,Other grants from the federal or state government,Other grants from my college or university,Student loans,Credit cards</t>
  </si>
  <si>
    <t>American Indian or Alaskan Native,Pacific Islander or Native Hawaiian,Other (please specify)</t>
  </si>
  <si>
    <t>Lindenwood University</t>
  </si>
  <si>
    <t>unfailingobjz@gmail.com</t>
  </si>
  <si>
    <t>R_10HJJ3AKG7KvgpQ</t>
  </si>
  <si>
    <t>Northland College</t>
  </si>
  <si>
    <t>congenialooze@gmail.com</t>
  </si>
  <si>
    <t>R_3nqpgA0OdYFiNRY</t>
  </si>
  <si>
    <t>Bethune–Cookman University</t>
  </si>
  <si>
    <t>marketemmf@gmail.com</t>
  </si>
  <si>
    <t>R_1eW7Eg8AzeFxX2G</t>
  </si>
  <si>
    <t>A work-study job,A job that isn’t work-study (including self-employment),Other grants from the federal or state government,Other grants from my college or university,Help from family or friends,Other</t>
  </si>
  <si>
    <t>Macalester College</t>
  </si>
  <si>
    <t>concealpena@gmail.com</t>
  </si>
  <si>
    <t>99.42.188.222</t>
  </si>
  <si>
    <t>R_3egzLxuVLyTtP1t</t>
  </si>
  <si>
    <t>IeciaBell459662@gmail.com</t>
  </si>
  <si>
    <t>R_tY5szQ6FA9NkEoN</t>
  </si>
  <si>
    <t>A work-study job,A job that isn’t work-study (including self-employment),Pell Grant,Tuition remission,Help from family or friends,Credit cards</t>
  </si>
  <si>
    <t>White or Caucasian,American Indian or Alaskan Native,Southeast Asian,Pacific Islander or Native Hawaiian,Other (please specify)</t>
  </si>
  <si>
    <t>Converse College</t>
  </si>
  <si>
    <t>frivolityxjna@gmail.com</t>
  </si>
  <si>
    <t>R_3JF2Ec49JN8h55U</t>
  </si>
  <si>
    <t>A job that isn’t work-study (including self-employment),Pell Grant,Other grants from my college or university,Student loans,Savings,Credit cards</t>
  </si>
  <si>
    <t>Middle Eastern or North African or Arab or Arab American,Other Asian or Asian-American</t>
  </si>
  <si>
    <t>Alverno College</t>
  </si>
  <si>
    <t>twistbqol@gmail.com</t>
  </si>
  <si>
    <t>R_ymvuoomWZ1seCid</t>
  </si>
  <si>
    <t>Other grants from the federal or state government,Student loans,Savings,Credit cards</t>
  </si>
  <si>
    <t>Eureka College</t>
  </si>
  <si>
    <t>furnitureqlac@gmail.com</t>
  </si>
  <si>
    <t>R_2w6vvmtxKIvUIQ1</t>
  </si>
  <si>
    <t>Illinois College</t>
  </si>
  <si>
    <t>commercialiitd@gmail.com</t>
  </si>
  <si>
    <t>R_p9t0BDOeDNlj9kt</t>
  </si>
  <si>
    <t>A job that isn’t work-study (including self-employment),Other grants from the federal or state government,Other</t>
  </si>
  <si>
    <t>White or Caucasian,Middle Eastern or North African or Arab or Arab American,Southeast Asian,Other Asian or Asian-American</t>
  </si>
  <si>
    <t>University of Washington, Bothell</t>
  </si>
  <si>
    <t>sphericalzeeo@gmail.com</t>
  </si>
  <si>
    <t>66.229.2.55</t>
  </si>
  <si>
    <t>R_3jVTacon8r7tjCj</t>
  </si>
  <si>
    <t>massimonsugqh@gmail.com</t>
  </si>
  <si>
    <t>R_7TVXijggzBDWkCJ</t>
  </si>
  <si>
    <t>A job that isn’t work-study (including self-employment),Other grants from the federal or state government,Help from family or friends,Credit cards,Employer support</t>
  </si>
  <si>
    <t>Hispanic or Latino,Middle Eastern or North African or Arab or Arab American,Pacific Islander or Native Hawaiian</t>
  </si>
  <si>
    <t>Colorado College</t>
  </si>
  <si>
    <t>remainsmehv@gmail.com</t>
  </si>
  <si>
    <t>R_306tCWDaI92oxaj</t>
  </si>
  <si>
    <t>Hispanic or Latino,Middle Eastern or North African or Arab or Arab American,Pacific Islander or Native Hawaiian,Other Asian or Asian-American</t>
  </si>
  <si>
    <t>King University</t>
  </si>
  <si>
    <t>illustratephcz@gmail.com</t>
  </si>
  <si>
    <t>173.224.109.161</t>
  </si>
  <si>
    <t>R_1fiI9OiNZ8keMKq</t>
  </si>
  <si>
    <t>aseangivtyb@gmail.com</t>
  </si>
  <si>
    <t>R_OOOCXrIcpXV0qU9</t>
  </si>
  <si>
    <t>A job that isn’t work-study (including self-employment),Other grants from the federal or state government,Tuition remission,Help from family or friends,Savings</t>
  </si>
  <si>
    <t>Hispanic or Latino,Southeast Asian,Pacific Islander or Native Hawaiian,Other Asian or Asian-American</t>
  </si>
  <si>
    <t>Texas Wesleyan University</t>
  </si>
  <si>
    <t>hearingrhgq@gmail.com</t>
  </si>
  <si>
    <t>R_3WWZY1PX8VHlXS9</t>
  </si>
  <si>
    <t>Other grants from the federal or state government,Student loans,Tuition remission,Credit cards,Employer support</t>
  </si>
  <si>
    <t>White or Caucasian,African American or Black,American Indian or Alaskan Native,Middle Eastern or North African or Arab or Arab American,Southeast Asian,Pacific Islander or Native Hawaiian</t>
  </si>
  <si>
    <t>Lakeland College</t>
  </si>
  <si>
    <t>advantagebbvo@gmail.com</t>
  </si>
  <si>
    <t>69.62.144.28</t>
  </si>
  <si>
    <t>R_3m7xhifCaAto8Dt</t>
  </si>
  <si>
    <t>SaBloomfieldm@gmail.com</t>
  </si>
  <si>
    <t>R_eu6kjZgMFxBoBln</t>
  </si>
  <si>
    <t>Tuition remission,Savings</t>
  </si>
  <si>
    <t>Viterbo University</t>
  </si>
  <si>
    <t>outcomeymmg@gmail.com</t>
  </si>
  <si>
    <t>70.115.228.151</t>
  </si>
  <si>
    <t>R_UljUQj2pyzoYmAx</t>
  </si>
  <si>
    <t>bendonezpxni@gmail.com</t>
  </si>
  <si>
    <t>R_2VgcANmfXbAAszM</t>
  </si>
  <si>
    <t>Hispanic or Latino,American Indian or Alaskan Native,Pacific Islander or Native Hawaiian</t>
  </si>
  <si>
    <t>Christendom College</t>
  </si>
  <si>
    <t>reheatxjke@gmail.com</t>
  </si>
  <si>
    <t>65.28.34.63</t>
  </si>
  <si>
    <t>R_21nQZmyGHMj19nh</t>
  </si>
  <si>
    <t>Chris.Robertson8771@gmail.com</t>
  </si>
  <si>
    <t>R_RCZVo2pmPyRAUk9</t>
  </si>
  <si>
    <t>Lander University</t>
  </si>
  <si>
    <t>calorybopz@gmail.com</t>
  </si>
  <si>
    <t>R_prSmWBiuLdHvHJ7</t>
  </si>
  <si>
    <t>A work-study job,Other grants from the federal or state government,Savings,Credit cards</t>
  </si>
  <si>
    <t>African American or Black,Hispanic or Latino,Southeast Asian,Other (please specify)</t>
  </si>
  <si>
    <t>York College of Pennsylvania</t>
  </si>
  <si>
    <t>matteryaid@gmail.com</t>
  </si>
  <si>
    <t>R_3puaLKBIvuWzJLG</t>
  </si>
  <si>
    <t>Plymouth State University</t>
  </si>
  <si>
    <t>breakdownsfdn@gmail.com</t>
  </si>
  <si>
    <t>R_1DOMYfz246A6ISn</t>
  </si>
  <si>
    <t>A work-study job,A job that isn’t work-study (including self-employment),Other grants from the federal or state government,Student loans,Savings,Employer support</t>
  </si>
  <si>
    <t>Albion College</t>
  </si>
  <si>
    <t>patronahjg@gmail.com</t>
  </si>
  <si>
    <t>68.32.22.237</t>
  </si>
  <si>
    <t>R_1g78E8WDwQKzrJp</t>
  </si>
  <si>
    <t>Mathew.Burke6374@gmail.com</t>
  </si>
  <si>
    <t>R_vrBWKX8lQsc4qGZ</t>
  </si>
  <si>
    <t>Pell Grant,Other grants from the federal or state government,Student loans,Help from family or friends,Credit cards</t>
  </si>
  <si>
    <t>African American or Black,Southeast Asian,Other (please specify)</t>
  </si>
  <si>
    <t>Dickinson College</t>
  </si>
  <si>
    <t>mineralnnjy@gmail.com</t>
  </si>
  <si>
    <t>68.235.33.119</t>
  </si>
  <si>
    <t>R_3JlPsY8OeY5I60i</t>
  </si>
  <si>
    <t>AmericaMartinez4623@gmail.com</t>
  </si>
  <si>
    <t>R_beVmnL3KVSsE7KN</t>
  </si>
  <si>
    <t>African American or Black,Hispanic or Latino,Middle Eastern or North African or Arab or Arab American,Southeast Asian,Pacific Islander or Native Hawaiian</t>
  </si>
  <si>
    <t>blowerfoxl@gmail.com</t>
  </si>
  <si>
    <t>R_3k5jnT3UDZrRC6o</t>
  </si>
  <si>
    <t>A job that isn’t work-study (including self-employment),Pell Grant,Other grants from my college or university,Help from family or friends,Savings,Credit cards</t>
  </si>
  <si>
    <t>African American or Black,American Indian or Alaskan Native,Other Asian or Asian-American</t>
  </si>
  <si>
    <t>Cedarville University</t>
  </si>
  <si>
    <t>charmgdhx@gmail.com</t>
  </si>
  <si>
    <t>R_3iUdddZxA4LLiJG</t>
  </si>
  <si>
    <t>A job that isn’t work-study (including self-employment),Tuition remission,Help from family or friends,Savings,Credit cards</t>
  </si>
  <si>
    <t>Swarthmore College</t>
  </si>
  <si>
    <t>summaryypda@gmail.com</t>
  </si>
  <si>
    <t>R_DkHSaCk779jXJCh</t>
  </si>
  <si>
    <t>A work-study job,Pell Grant</t>
  </si>
  <si>
    <t>White or Caucasian,African American or Black,Hispanic or Latino,American Indian or Alaskan Native,Pacific Islander or Native Hawaiian,Other Asian or Asian-American</t>
  </si>
  <si>
    <t>Palm Beach Atlantic University</t>
  </si>
  <si>
    <t>remnantesrx@gmail.com</t>
  </si>
  <si>
    <t>R_3ncpmnmncyGmixf</t>
  </si>
  <si>
    <t>Other grants from the federal or state government,Student loans,Help from family or friends,Employer support,Other</t>
  </si>
  <si>
    <t>Grace College</t>
  </si>
  <si>
    <t>stylizenalw@gmail.com</t>
  </si>
  <si>
    <t>98.248.235.154</t>
  </si>
  <si>
    <t>R_21Fnaj3owBJV0s3</t>
  </si>
  <si>
    <t>johnjackson0521@gmail.com</t>
  </si>
  <si>
    <t>R_3HSkZjgCHQmBFfH</t>
  </si>
  <si>
    <t>MidAmerica Nazarene University</t>
  </si>
  <si>
    <t>collisionhbfb@gmail.com</t>
  </si>
  <si>
    <t>R_2SdxNt6TcQG44qd</t>
  </si>
  <si>
    <t>A work-study job,A job that isn’t work-study (including self-employment),Help from family or friends</t>
  </si>
  <si>
    <t>American Indian or Alaskan Native,Middle Eastern or North African or Arab or Arab American,Pacific Islander or Native Hawaiian,Other Asian or Asian-American,Other (please specify)</t>
  </si>
  <si>
    <t>negativeftya@gmail.com</t>
  </si>
  <si>
    <t>R_2Vxrcl1JCscFRMO</t>
  </si>
  <si>
    <t>Fontbonne University</t>
  </si>
  <si>
    <t>etchingfzpo@gmail.com</t>
  </si>
  <si>
    <t>R_3ilsCealb7i0B32</t>
  </si>
  <si>
    <t>A job that isn’t work-study (including self-employment),Pell Grant,Other grants from the federal or state government,Other grants from my college or university</t>
  </si>
  <si>
    <t>African American or Black,Hispanic or Latino,American Indian or Alaskan Native,Middle Eastern or North African or Arab or Arab American,Southeast Asian,Other (please specify)</t>
  </si>
  <si>
    <t>Long Island University C.W. Post Campus</t>
  </si>
  <si>
    <t>parasiticnnxu@gmail.com</t>
  </si>
  <si>
    <t>R_12KNhJ5Iflsq5Cc</t>
  </si>
  <si>
    <t>San Diego Christian College</t>
  </si>
  <si>
    <t>excavationbbxw@gmail.com</t>
  </si>
  <si>
    <t>R_1rHYIoqk64mfi3w</t>
  </si>
  <si>
    <t>Other grants from the federal or state government,Other grants from my college or university,Student loans,Savings</t>
  </si>
  <si>
    <t>Midway College</t>
  </si>
  <si>
    <t>venerabledthy@gmail.com</t>
  </si>
  <si>
    <t>R_3EcApN5cndugQTt</t>
  </si>
  <si>
    <t>Student loans,Tuition remission,Employer support</t>
  </si>
  <si>
    <t>White or Caucasian,African American or Black,American Indian or Alaskan Native,Middle Eastern or North African or Arab or Arab American</t>
  </si>
  <si>
    <t>The Evergreen State College</t>
  </si>
  <si>
    <t>suspenderqroj@gmail.com</t>
  </si>
  <si>
    <t>R_1j8IdX3HiHSUYnL</t>
  </si>
  <si>
    <t>apparenthbbo@gmail.com</t>
  </si>
  <si>
    <t>R_1hL9AhpBHN2VyVz</t>
  </si>
  <si>
    <t>A work-study job,Other grants from the federal or state government,Help from family or friends,Credit cards,Employer support,Other</t>
  </si>
  <si>
    <t>White or Caucasian,Hispanic or Latino,Middle Eastern or North African or Arab or Arab American,Pacific Islander or Native Hawaiian,Other Asian or Asian-American,Other (please specify)</t>
  </si>
  <si>
    <t>Massachusetts College of Liberal Arts</t>
  </si>
  <si>
    <t>sponsorvgtb@gmail.com</t>
  </si>
  <si>
    <t>R_brAgQcbiZW9GoZb</t>
  </si>
  <si>
    <t>African American or Black,American Indian or Alaskan Native,Middle Eastern or North African or Arab or Arab American,Pacific Islander or Native Hawaiian,Other Asian or Asian-American,Other (please specify)</t>
  </si>
  <si>
    <t>Cornell College</t>
  </si>
  <si>
    <t>siliceousvkbg@gmail.com</t>
  </si>
  <si>
    <t>R_23GjKopVokkPtGF</t>
  </si>
  <si>
    <t>A work-study job,A job that isn’t work-study (including self-employment),Other grants from the federal or state government,Tuition remission,Help from family or friends,Other</t>
  </si>
  <si>
    <t>Cazenovia College</t>
  </si>
  <si>
    <t>adjacentsqkh@gmail.com</t>
  </si>
  <si>
    <t>R_2VvUes2c6r16WGe</t>
  </si>
  <si>
    <t>Other grants from the federal or state government,Other grants from my college or university,Student loans,Savings,Credit cards,Other</t>
  </si>
  <si>
    <t>Hampshire College</t>
  </si>
  <si>
    <t>stretchaqqq@gmail.com</t>
  </si>
  <si>
    <t>R_9ZAxU5s00z2rVQd</t>
  </si>
  <si>
    <t>Furman University</t>
  </si>
  <si>
    <t>fungusgiue@gmail.com</t>
  </si>
  <si>
    <t>R_1MPh3ukxKTg2jp7</t>
  </si>
  <si>
    <t>Other grants from the federal or state government,Student loans,Savings</t>
  </si>
  <si>
    <t>Chestnut Hill College</t>
  </si>
  <si>
    <t>compriseojcz@gmail.com</t>
  </si>
  <si>
    <t>R_22PlViC3Zd0LXEw</t>
  </si>
  <si>
    <t>Gordon College</t>
  </si>
  <si>
    <t>nutritiousriuq@gmail.com</t>
  </si>
  <si>
    <t>R_2VEWQKaI2XfEPFR</t>
  </si>
  <si>
    <t>A work-study job,Tuition remission,Employer support</t>
  </si>
  <si>
    <t>Allegheny College</t>
  </si>
  <si>
    <t>severelylsrp@gmail.com</t>
  </si>
  <si>
    <t>R_3fjHXUDAZnZquds</t>
  </si>
  <si>
    <t>Beloit College</t>
  </si>
  <si>
    <t>unwieldylabe@gmail.com</t>
  </si>
  <si>
    <t>R_C9dOxwrHEGmwz9n</t>
  </si>
  <si>
    <t>University of North Carolina at Pembroke</t>
  </si>
  <si>
    <t>pilingckub@gmail.com</t>
  </si>
  <si>
    <t>R_3CAWiib33GCXoED</t>
  </si>
  <si>
    <t>A job that isn’t work-study (including self-employment),Other grants from the federal or state government,Other grants from my college or university,Student loans,Help from family or friends,Other</t>
  </si>
  <si>
    <t>White or Caucasian,African American or Black,Middle Eastern or North African or Arab or Arab American,Southeast Asian</t>
  </si>
  <si>
    <t>Flagler College</t>
  </si>
  <si>
    <t>solitudeeoik@gmail.com</t>
  </si>
  <si>
    <t>R_2RVAfk0VUNWMnfN</t>
  </si>
  <si>
    <t>Student loans,Employer support,Other</t>
  </si>
  <si>
    <t>White or Caucasian,African American or Black,Hispanic or Latino,Middle Eastern or North African or Arab or Arab American,Other (please specify)</t>
  </si>
  <si>
    <t>Wartburg College</t>
  </si>
  <si>
    <t>marketdjkm@gmail.com</t>
  </si>
  <si>
    <t>R_334kJMbkOUFJw3n</t>
  </si>
  <si>
    <t>Hispanic or Latino,Middle Eastern or North African or Arab or Arab American,Pacific Islander or Native Hawaiian,Other Asian or Asian-American,Other (please specify)</t>
  </si>
  <si>
    <t>Ripon College</t>
  </si>
  <si>
    <t>hollowearx@gmail.com</t>
  </si>
  <si>
    <t>R_2OGxfDPMNmTE5Mh</t>
  </si>
  <si>
    <t>A job that isn’t work-study (including self-employment),Pell Grant,Other grants from my college or university,Savings,Credit cards</t>
  </si>
  <si>
    <t>Hispanic or Latino,American Indian or Alaskan Native,Southeast Asian,Other Asian or Asian-American,Other (please specify)</t>
  </si>
  <si>
    <t>St. Bonaventure University</t>
  </si>
  <si>
    <t>patronxhzh@gmail.com</t>
  </si>
  <si>
    <t>R_1eQvlslRTj40tHZ</t>
  </si>
  <si>
    <t>Other grants from the federal or state government,Tuition remission,Credit cards,Employer support,Other</t>
  </si>
  <si>
    <t>White or Caucasian,African American or Black,American Indian or Alaskan Native,Other (please specify)</t>
  </si>
  <si>
    <t>appointtfuy@gmail.com</t>
  </si>
  <si>
    <t>R_1rGpYZ9ookIxrqy</t>
  </si>
  <si>
    <t>African American or Black,Hispanic or Latino,Pacific Islander or Native Hawaiian</t>
  </si>
  <si>
    <t>Centre College</t>
  </si>
  <si>
    <t>gamblenxcb@gmail.com</t>
  </si>
  <si>
    <t>R_agUPSMQGNTt97yN</t>
  </si>
  <si>
    <t>A work-study job,Other grants from my college or university,Savings,Credit cards,Other</t>
  </si>
  <si>
    <t>Point University</t>
  </si>
  <si>
    <t>fashionawks@gmail.com</t>
  </si>
  <si>
    <t>R_sHXQmDuBP8255K1</t>
  </si>
  <si>
    <t>Pell Grant,Other grants from my college or university,Student loans,Tuition remission,Help from family or friends,Savings</t>
  </si>
  <si>
    <t>White or Caucasian,Middle Eastern or North African or Arab or Arab American,Southeast Asian,Other Asian or Asian-American,Other (please specify)</t>
  </si>
  <si>
    <t>Hollins University</t>
  </si>
  <si>
    <t>burgeondcgi@gmail.com</t>
  </si>
  <si>
    <t>R_1K3Wqpa76tCx7OG</t>
  </si>
  <si>
    <t>Pell Grant,Other grants from my college or university,Tuition remission,Savings,Other</t>
  </si>
  <si>
    <t>American Indian or Alaskan Native,Southeast Asian,Pacific Islander or Native Hawaiian,Other Asian or Asian-American,Other (please specify)</t>
  </si>
  <si>
    <t>juggleilzy@gmail.com</t>
  </si>
  <si>
    <t>R_3Pz3UkDK9SVT6ks</t>
  </si>
  <si>
    <t>White or Caucasian,African American or Black,Hispanic or Latino,Southeast Asian,Pacific Islander or Native Hawaiian,Other Asian or Asian-American</t>
  </si>
  <si>
    <t>Hartwick College</t>
  </si>
  <si>
    <t>strikingvtly@gmail.com</t>
  </si>
  <si>
    <t>R_3fZyTpFLoABhmkG</t>
  </si>
  <si>
    <t>Student loans,Savings,Credit cards,Employer support</t>
  </si>
  <si>
    <t>Wayland Baptist University</t>
  </si>
  <si>
    <t>crushynal68@gmail.com</t>
  </si>
  <si>
    <t>R_1ly2yl9UwCy63vi</t>
  </si>
  <si>
    <t>White or Caucasian,Pacific Islander or Native Hawaiian,Other Asian or Asian-American</t>
  </si>
  <si>
    <t>St. Lawrence University</t>
  </si>
  <si>
    <t>intentionncdn@gmail.com</t>
  </si>
  <si>
    <t>R_DpffH5LiXPG4RvX</t>
  </si>
  <si>
    <t>Marygrove College</t>
  </si>
  <si>
    <t>commoditynfrk@gmail.com</t>
  </si>
  <si>
    <t>R_296q1tRh2T3Ix6O</t>
  </si>
  <si>
    <t>Gannon University</t>
  </si>
  <si>
    <t>dealerxjlr@gmail.com</t>
  </si>
  <si>
    <t>R_33wBriJ0V9BJXcS</t>
  </si>
  <si>
    <t>Hispanic or Latino,American Indian or Alaskan Native,Middle Eastern or North African or Arab or Arab American,Pacific Islander or Native Hawaiian,Other Asian or Asian-American,Other (please specify)</t>
  </si>
  <si>
    <t>Mount St. Mary's College</t>
  </si>
  <si>
    <t>aloofctmy@gmail.com</t>
  </si>
  <si>
    <t>R_3I5EleluOdftPIx</t>
  </si>
  <si>
    <t>A job that isn’t work-study (including self-employment),Other grants from the federal or state government,Other grants from my college or university,Student loans,Help from family or friends,Savings</t>
  </si>
  <si>
    <t>Denison University</t>
  </si>
  <si>
    <t>envisionxlvs@gmail.com</t>
  </si>
  <si>
    <t>R_sNoPdUJQQ2mEttn</t>
  </si>
  <si>
    <t>Other grants from the federal or state government,Savings,Credit cards</t>
  </si>
  <si>
    <t>Hispanic or Latino,Southeast Asian,Other Asian or Asian-American</t>
  </si>
  <si>
    <t>Emerson College</t>
  </si>
  <si>
    <t>compassasfi@gmail.com</t>
  </si>
  <si>
    <t>R_1JONhq7HwFcHGfx</t>
  </si>
  <si>
    <t>White or Caucasian,Middle Eastern or North African or Arab or Arab American,Southeast Asian,Pacific Islander or Native Hawaiian,Other Asian or Asian-American</t>
  </si>
  <si>
    <t>Bard College</t>
  </si>
  <si>
    <t>dubiousdcld@gmail.com</t>
  </si>
  <si>
    <t>R_23fQjsuNdDP6G0e</t>
  </si>
  <si>
    <t>Other grants from my college or university,Help from family or friends,Savings,Credit cards</t>
  </si>
  <si>
    <t>African American or Black,Hispanic or Latino,American Indian or Alaskan Native,Southeast Asian,Pacific Islander or Native Hawaiian</t>
  </si>
  <si>
    <t>Lincoln Memorial University</t>
  </si>
  <si>
    <t>constrictgyua@gmail.com</t>
  </si>
  <si>
    <t>R_11dXr5NmxxEMl2h</t>
  </si>
  <si>
    <t>A work-study job,A job that isn’t work-study (including self-employment),Pell Grant,Credit cards,Other</t>
  </si>
  <si>
    <t>African American or Black,Hispanic or Latino,Middle Eastern or North African or Arab or Arab American,Pacific Islander or Native Hawaiian,Other Asian or Asian-American</t>
  </si>
  <si>
    <t>polarityonud@gmail.com</t>
  </si>
  <si>
    <t>R_6G6dAn4u8d16zM5</t>
  </si>
  <si>
    <t>Pell Grant,Other grants from the federal or state government,Other</t>
  </si>
  <si>
    <t>White or Caucasian,African American or Black,Hispanic or Latino,Other Asian or Asian-American,Other (please specify)</t>
  </si>
  <si>
    <t>Soka University of America</t>
  </si>
  <si>
    <t>specimenglvo@gmail.com</t>
  </si>
  <si>
    <t>R_3EQiF6IkEsLJuIA</t>
  </si>
  <si>
    <t>A work-study job,A job that isn’t work-study (including self-employment),Pell Grant,Other grants from my college or university,Student loans,Savings</t>
  </si>
  <si>
    <t>Briar Cliff University</t>
  </si>
  <si>
    <t>lizardngsh@gmail.com</t>
  </si>
  <si>
    <t>R_12FHdUhSxUfOyuy</t>
  </si>
  <si>
    <t>A work-study job,Employer support,Other</t>
  </si>
  <si>
    <t>White or Caucasian,African American or Black,Southeast Asian</t>
  </si>
  <si>
    <t>implicitttyz@gmail.com</t>
  </si>
  <si>
    <t>R_RJ5KuPLgnSmWcjn</t>
  </si>
  <si>
    <t>A job that isn’t work-study (including self-employment),Pell Grant,Other grants from the federal or state government</t>
  </si>
  <si>
    <t>White or Caucasian,Southeast Asian,Other Asian or Asian-American,Other (please specify)</t>
  </si>
  <si>
    <t>Tiffin University</t>
  </si>
  <si>
    <t>shrilllcat@gmail.com</t>
  </si>
  <si>
    <t>R_ylRSdu7wROzRCq5</t>
  </si>
  <si>
    <t>Help from family or friends,Savings,Employer support</t>
  </si>
  <si>
    <t>Milligan College</t>
  </si>
  <si>
    <t>utilityrons@gmail.com</t>
  </si>
  <si>
    <t>R_3Pv6wWJ4I4vswFA</t>
  </si>
  <si>
    <t>Student loans,Tuition remission,Help from family or friends,Savings,Credit cards,Other</t>
  </si>
  <si>
    <t>Eugene Lang College The New School for Liberal Arts</t>
  </si>
  <si>
    <t>dissolvexdrx@gmail.com</t>
  </si>
  <si>
    <t>R_TctOCJ7PVwv8ZJD</t>
  </si>
  <si>
    <t>A job that isn’t work-study (including self-employment),Pell Grant,Tuition remission,Savings,Employer support</t>
  </si>
  <si>
    <t>Morningside College</t>
  </si>
  <si>
    <t>chondritevqup@gmail.com</t>
  </si>
  <si>
    <t>R_31Zv0yHcqBRrVLG</t>
  </si>
  <si>
    <t>Wellesley College</t>
  </si>
  <si>
    <t>overallwuri@gmail.com</t>
  </si>
  <si>
    <t>R_1hZvGQe2noHF4cj</t>
  </si>
  <si>
    <t>White or Caucasian,African American or Black,American Indian or Alaskan Native</t>
  </si>
  <si>
    <t>Bridgewater College</t>
  </si>
  <si>
    <t>kioskppyv@gmail.com</t>
  </si>
  <si>
    <t>R_1LcBOl1ZIM9Z7z1</t>
  </si>
  <si>
    <t>Student loans,Tuition remission,Credit cards,Other</t>
  </si>
  <si>
    <t>African American or Black,Hispanic or Latino,American Indian or Alaskan Native,Middle Eastern or North African or Arab or Arab American,Southeast Asian,Pacific Islander or Native Hawaiian</t>
  </si>
  <si>
    <t>Salem College</t>
  </si>
  <si>
    <t>renewalnmkn@gmail.com</t>
  </si>
  <si>
    <t>R_33j7GjEgXuTAbhB</t>
  </si>
  <si>
    <t>Other grants from my college or university,Other</t>
  </si>
  <si>
    <t>Fort Lewis College</t>
  </si>
  <si>
    <t>humiliatelkjw@gmail.com</t>
  </si>
  <si>
    <t>R_ONGbsrrJ769xZyV</t>
  </si>
  <si>
    <t>White or Caucasian,Hispanic or Latino,American Indian or Alaskan Native,Middle Eastern or North African or Arab or Arab American,Pacific Islander or Native Hawaiian,Other Asian or Asian-American</t>
  </si>
  <si>
    <t>Lake Forest College</t>
  </si>
  <si>
    <t>stickpinmovs@gmail.com</t>
  </si>
  <si>
    <t>R_2ruuqZox5Pd61Cs</t>
  </si>
  <si>
    <t>stickpinrcvm@gmail.com</t>
  </si>
  <si>
    <t>R_3g62kbSwfPTkwsu</t>
  </si>
  <si>
    <t>Harvey Mudd College</t>
  </si>
  <si>
    <t>Hkh896@gmail.com</t>
  </si>
  <si>
    <t>R_Cjd496kGvCWT321</t>
  </si>
  <si>
    <t>A work-study job,Savings</t>
  </si>
  <si>
    <t>Roanoke College</t>
  </si>
  <si>
    <t>collisionkywa@gmail.com</t>
  </si>
  <si>
    <t>R_32JztihExgddRfd</t>
  </si>
  <si>
    <t>A work-study job,A job that isn’t work-study (including self-employment),Pell Grant,Tuition remission,Savings,Credit cards</t>
  </si>
  <si>
    <t>Moravian College</t>
  </si>
  <si>
    <t>offshorenyyj@gmail.com</t>
  </si>
  <si>
    <t>R_2cnFgfbdhSQ5nvs</t>
  </si>
  <si>
    <t>Assumption College</t>
  </si>
  <si>
    <t>interpretsilu@gmail.com</t>
  </si>
  <si>
    <t>162.229.230.73</t>
  </si>
  <si>
    <t>R_1qaJLj8V1uBMFFY</t>
  </si>
  <si>
    <t>gaviris1972@yahoo.com</t>
  </si>
  <si>
    <t xml:space="preserve">	Lynn M Harris    gaviris1972@yahoo.com     831-555-7912</t>
  </si>
  <si>
    <t>R_D2fjvGZGgArgJ8t</t>
  </si>
  <si>
    <t>Millikin University</t>
  </si>
  <si>
    <t>pollenigyv@gmail.com</t>
  </si>
  <si>
    <t>R_2pMNSBiBb7UjiFo</t>
  </si>
  <si>
    <t>A work-study job,Student loans,Tuition remission,Savings,Employer support,Other</t>
  </si>
  <si>
    <t>White or Caucasian,African American or Black,Middle Eastern or North African or Arab or Arab American,Southeast Asian,Other (please specify)</t>
  </si>
  <si>
    <t>minimumfhqv@gmail.com</t>
  </si>
  <si>
    <t>R_1GJuAQn4zk9XYcx</t>
  </si>
  <si>
    <t>Student loans,Savings,Credit cards,Employer support,Other</t>
  </si>
  <si>
    <t>Mitchell College</t>
  </si>
  <si>
    <t>stylizedolny@gmail.com</t>
  </si>
  <si>
    <t>R_3qksnHYdWyDTHFx</t>
  </si>
  <si>
    <t>A job that isn’t work-study (including self-employment),Pell Grant,Credit cards</t>
  </si>
  <si>
    <t>Stephens College</t>
  </si>
  <si>
    <t>devotiontchh@gmail.com</t>
  </si>
  <si>
    <t>R_3MfyIyt22pWgofs</t>
  </si>
  <si>
    <t>A work-study job,Pell Grant,Other grants from my college or university,Tuition remission,Help from family or friends,Other</t>
  </si>
  <si>
    <t>White or Caucasian,American Indian or Alaskan Native,Southeast Asian,Other (please specify)</t>
  </si>
  <si>
    <t>signifyrtxd@gmail.com</t>
  </si>
  <si>
    <t>R_2fHtOCynZqvfBQv</t>
  </si>
  <si>
    <t>Other grants from my college or university,Employer support,Other</t>
  </si>
  <si>
    <t>Urbana University</t>
  </si>
  <si>
    <t>remnantlqzc@gmail.com</t>
  </si>
  <si>
    <t>R_3OoxQpEfVI7xlcS</t>
  </si>
  <si>
    <t>Baker University</t>
  </si>
  <si>
    <t>lacquerlpvg@gmail.com</t>
  </si>
  <si>
    <t>R_1QixalYg61Jm031</t>
  </si>
  <si>
    <t>White or Caucasian,Hispanic or Latino,Southeast Asian,Pacific Islander or Native Hawaiian,Other Asian or Asian-American,Other (please specify)</t>
  </si>
  <si>
    <t>Peace College</t>
  </si>
  <si>
    <t>offspringlcfu@gmail.com</t>
  </si>
  <si>
    <t>R_3npju8tf7i9XLug</t>
  </si>
  <si>
    <t>Pell Grant,Other grants from the federal or state government,Other grants from my college or university,Student loans,Credit cards,Other</t>
  </si>
  <si>
    <t>Whitworth University</t>
  </si>
  <si>
    <t>settledssdc@gmail.com</t>
  </si>
  <si>
    <t>R_vN22BdlFXk8KEVP</t>
  </si>
  <si>
    <t>Johnson State College</t>
  </si>
  <si>
    <t>masonryfjfz@gmail.com</t>
  </si>
  <si>
    <t>R_3hEhEYoMfwfnF3L</t>
  </si>
  <si>
    <t>A work-study job,Pell Grant,Student loans,Tuition remission,Savings,Other</t>
  </si>
  <si>
    <t>White or Caucasian,African American or Black,Southeast Asian,Pacific Islander or Native Hawaiian,Other (please specify)</t>
  </si>
  <si>
    <t>Mary Baldwin College</t>
  </si>
  <si>
    <t>dominationketb@gmail.com</t>
  </si>
  <si>
    <t>R_2U5kpScpVna8XPw</t>
  </si>
  <si>
    <t>Other grants from the federal or state government,Other grants from my college or university,Other</t>
  </si>
  <si>
    <t>Hispanic or Latino,Other Asian or Asian-American,Other (please specify)</t>
  </si>
  <si>
    <t>Marian University</t>
  </si>
  <si>
    <t>bacteriamazn@gmail.com</t>
  </si>
  <si>
    <t>R_1JEC8sKiG2upxvf</t>
  </si>
  <si>
    <t>A work-study job,A job that isn’t work-study (including self-employment),Other grants from my college or university,Student loans,Help from family or friends,Credit cards</t>
  </si>
  <si>
    <t>North Carolina Wesleyan College</t>
  </si>
  <si>
    <t>sphericaleafc@gmail.com</t>
  </si>
  <si>
    <t>R_1eS1QCLsHsYSZ47</t>
  </si>
  <si>
    <t>Pell Grant,Student loans,Tuition remission,Help from family or friends,Savings,Credit cards</t>
  </si>
  <si>
    <t>Morris Brown College</t>
  </si>
  <si>
    <t>blackoutmnxl@gmail.com</t>
  </si>
  <si>
    <t>R_1LOqdZn7xNzprt3</t>
  </si>
  <si>
    <t>A work-study job,A job that isn’t work-study (including self-employment),Other grants from the federal or state government,Credit cards</t>
  </si>
  <si>
    <t>Hispanic or Latino,American Indian or Alaskan Native,Middle Eastern or North African or Arab or Arab American,Southeast Asian,Pacific Islander or Native Hawaiian</t>
  </si>
  <si>
    <t>Erskine College</t>
  </si>
  <si>
    <t>transcendouwa@gmail.com</t>
  </si>
  <si>
    <t>R_110Zhf7uNskEqCO</t>
  </si>
  <si>
    <t>Randolph College</t>
  </si>
  <si>
    <t>sewageghki@gmail.com</t>
  </si>
  <si>
    <t>R_1hYXtt7iNTypSly</t>
  </si>
  <si>
    <t>A work-study job,A job that isn’t work-study (including self-employment),Pell Grant,Other grants from the federal or state government</t>
  </si>
  <si>
    <t>Middle Eastern or North African or Arab or Arab American,Southeast Asian,Pacific Islander or Native Hawaiian,Other (please specify)</t>
  </si>
  <si>
    <t>Maryville College</t>
  </si>
  <si>
    <t>equatornzmj@gmail.com</t>
  </si>
  <si>
    <t>R_3gNkfLU6zURb0Lx</t>
  </si>
  <si>
    <t>Pell Grant,Student loans,Help from family or friends,Other</t>
  </si>
  <si>
    <t>Vassar College</t>
  </si>
  <si>
    <t>projectbeoz@gmail.com</t>
  </si>
  <si>
    <t>R_6gr4tqFWf1RHra1</t>
  </si>
  <si>
    <t>Student loans,Savings,Employer support,Other</t>
  </si>
  <si>
    <t>Lenoir–Rhyne University</t>
  </si>
  <si>
    <t>shelterdivn@gmail.com</t>
  </si>
  <si>
    <t>R_sLJKG2XD5z8vBF7</t>
  </si>
  <si>
    <t>Mount Holyoke College</t>
  </si>
  <si>
    <t>ecologistosgs@gmail.com</t>
  </si>
  <si>
    <t>R_2E4ezJ7ktNhXx1x</t>
  </si>
  <si>
    <t>African American or Black,Middle Eastern or North African or Arab or Arab American,Southeast Asian,Pacific Islander or Native Hawaiian</t>
  </si>
  <si>
    <t>Rosemont College</t>
  </si>
  <si>
    <t>revivalbjyw@gmail.com</t>
  </si>
  <si>
    <t>R_1duy32cZGzTIYly</t>
  </si>
  <si>
    <t>Other grants from the federal or state government,Other grants from my college or university,Tuition remission,Credit cards,Employer support,Other</t>
  </si>
  <si>
    <t>College of Idaho</t>
  </si>
  <si>
    <t>alchemistiaqm@gmail.com</t>
  </si>
  <si>
    <t>R_33ej8oehRYl8ZOt</t>
  </si>
  <si>
    <t>A work-study job,Pell Grant,Tuition remission,Savings,Employer support</t>
  </si>
  <si>
    <t>fatigueccbe@gmail.com</t>
  </si>
  <si>
    <t>R_W1LxkaKCaC1wbmx</t>
  </si>
  <si>
    <t>American Indian or Alaskan Native,Pacific Islander or Native Hawaiian</t>
  </si>
  <si>
    <t>portrayalrgsy@gmail.com</t>
  </si>
  <si>
    <t>R_1JJFhmancVz1mqf</t>
  </si>
  <si>
    <t>A work-study job,A job that isn’t work-study (including self-employment),Student loans,Savings,Other</t>
  </si>
  <si>
    <t>spinsterxhhl@gmail.com</t>
  </si>
  <si>
    <t>R_1kU1kj400JR1ueq</t>
  </si>
  <si>
    <t>Other grants from the federal or state government,Other grants from my college or university</t>
  </si>
  <si>
    <t>Bellarmine University</t>
  </si>
  <si>
    <t>subsidymdiu@gmail.com</t>
  </si>
  <si>
    <t>R_5tnJFg7YSe0klsR</t>
  </si>
  <si>
    <t>A work-study job,A job that isn’t work-study (including self-employment),Pell Grant,Savings</t>
  </si>
  <si>
    <t>Ramapo College</t>
  </si>
  <si>
    <t>convincekxgv@gmail.com</t>
  </si>
  <si>
    <t>R_O3RBwfQHpNhXUA1</t>
  </si>
  <si>
    <t>A job that isn’t work-study (including self-employment),Savings,Credit cards,Other</t>
  </si>
  <si>
    <t>African American or Black,American Indian or Alaskan Native,Middle Eastern or North African or Arab or Arab American,Southeast Asian,Other Asian or Asian-American</t>
  </si>
  <si>
    <t>University of Maine at Fort Kent</t>
  </si>
  <si>
    <t>softballogzc@gmail.com</t>
  </si>
  <si>
    <t>R_x8VxBxnt5fjvnFf</t>
  </si>
  <si>
    <t>A work-study job,A job that isn’t work-study (including self-employment),Pell Grant,Student loans,Credit cards,Other</t>
  </si>
  <si>
    <t>Meredith College</t>
  </si>
  <si>
    <t>pamphletpelq@gmail.com</t>
  </si>
  <si>
    <t>R_2PnRUWj0YruwW0C</t>
  </si>
  <si>
    <t>Marlboro College</t>
  </si>
  <si>
    <t>branchlble@gmail.com</t>
  </si>
  <si>
    <t>R_24HF5foDTnXCT0s</t>
  </si>
  <si>
    <t>Student loans,Tuition remission,Savings</t>
  </si>
  <si>
    <t>American Indian or Alaskan Native,Middle Eastern or North African or Arab or Arab American,Pacific Islander or Native Hawaiian</t>
  </si>
  <si>
    <t>Drew University</t>
  </si>
  <si>
    <t>ridgetpeb@gmail.com</t>
  </si>
  <si>
    <t>R_1NFaeGgze8OTdm9</t>
  </si>
  <si>
    <t>A job that isn’t work-study (including self-employment),Other grants from the federal or state government,Tuition remission,Credit cards,Employer support</t>
  </si>
  <si>
    <t>Truman State University</t>
  </si>
  <si>
    <t>immigrantizzs@gmail.com</t>
  </si>
  <si>
    <t>R_30cOYNEOI4BHGCg</t>
  </si>
  <si>
    <t>White or Caucasian,African American or Black,Hispanic or Latino,American Indian or Alaskan Native,Other Asian or Asian-American</t>
  </si>
  <si>
    <t>marshyliji@gmail.com</t>
  </si>
  <si>
    <t>R_3oHDmy1HAj6ktio</t>
  </si>
  <si>
    <t>councilnhhx@gmail.com</t>
  </si>
  <si>
    <t>R_2zHGtWhWlgS84mR</t>
  </si>
  <si>
    <t>Elmira College</t>
  </si>
  <si>
    <t>frameworksrhm@gmail.com</t>
  </si>
  <si>
    <t>R_1IzO2WvWr7uvkFR</t>
  </si>
  <si>
    <t>A job that isn’t work-study (including self-employment),Pell Grant,Help from family or friends,Credit cards</t>
  </si>
  <si>
    <t>Simpson College</t>
  </si>
  <si>
    <t>monotonousxozx@gmail.com</t>
  </si>
  <si>
    <t>R_7X2DhaPnSQiZNF7</t>
  </si>
  <si>
    <t>A work-study job,Tuition remission,Employer support,Other</t>
  </si>
  <si>
    <t>White or Caucasian,Hispanic or Latino,Middle Eastern or North African or Arab or Arab American,Pacific Islander or Native Hawaiian</t>
  </si>
  <si>
    <t>crisscrossobgk@gmail.com</t>
  </si>
  <si>
    <t>R_2cAuX31cbwIeSlZ</t>
  </si>
  <si>
    <t>virginaljrqp@gmail.com</t>
  </si>
  <si>
    <t>R_3OwfqlvrW1b5DLb</t>
  </si>
  <si>
    <t>A job that isn’t work-study (including self-employment),Pell Grant,Credit cards,Employer support</t>
  </si>
  <si>
    <t>Christopher Newport University</t>
  </si>
  <si>
    <t>diameterrcqn@gmail.com</t>
  </si>
  <si>
    <t>R_3kj45E99ew5Nnjq</t>
  </si>
  <si>
    <t>White or Caucasian,Hispanic or Latino,American Indian or Alaskan Native,Southeast Asian,Other Asian or Asian-American,Other (please specify)</t>
  </si>
  <si>
    <t>Bowdoin College</t>
  </si>
  <si>
    <t>inheritwpfa@gmail.com</t>
  </si>
  <si>
    <t>R_22AnzheYZc695fo</t>
  </si>
  <si>
    <t>A work-study job,A job that isn’t work-study (including self-employment),Pell Grant,Other grants from my college or university,Help from family or friends</t>
  </si>
  <si>
    <t>Columbia College</t>
  </si>
  <si>
    <t>availablezzrc@gmail.com</t>
  </si>
  <si>
    <t>R_2s0x2bKR9OnqTT6</t>
  </si>
  <si>
    <t>Other grants from the federal or state government,Help from family or friends,Employer support,Other</t>
  </si>
  <si>
    <t>Hispanic or Latino,Pacific Islander or Native Hawaiian,Other Asian or Asian-American</t>
  </si>
  <si>
    <t>Anderson University</t>
  </si>
  <si>
    <t>tycoonuobh@gmail.com</t>
  </si>
  <si>
    <t>R_2379pcNSxxUpVej</t>
  </si>
  <si>
    <t>American Indian or Alaskan Native,Middle Eastern or North African or Arab or Arab American,Southeast Asian,Other Asian or Asian-American</t>
  </si>
  <si>
    <t>Elon University</t>
  </si>
  <si>
    <t>affirmpvbt@gmail.com</t>
  </si>
  <si>
    <t>R_1DYhipbYfojBRB4</t>
  </si>
  <si>
    <t>A job that isn’t work-study (including self-employment),Pell Grant,Other grants from my college or university,Tuition remission,Savings</t>
  </si>
  <si>
    <t>White or Caucasian,African American or Black,Hispanic or Latino,American Indian or Alaskan Native,Southeast Asian,Other (please specify)</t>
  </si>
  <si>
    <t>Warner Pacific College</t>
  </si>
  <si>
    <t>reheatdwpa@gmail.com</t>
  </si>
  <si>
    <t>R_2dA3672N856XhU7</t>
  </si>
  <si>
    <t>A work-study job,Other grants from the federal or state government,Student loans</t>
  </si>
  <si>
    <t>Middle Eastern or North African or Arab or Arab American,Pacific Islander or Native Hawaiian,Other (please specify)</t>
  </si>
  <si>
    <t>Mount Vernon Nazarene University</t>
  </si>
  <si>
    <t>survivorvroh@gmail.com</t>
  </si>
  <si>
    <t>R_xnJpg4XnjsULJcd</t>
  </si>
  <si>
    <t>A work-study job,Other grants from the federal or state government,Student loans,Tuition remission,Credit cards,Other</t>
  </si>
  <si>
    <t>Prescott College</t>
  </si>
  <si>
    <t>ammoniahgxz@gmail.com</t>
  </si>
  <si>
    <t>R_tMQsDp5rvyWMJeV</t>
  </si>
  <si>
    <t>A work-study job,Pell Grant,Other grants from my college or university,Help from family or friends</t>
  </si>
  <si>
    <t>University of Evansville</t>
  </si>
  <si>
    <t>clearcutxdum@gmail.com</t>
  </si>
  <si>
    <t>R_33fYZ1BGseGZmY0</t>
  </si>
  <si>
    <t>Hanover College</t>
  </si>
  <si>
    <t>barrieryigi@gmail.com</t>
  </si>
  <si>
    <t>R_3kALdUsEt8ViEY5</t>
  </si>
  <si>
    <t>African American or Black,Hispanic or Latino,American Indian or Alaskan Native,Middle Eastern or North African or Arab or Arab American,Other (please specify)</t>
  </si>
  <si>
    <t>Claremont McKenna College</t>
  </si>
  <si>
    <t>focushpqv@gmail.com</t>
  </si>
  <si>
    <t>R_2cA7ZEo08y0X7Zm</t>
  </si>
  <si>
    <t>Help from family or friends,Employer support,Other</t>
  </si>
  <si>
    <t>White or Caucasian,African American or Black,Southeast Asian,Pacific Islander or Native Hawaiian,Other Asian or Asian-American</t>
  </si>
  <si>
    <t>Sewanee: The University of the South</t>
  </si>
  <si>
    <t>confidentlgjy@gmail.com</t>
  </si>
  <si>
    <t>R_2SvgQVHg9zW5qSc</t>
  </si>
  <si>
    <t>A work-study job,A job that isn’t work-study (including self-employment),Student loans,Tuition remission,Credit cards,Employer support</t>
  </si>
  <si>
    <t>Martin Methodist College</t>
  </si>
  <si>
    <t>atheistfejv@gmail.com</t>
  </si>
  <si>
    <t>R_1FmuQRtqNvuczDQ</t>
  </si>
  <si>
    <t>A job that isn’t work-study (including self-employment),Other grants from my college or university,Help from family or friends,Savings</t>
  </si>
  <si>
    <t>White or Caucasian,Hispanic or Latino,American Indian or Alaskan Native,Middle Eastern or North African or Arab or Arab American,Other Asian or Asian-American</t>
  </si>
  <si>
    <t>Concordia University, Irvine</t>
  </si>
  <si>
    <t>expandqaec@gmail.com</t>
  </si>
  <si>
    <t>R_Z3jDHGN526Yv5m1</t>
  </si>
  <si>
    <t>Pell Grant,Help from family or friends,Credit cards,Employer support</t>
  </si>
  <si>
    <t>Claremont Colleges</t>
  </si>
  <si>
    <t>foresightfqrd@gmail.com</t>
  </si>
  <si>
    <t>R_2uP7gRsSZmRNxwa</t>
  </si>
  <si>
    <t>A work-study job,A job that isn’t work-study (including self-employment),Tuition remission,Help from family or friends</t>
  </si>
  <si>
    <t>Franklin Pierce University</t>
  </si>
  <si>
    <t>florapdxj@gmail.com</t>
  </si>
  <si>
    <t>R_3HOlBwiwZmTimPp</t>
  </si>
  <si>
    <t>A work-study job,Other grants from the federal or state government,Other grants from my college or university,Help from family or friends,Savings,Other</t>
  </si>
  <si>
    <t>McKendree University</t>
  </si>
  <si>
    <t>ancestorurpy@gmail.com</t>
  </si>
  <si>
    <t>R_ZgbxHPsnyBj8tMd</t>
  </si>
  <si>
    <t>Other grants from my college or university,Savings</t>
  </si>
  <si>
    <t>Stevenson University</t>
  </si>
  <si>
    <t>reductioncswx@gmail.com</t>
  </si>
  <si>
    <t>R_3Mg1CRCw8lCJhEg</t>
  </si>
  <si>
    <t>African American or Black,Hispanic or Latino,American Indian or Alaskan Native,Southeast Asian,Pacific Islander or Native Hawaiian,Other Asian or Asian-American</t>
  </si>
  <si>
    <t>D'Youville College</t>
  </si>
  <si>
    <t>rhythmicalwepo@gmail.com</t>
  </si>
  <si>
    <t>R_s6wEV3NqBMrbcaZ</t>
  </si>
  <si>
    <t>Pell Grant,Other</t>
  </si>
  <si>
    <t>University of Dallas</t>
  </si>
  <si>
    <t>ethicsllef@gmail.com</t>
  </si>
  <si>
    <t>R_RgE7zFCg2qeaaPv</t>
  </si>
  <si>
    <t>A job that isn’t work-study (including self-employment),Student loans,Help from family or friends,Credit cards,Employer support,Other</t>
  </si>
  <si>
    <t>Talladega College</t>
  </si>
  <si>
    <t>classifynsrd@gmail.com</t>
  </si>
  <si>
    <t>R_2tGBeHC4fMGOawE</t>
  </si>
  <si>
    <t>A work-study job,Pell Grant,Student loans,Tuition remission,Employer support,Other</t>
  </si>
  <si>
    <t>African American or Black,Hispanic or Latino,Southeast Asian,Pacific Islander or Native Hawaiian,Other (please specify)</t>
  </si>
  <si>
    <t>colonelfngq@gmail.com</t>
  </si>
  <si>
    <t>R_1K6HGjkGJXpGNxM</t>
  </si>
  <si>
    <t>White or Caucasian,African American or Black,American Indian or Alaskan Native,Southeast Asian,Other Asian or Asian-American,Other (please specify)</t>
  </si>
  <si>
    <t>University of North Carolina at Wilmington</t>
  </si>
  <si>
    <t>railheadimve@gmail.com</t>
  </si>
  <si>
    <t>R_3qURNLjznGB5chM</t>
  </si>
  <si>
    <t>Savings,Credit cards</t>
  </si>
  <si>
    <t>White or Caucasian,American Indian or Alaskan Native,Pacific Islander or Native Hawaiian,Other (please specify)</t>
  </si>
  <si>
    <t>Howard Payne University</t>
  </si>
  <si>
    <t>amateurmfay@gmail.com</t>
  </si>
  <si>
    <t>R_2vbSfmGPYcm7FE9</t>
  </si>
  <si>
    <t>Hispanic or Latino,Southeast Asian,Other Asian or Asian-American,Other (please specify)</t>
  </si>
  <si>
    <t>Simmons College</t>
  </si>
  <si>
    <t>tolerantjkdk@gmail.com</t>
  </si>
  <si>
    <t>R_3iy9V6zhL6qr96W</t>
  </si>
  <si>
    <t>A job that isn’t work-study (including self-employment),Tuition remission,Savings</t>
  </si>
  <si>
    <t>Austin College</t>
  </si>
  <si>
    <t>liablerftr@gmail.com</t>
  </si>
  <si>
    <t>R_XhAtWbOTKT7Rx05</t>
  </si>
  <si>
    <t>Alderson Broaddus University</t>
  </si>
  <si>
    <t>weaponrybzbp@gmail.com</t>
  </si>
  <si>
    <t>R_1QsU7jvIUKitsFH</t>
  </si>
  <si>
    <t>A work-study job,A job that isn’t work-study (including self-employment),Other grants from the federal or state government,Other grants from my college or university,Tuition remission,Other</t>
  </si>
  <si>
    <t>White or Caucasian,Hispanic or Latino,Other (please specify)</t>
  </si>
  <si>
    <t>Hood College</t>
  </si>
  <si>
    <t>citadelrvvj@gmail.com</t>
  </si>
  <si>
    <t>R_10GE7QWN7jYijz2</t>
  </si>
  <si>
    <t>African American or Black,Pacific Islander or Native Hawaiian,Other Asian or Asian-American</t>
  </si>
  <si>
    <t>Ohio Wesleyan University</t>
  </si>
  <si>
    <t>versionvsnp@gmail.com</t>
  </si>
  <si>
    <t>R_1f7qABEDuFM8bRC</t>
  </si>
  <si>
    <t>Other grants from the federal or state government,Savings,Credit cards,Other</t>
  </si>
  <si>
    <t>perfectnxpi@gmail.com</t>
  </si>
  <si>
    <t>R_1OB247Up2lqrtzJ</t>
  </si>
  <si>
    <t>A job that isn’t work-study (including self-employment),Other grants from my college or university</t>
  </si>
  <si>
    <t>Muhlenberg College</t>
  </si>
  <si>
    <t>irradiateitku@gmail.com</t>
  </si>
  <si>
    <t>R_3fVQaET0wDNVtbo</t>
  </si>
  <si>
    <t>White or Caucasian,Hispanic or Latino,Middle Eastern or North African or Arab or Arab American,Southeast Asian,Pacific Islander or Native Hawaiian,Other Asian or Asian-American</t>
  </si>
  <si>
    <t>Seattle Pacific University</t>
  </si>
  <si>
    <t>modestqxht@gmail.com</t>
  </si>
  <si>
    <t>R_2dYlpHWybmPQdNl</t>
  </si>
  <si>
    <t>Willamette University</t>
  </si>
  <si>
    <t>figuremlzb@gmail.com</t>
  </si>
  <si>
    <t>R_yIN9zE4yVv2f41r</t>
  </si>
  <si>
    <t>Other grants from the federal or state government,Other grants from my college or university,Tuition remission,Credit cards,Employer support</t>
  </si>
  <si>
    <t>Hamilton College</t>
  </si>
  <si>
    <t>precedeyzqv@gmail.com</t>
  </si>
  <si>
    <t>R_1poQ0z6I9kjkacS</t>
  </si>
  <si>
    <t>A job that isn’t work-study (including self-employment),Pell Grant,Other grants from my college or university,Credit cards</t>
  </si>
  <si>
    <t>Stetson University</t>
  </si>
  <si>
    <t>exocrineucmh@gmail.com</t>
  </si>
  <si>
    <t>R_WB8EhDMLkWO1xPX</t>
  </si>
  <si>
    <t>A work-study job,Other grants from my college or university,Savings,Credit cards,Employer support</t>
  </si>
  <si>
    <t>African American or Black,American Indian or Alaskan Native,Southeast Asian,Pacific Islander or Native Hawaiian,Other Asian or Asian-American</t>
  </si>
  <si>
    <t>Aquinas College</t>
  </si>
  <si>
    <t>horizonxkby@gmail.com</t>
  </si>
  <si>
    <t>R_2CIEskPa15hces4</t>
  </si>
  <si>
    <t>A work-study job,Other grants from the federal or state government,Other grants from my college or university,Tuition remission,Help from family or friends,Credit cards</t>
  </si>
  <si>
    <t>variablehguf@gmail.com</t>
  </si>
  <si>
    <t>R_3ha1edLWhtIZbEx</t>
  </si>
  <si>
    <t>Grand Valley State University</t>
  </si>
  <si>
    <t>proceedskjns@gmail.com</t>
  </si>
  <si>
    <t>R_22l6J54UxBIN0nb</t>
  </si>
  <si>
    <t>networkgryf@gmail.com</t>
  </si>
  <si>
    <t>R_zSXQ7LCVR2LiPMB</t>
  </si>
  <si>
    <t>A work-study job,Pell Grant,Tuition remission,Savings,Credit cards,Employer support</t>
  </si>
  <si>
    <t>American Indian or Alaskan Native,Southeast Asian,Pacific Islander or Native Hawaiian,Other Asian or Asian-American</t>
  </si>
  <si>
    <t>Caldwell College</t>
  </si>
  <si>
    <t>ceremonyrtrn@gmail.com</t>
  </si>
  <si>
    <t>R_x5ZqT9PM1doNUch</t>
  </si>
  <si>
    <t>Knox College</t>
  </si>
  <si>
    <t>fungusjapr@gmail.com</t>
  </si>
  <si>
    <t>R_22WwnWO83BKGsCx</t>
  </si>
  <si>
    <t>A work-study job,Pell Grant,Other grants from my college or university,Employer support</t>
  </si>
  <si>
    <t>Carroll College</t>
  </si>
  <si>
    <t>revivalrenc@gmail.com</t>
  </si>
  <si>
    <t>R_3j2lnvZLSACNRv9</t>
  </si>
  <si>
    <t>A job that isn’t work-study (including self-employment),Student loans,Help from family or friends</t>
  </si>
  <si>
    <t>Judson University</t>
  </si>
  <si>
    <t>dominatelvyd@gmail.com</t>
  </si>
  <si>
    <t>R_1guwi1lai5CA6WN</t>
  </si>
  <si>
    <t>Other grants from my college or university,Tuition remission,Help from family or friends,Savings,Employer support</t>
  </si>
  <si>
    <t>La Salle University</t>
  </si>
  <si>
    <t>eccentricmtma@gmail.com</t>
  </si>
  <si>
    <t>R_2tEAaEjFm6ymSgt</t>
  </si>
  <si>
    <t>A job that isn’t work-study (including self-employment),Student loans,Tuition remission,Credit cards,Other</t>
  </si>
  <si>
    <t>Middle Eastern or North African or Arab or Arab American,Southeast Asian,Pacific Islander or Native Hawaiian</t>
  </si>
  <si>
    <t>Waldorf College</t>
  </si>
  <si>
    <t>airtightnfst@gmail.com</t>
  </si>
  <si>
    <t>R_tPPhAP9X97KNY9r</t>
  </si>
  <si>
    <t>A work-study job,Other grants from the federal or state government,Other grants from my college or university,Tuition remission,Savings,Credit cards</t>
  </si>
  <si>
    <t>Spring Hill College</t>
  </si>
  <si>
    <t>unwieldyluhb@gmail.com</t>
  </si>
  <si>
    <t>R_WxsuHpLufKk79Ch</t>
  </si>
  <si>
    <t>A work-study job,Help from family or friends,Savings,Credit cards</t>
  </si>
  <si>
    <t>Hamline University</t>
  </si>
  <si>
    <t>rainbowwfio@gmail.com</t>
  </si>
  <si>
    <t>R_1g14ndX41lzPMBI</t>
  </si>
  <si>
    <t>White or Caucasian,Hispanic or Latino,American Indian or Alaskan Native,Southeast Asian</t>
  </si>
  <si>
    <t>Marylhurst University</t>
  </si>
  <si>
    <t>infinitelyeurc@gmail.com</t>
  </si>
  <si>
    <t>R_3PC4ad1LMskDFJ4</t>
  </si>
  <si>
    <t>A work-study job,Other grants from my college or university,Student loans,Employer support</t>
  </si>
  <si>
    <t>African American or Black,Hispanic or Latino,Southeast Asian,Other Asian or Asian-American,Other (please specify)</t>
  </si>
  <si>
    <t>Midwestern State University</t>
  </si>
  <si>
    <t>utilizehgmq@gmail.com</t>
  </si>
  <si>
    <t>R_3h6B2zk08PyLvUp</t>
  </si>
  <si>
    <t>White or Caucasian,African American or Black,American Indian or Alaskan Native,Southeast Asian,Pacific Islander or Native Hawaiian,Other (please specify)</t>
  </si>
  <si>
    <t>Lawrence University</t>
  </si>
  <si>
    <t>inflationmkci@gmail.com</t>
  </si>
  <si>
    <t>R_2dfCHH9PTqeXL1F</t>
  </si>
  <si>
    <t>Pell Grant,Tuition remission,Employer support,Other</t>
  </si>
  <si>
    <t>Grand View University</t>
  </si>
  <si>
    <t>stylemkbv@gmail.com</t>
  </si>
  <si>
    <t>R_7OhWOo705yzckyl</t>
  </si>
  <si>
    <t>Miles College</t>
  </si>
  <si>
    <t>fundingrajd@gmail.com</t>
  </si>
  <si>
    <t>R_2TFgjJqhhvPZejo</t>
  </si>
  <si>
    <t>A work-study job,Other</t>
  </si>
  <si>
    <t>White or Caucasian,African American or Black,Hispanic or Latino,American Indian or Alaskan Native,Southeast Asian,Other Asian or Asian-American</t>
  </si>
  <si>
    <t>Rollins College</t>
  </si>
  <si>
    <t>prospectorxary@gmail.com</t>
  </si>
  <si>
    <t>R_2ziQrdcFSqZpdKY</t>
  </si>
  <si>
    <t>Other grants from my college or university,Student loans,Credit cards,Other</t>
  </si>
  <si>
    <t>Ralston College</t>
  </si>
  <si>
    <t>monumentjpfq@gmail.com</t>
  </si>
  <si>
    <t>R_3JJXjNlVp4q37ho</t>
  </si>
  <si>
    <t>A job that isn’t work-study (including self-employment),Pell Grant,Student loans,Tuition remission,Employer support,Other</t>
  </si>
  <si>
    <t>University of Mary Washington</t>
  </si>
  <si>
    <t>taprootolkr@gmail.com</t>
  </si>
  <si>
    <t>R_2agkzx0fhuxz6XH</t>
  </si>
  <si>
    <t>Southeastern University</t>
  </si>
  <si>
    <t>stoutcajd@gmail.com</t>
  </si>
  <si>
    <t>R_1K1Jsgg1wrbo69D</t>
  </si>
  <si>
    <t>Pell Grant,Other grants from the federal or state government,Savings,Credit cards,Other</t>
  </si>
  <si>
    <t>University of Minnesota Morris</t>
  </si>
  <si>
    <t>onlookeroguf@gmail.com</t>
  </si>
  <si>
    <t>R_0ohxbYIOJrCHtW9</t>
  </si>
  <si>
    <t>Rockford College</t>
  </si>
  <si>
    <t>detectkvpc@gmail.com</t>
  </si>
  <si>
    <t>R_vuEXBKXp6wofswV</t>
  </si>
  <si>
    <t>A job that isn’t work-study (including self-employment),Other grants from the federal or state government,Other grants from my college or university,Student loans,Savings,Credit cards</t>
  </si>
  <si>
    <t>Davidson College</t>
  </si>
  <si>
    <t>descendqcpy@gmail.com</t>
  </si>
  <si>
    <t>R_12sDl6gXz3JSsY9</t>
  </si>
  <si>
    <t>African American or Black,Middle Eastern or North African or Arab or Arab American</t>
  </si>
  <si>
    <t>Saint Anselm College</t>
  </si>
  <si>
    <t>crudelymtfy@gmail.com</t>
  </si>
  <si>
    <t>174.50.15.65</t>
  </si>
  <si>
    <t>R_1P5Fq35PJibUfrd</t>
  </si>
  <si>
    <t>A work-study job,Other grants from the federal or state government,Help from family or friends</t>
  </si>
  <si>
    <t>s19810909@gmail.com</t>
  </si>
  <si>
    <t>67.167.15.159</t>
  </si>
  <si>
    <t>R_1NySMy8OwEiD80H</t>
  </si>
  <si>
    <t>hellybean53402@gmail.com</t>
  </si>
  <si>
    <t>24.13.112.5</t>
  </si>
  <si>
    <t>R_3q8xDJDEWwsX3kx</t>
  </si>
  <si>
    <t>barubih@gmail.com</t>
  </si>
  <si>
    <t>R_2SH6cXkoTGCdcXo</t>
  </si>
  <si>
    <t>R_3m9qZHEN4DWaokj</t>
  </si>
  <si>
    <t>Other grants from my college or university,Student loans,Tuition remission,Credit cards,Other</t>
  </si>
  <si>
    <t>African American or Black,Hispanic or Latino,Other Asian or Asian-American,Other (please specify)</t>
  </si>
  <si>
    <t>State University of New York at Geneseo</t>
  </si>
  <si>
    <t>opponentezel@gmail.com</t>
  </si>
  <si>
    <t>45.24.236.79</t>
  </si>
  <si>
    <t>R_3j0yNtKHyzd0MM8</t>
  </si>
  <si>
    <t>24.238.76.12</t>
  </si>
  <si>
    <t>R_2pJZo8Uhq2zE8Dq</t>
  </si>
  <si>
    <t>107.200.121.76</t>
  </si>
  <si>
    <t>R_1GwSTW4UyDa7RSq</t>
  </si>
  <si>
    <t>R_32PlNfFur8Hgp9A</t>
  </si>
  <si>
    <t>A job that isn’t work-study (including self-employment),Pell Grant,Other grants from the federal or state government,Student loans,Credit cards,Other</t>
  </si>
  <si>
    <t>Centenary College of Louisiana</t>
  </si>
  <si>
    <t>displaytcda@gmail.com</t>
  </si>
  <si>
    <t>R_2TGaKagwOzp4m68</t>
  </si>
  <si>
    <t>R_qISrAmS2GX57kRj</t>
  </si>
  <si>
    <t>White or Caucasian,African American or Black,Hispanic or Latino,American Indian or Alaskan Native,Middle Eastern or North African or Arab or Arab American,Other (please specify)</t>
  </si>
  <si>
    <t>Virginia Wesleyan College</t>
  </si>
  <si>
    <t>depotgyrt@gmail.com</t>
  </si>
  <si>
    <t>24.1.230.185</t>
  </si>
  <si>
    <t>R_3m473Cdja3Eqx9N</t>
  </si>
  <si>
    <t>R_Azdudmxln6JZfEt</t>
  </si>
  <si>
    <t>No grade or don't know</t>
  </si>
  <si>
    <t>73.70.182.194</t>
  </si>
  <si>
    <t>R_3sn33isSIyTtuHy</t>
  </si>
  <si>
    <t>141.157.41.18</t>
  </si>
  <si>
    <t>R_1fl4M9gjVn5dwak</t>
  </si>
  <si>
    <t>Haleopackagec81203@gmail.com</t>
  </si>
  <si>
    <t>47.146.59.250</t>
  </si>
  <si>
    <t>R_VOIEQteDqXCQFqx</t>
  </si>
  <si>
    <t>Camach.cautio7946699@gmail.com</t>
  </si>
  <si>
    <t>76.7.151.43</t>
  </si>
  <si>
    <t>R_2eWtn6jfiAI1Rau</t>
  </si>
  <si>
    <t>m25cccu2p7s@gmail.com</t>
  </si>
  <si>
    <t>70.176.217.194</t>
  </si>
  <si>
    <t>R_1r8NDAFo8BAB0hW</t>
  </si>
  <si>
    <t>Copelanstrikx1cc99@gmail.com</t>
  </si>
  <si>
    <t>184.2.56.248</t>
  </si>
  <si>
    <t>R_3gYnFlJ3IhSbyzr</t>
  </si>
  <si>
    <t>03578642ubsu@gmail.com</t>
  </si>
  <si>
    <t>74.96.198.140</t>
  </si>
  <si>
    <t>R_1i2jHpTMg1ZPKTp</t>
  </si>
  <si>
    <t>ewdszbrf524644@gmail.com</t>
  </si>
  <si>
    <t>154.3.251.64</t>
  </si>
  <si>
    <t>R_2dfLxTOBC9QDgJJ</t>
  </si>
  <si>
    <t>wb2ce9fdv8h@gmail.com</t>
  </si>
  <si>
    <t>24.0.154.66</t>
  </si>
  <si>
    <t>R_1NaJTRYRsf1nou2</t>
  </si>
  <si>
    <t>Esteswi68647@gmail.com</t>
  </si>
  <si>
    <t>76.97.153.166</t>
  </si>
  <si>
    <t>R_2azNzXqUpHaCF6d</t>
  </si>
  <si>
    <t>68.103.27.26</t>
  </si>
  <si>
    <t>R_1NE0FiPjXHtMGR1</t>
  </si>
  <si>
    <t>waveShott@gmail.com</t>
  </si>
  <si>
    <t>108.22.245.145</t>
  </si>
  <si>
    <t>R_1N8lz6aptq8GWvF</t>
  </si>
  <si>
    <t>182.47.153.30</t>
  </si>
  <si>
    <t>R_6szqIdCIDodlxct</t>
  </si>
  <si>
    <t>65.190.129.146</t>
  </si>
  <si>
    <t>R_1mIxlD2tPmqyvZz</t>
  </si>
  <si>
    <t>Other grants from my college or university,Student loans,Other</t>
  </si>
  <si>
    <t>N/A</t>
  </si>
  <si>
    <t>jdavi399@uncc.edu</t>
  </si>
  <si>
    <t>Jocelyn, jdavi399@uncc.edu</t>
  </si>
  <si>
    <t>174.193.6.48</t>
  </si>
  <si>
    <t>R_1eCSoojgkT7jLLB</t>
  </si>
  <si>
    <t>A job that isnâ€™t work-study (including self-employment),Savings</t>
  </si>
  <si>
    <t>Kstewa55@uncc.edu</t>
  </si>
  <si>
    <t>Katie Stewart
Kstewa55@uncc.edu
8018340425</t>
  </si>
  <si>
    <t>24.178.154.100</t>
  </si>
  <si>
    <t>R_1Csf6MPdMsx6bQj</t>
  </si>
  <si>
    <t>A work-study job,A job that isnâ€™t work-study (including self-employment),Pell Grant,Other grants from the federal or state government,Student loans,Savings,Credit cards</t>
  </si>
  <si>
    <t>Catawba Valley Community College and Wester Piedmont Community College</t>
  </si>
  <si>
    <t>mmoua6@uncc.edu</t>
  </si>
  <si>
    <t>Mai Choua Moua
mmoua6@uncc.edu
8285140185</t>
  </si>
  <si>
    <t>99.69.54.157</t>
  </si>
  <si>
    <t>R_1N2kIUHOoFT6fC6</t>
  </si>
  <si>
    <t>psingh20@uncc.edu</t>
  </si>
  <si>
    <t>50.24.54.93</t>
  </si>
  <si>
    <t>R_28V57bQb462bl7F</t>
  </si>
  <si>
    <t>A job that isnâ€™t work-study (including self-employment),Help from family or friends</t>
  </si>
  <si>
    <t>160.16.150.217</t>
  </si>
  <si>
    <t>R_29bRHj4KEByHrcq</t>
  </si>
  <si>
    <t>A job that isnâ€™t work-study (including self-employment),Other grants from the federal or state government</t>
  </si>
  <si>
    <t>47.196.64.146</t>
  </si>
  <si>
    <t>R_1d65yOdi2YlDGxa</t>
  </si>
  <si>
    <t>g999999c@gmail.com</t>
  </si>
  <si>
    <t>108.248.141.37</t>
  </si>
  <si>
    <t>R_2trFLY5R7uL3puq</t>
  </si>
  <si>
    <t>A job that isnâ€™t work-study (including self-employment),Pell Grant</t>
  </si>
  <si>
    <t>oraelnphgc@gmail.com</t>
  </si>
  <si>
    <t>172.249.9.215</t>
  </si>
  <si>
    <t>R_W1Esyo5dZEwjsAx</t>
  </si>
  <si>
    <t>peaceabramm@gmail.com</t>
  </si>
  <si>
    <t>73.202.235.45</t>
  </si>
  <si>
    <t>R_2Y61VVBAgtK7CW3</t>
  </si>
  <si>
    <t>Gaston College</t>
  </si>
  <si>
    <t>jm5535968@gmail.com</t>
  </si>
  <si>
    <t>107.185.173.116</t>
  </si>
  <si>
    <t>R_2ONC83yMPdQUz3j</t>
  </si>
  <si>
    <t>York Technical College</t>
  </si>
  <si>
    <t>tammibrittney@gmail.com</t>
  </si>
  <si>
    <t>38.94.253.152</t>
  </si>
  <si>
    <t>R_8uMXS3KWEeRDLP3</t>
  </si>
  <si>
    <t>A work-study job,Stipend or fellowship,Help from family or friends</t>
  </si>
  <si>
    <t>sherylpennyo@gmail.com</t>
  </si>
  <si>
    <t>68.105.80.19</t>
  </si>
  <si>
    <t>R_UKHvmB4TYsM9Qg9</t>
  </si>
  <si>
    <t>A work-study job,Other grants from the federal or state government,Student loans,Tuition remission</t>
  </si>
  <si>
    <t>mclauugghlinalexander@gmail.com</t>
  </si>
  <si>
    <t>73.116.221.194</t>
  </si>
  <si>
    <t>R_2wQX3YHVdds8CpL</t>
  </si>
  <si>
    <t>A job that isnâ€™t work-study (including self-employment),Tuition remission,Help from family or friends</t>
  </si>
  <si>
    <t>Ben Lippen School</t>
  </si>
  <si>
    <t>popecline82@gmail.com</t>
  </si>
  <si>
    <t>184.188.64.195</t>
  </si>
  <si>
    <t>R_3MFNJoLSDqNmICB</t>
  </si>
  <si>
    <t>kendaldannyrrwv@gmail.com</t>
  </si>
  <si>
    <t>74.194.163.163</t>
  </si>
  <si>
    <t>R_1rkuaG80gdBEbWM</t>
  </si>
  <si>
    <t>68.57.74.207</t>
  </si>
  <si>
    <t>R_4UFH7rqqWcjc9Pz</t>
  </si>
  <si>
    <t>A work-study job,Other grants from the federal or state government</t>
  </si>
  <si>
    <t>Massachusetts Institute of Technology</t>
  </si>
  <si>
    <t>24.6.249.117</t>
  </si>
  <si>
    <t>R_2y1QutzpRTRr6EQ</t>
  </si>
  <si>
    <t>Boston College</t>
  </si>
  <si>
    <t>96.232.85.93</t>
  </si>
  <si>
    <t>R_28TnOhpuU2clohn</t>
  </si>
  <si>
    <t>69.123.215.94</t>
  </si>
  <si>
    <t>R_Z953yGF3e9faYcp</t>
  </si>
  <si>
    <t>Pell Grant,Other grants from my college or university,Help from family or friends</t>
  </si>
  <si>
    <t>Columbia University</t>
  </si>
  <si>
    <t>73.58.113.253</t>
  </si>
  <si>
    <t>R_2rZ04EKiLRjLKDo</t>
  </si>
  <si>
    <t>Student loans,Savings</t>
  </si>
  <si>
    <t>Cornell University</t>
  </si>
  <si>
    <t>24.8.104.14</t>
  </si>
  <si>
    <t>R_2tioDXuzK53pMml</t>
  </si>
  <si>
    <t>elsacarllyle@gmail.com</t>
  </si>
  <si>
    <t>67.49.25.158</t>
  </si>
  <si>
    <t>R_3PaEJIETVKBBtfC</t>
  </si>
  <si>
    <t>New York University</t>
  </si>
  <si>
    <t>104.11.224.130</t>
  </si>
  <si>
    <t>R_22MoXHLUHPnJwrI</t>
  </si>
  <si>
    <t>hewlettjamie804@gmail.com</t>
  </si>
  <si>
    <t>73.32.170.20</t>
  </si>
  <si>
    <t>R_1l5db7RH6qZjr3S</t>
  </si>
  <si>
    <t>A job that isnâ€™t work-study (including self-employment),Other grants from the federal or state government,Help from family or friends</t>
  </si>
  <si>
    <t>Princeton University</t>
  </si>
  <si>
    <t>216.218.198.232</t>
  </si>
  <si>
    <t>R_1dtB911Iq45EWUe</t>
  </si>
  <si>
    <t>A job that isnâ€™t work-study (including self-employment),Pell Grant,Tuition remission,Help from family or friends</t>
  </si>
  <si>
    <t>dboqki@gmail.com</t>
  </si>
  <si>
    <t>89.38.227.206</t>
  </si>
  <si>
    <t>R_2SpkgMu8FWyUw0O</t>
  </si>
  <si>
    <t>A job that isnâ€™t work-study (including self-employment),Other grants from my college or university</t>
  </si>
  <si>
    <t>RhodeIslandSchoolofDesign</t>
  </si>
  <si>
    <t>75.54.96.103</t>
  </si>
  <si>
    <t>R_1ffSo2nevAo6BMJ</t>
  </si>
  <si>
    <t>rungFatr@gmail.com</t>
  </si>
  <si>
    <t>47.144.69.103</t>
  </si>
  <si>
    <t>R_1IRFTIKJw7IFeZJ</t>
  </si>
  <si>
    <t>A job that isnâ€™t work-study (including self-employment),Pell Grant,Help from family or friends,Savings</t>
  </si>
  <si>
    <t>dulleslydia@gmail.com</t>
  </si>
  <si>
    <t>76.91.218.43</t>
  </si>
  <si>
    <t>R_2ALI3AyUxliRxhm</t>
  </si>
  <si>
    <t>A work-study job,A job that isnâ€™t work-study (including self-employment),Student loans,Help from family or friends,Employer support</t>
  </si>
  <si>
    <t>laylahRecord@gmail.com</t>
  </si>
  <si>
    <t>173.197.190.178</t>
  </si>
  <si>
    <t>R_UPJQLdp09DTAbzr</t>
  </si>
  <si>
    <t>cleanSlaba@gmail.com</t>
  </si>
  <si>
    <t>73.116.58.142</t>
  </si>
  <si>
    <t>R_2y7oJyPlrZtWL1B</t>
  </si>
  <si>
    <t>A work-study job,A job that isnâ€™t work-study (including self-employment),Tuition remission,Help from family or friends,Employer support</t>
  </si>
  <si>
    <t>University of Bridgeport</t>
  </si>
  <si>
    <t>noellepzc@gmail.com</t>
  </si>
  <si>
    <t>174.26.168.67</t>
  </si>
  <si>
    <t>R_2cbBt7r0Dts5wVJ</t>
  </si>
  <si>
    <t>BurnettEmpty@gmail.com</t>
  </si>
  <si>
    <t>216.110.70.85</t>
  </si>
  <si>
    <t>R_217fUeB6MFx0kkH</t>
  </si>
  <si>
    <t>A job that isnâ€™t work-study (including self-employment),Other grants from the federal or state government,Tuition remission,Help from family or friends</t>
  </si>
  <si>
    <t>University of Connecticut</t>
  </si>
  <si>
    <t>awareWyatt@gmail.com</t>
  </si>
  <si>
    <t>45.26.83.245</t>
  </si>
  <si>
    <t>R_roM093oNPCnUIr7</t>
  </si>
  <si>
    <t>A work-study job,A job that isnâ€™t work-study (including self-employment),Savings,Credit cards</t>
  </si>
  <si>
    <t>University of New Haven</t>
  </si>
  <si>
    <t>BrooklynnItch@gmail.com</t>
  </si>
  <si>
    <t>107.136.80.160</t>
  </si>
  <si>
    <t>R_ysTDmUglqbuEbgB</t>
  </si>
  <si>
    <t>CaldwellCynical@gmail.com</t>
  </si>
  <si>
    <t>70.112.109.4</t>
  </si>
  <si>
    <t>R_ToKLu0D7SqdFHHj</t>
  </si>
  <si>
    <t>A job that isnâ€™t work-study (including self-employment),Pell Grant,Credit cards,Employer support</t>
  </si>
  <si>
    <t>70.94.149.104</t>
  </si>
  <si>
    <t>R_3NxpRRrcyeHifQb</t>
  </si>
  <si>
    <t>Fordyrz@gmail.com</t>
  </si>
  <si>
    <t>75.6.195.166</t>
  </si>
  <si>
    <t>R_28SQdg200G92uuL</t>
  </si>
  <si>
    <t>A job that isnâ€™t work-study (including self-employment),Other grants from my college or university,Savings,Employer support</t>
  </si>
  <si>
    <t>FrederickScrew@gmail.com</t>
  </si>
  <si>
    <t>76.241.33.181</t>
  </si>
  <si>
    <t>R_23gm9F6ev80pnjQ</t>
  </si>
  <si>
    <t>oofltk@gmail.com</t>
  </si>
  <si>
    <t>108.184.29.30</t>
  </si>
  <si>
    <t>R_1eY3VxkXIu2dOVJ</t>
  </si>
  <si>
    <t>A job that isnâ€™t work-study (including self-employment),Pell Grant,Credit cards</t>
  </si>
  <si>
    <t>24.129.104.142</t>
  </si>
  <si>
    <t>R_1Lj1VAdpiopUHIM</t>
  </si>
  <si>
    <t>Mcleanrgc@gmail.com</t>
  </si>
  <si>
    <t>104.176.130.13</t>
  </si>
  <si>
    <t>R_w5YW5yB4NoDuNAR</t>
  </si>
  <si>
    <t>A work-study job,A job that isnâ€™t work-study (including self-employment),Help from family or friends,Savings</t>
  </si>
  <si>
    <t>Hispanic or Latino,American Indian or Alaskan Native</t>
  </si>
  <si>
    <t>cordellFantastic@gmail.com</t>
  </si>
  <si>
    <t>47.221.246.216</t>
  </si>
  <si>
    <t>R_299OsywFPDshRNi</t>
  </si>
  <si>
    <t>ldgxob@gmail.com</t>
  </si>
  <si>
    <t>63.163.64.33</t>
  </si>
  <si>
    <t>R_9tB3m1BF6xEO1aN</t>
  </si>
  <si>
    <t>A job that isnâ€™t work-study (including self-employment),Other grants from the federal or state government,Savings</t>
  </si>
  <si>
    <t>Youthrbreeze@gmail.com</t>
  </si>
  <si>
    <t>98.29.243.18</t>
  </si>
  <si>
    <t>R_1jrZw8bEzVdn3qY</t>
  </si>
  <si>
    <t>GilbertoScream@gmail.com</t>
  </si>
  <si>
    <t>73.5.165.125</t>
  </si>
  <si>
    <t>R_1didVgSuW7yVj2g</t>
  </si>
  <si>
    <t>A job that isnâ€™t work-study (including self-employment),Savings,Employer support</t>
  </si>
  <si>
    <t>Worcester Polytechnic Institute</t>
  </si>
  <si>
    <t>brentonHighfalutin@gmail.com</t>
  </si>
  <si>
    <t>96.230.67.183</t>
  </si>
  <si>
    <t>R_1dLz7PX3yGpox72</t>
  </si>
  <si>
    <t>caitlynDaffy@gmail.com</t>
  </si>
  <si>
    <t>76.115.209.116</t>
  </si>
  <si>
    <t>R_3RfvWycFDIZ8qR8</t>
  </si>
  <si>
    <t>A job that isnâ€™t work-study (including self-employment),Pell Grant,Other grants from the federal or state government</t>
  </si>
  <si>
    <t>darrinihuj@gmail.com</t>
  </si>
  <si>
    <t>147.253.242.96</t>
  </si>
  <si>
    <t>R_24ulUQCkIS35W9j</t>
  </si>
  <si>
    <t>A job that isnâ€™t work-study (including self-employment),Student loans,Help from family or friends</t>
  </si>
  <si>
    <t>arnokatharine@gmail.com</t>
  </si>
  <si>
    <t>97.121.142.118</t>
  </si>
  <si>
    <t>R_11WL1yoRxn4JnWz</t>
  </si>
  <si>
    <t>stracheylucien@gmail.com</t>
  </si>
  <si>
    <t>24.125.26.2</t>
  </si>
  <si>
    <t>R_2XoKeI6nTg05vQf</t>
  </si>
  <si>
    <t>forgetfulAryan@gmail.com</t>
  </si>
  <si>
    <t>R_3fBolj5l2loRDxD</t>
  </si>
  <si>
    <t>heddagalbraith@gmail.com</t>
  </si>
  <si>
    <t>120.192.39.139</t>
  </si>
  <si>
    <t>R_2AEd29FBBjfQSzg</t>
  </si>
  <si>
    <t>snkmws@gmail.com</t>
  </si>
  <si>
    <t>R_2q49po6Ng91opBo</t>
  </si>
  <si>
    <t>Other grants from the federal or state government,Student loans,Help from family or friends,Savings</t>
  </si>
  <si>
    <t>lexienpq@gmail.com</t>
  </si>
  <si>
    <t>R_4SIghajLY60ht3b</t>
  </si>
  <si>
    <t>jumpytyrell@gmail.com</t>
  </si>
  <si>
    <t>R_3n2H1iSmSFd3VMI</t>
  </si>
  <si>
    <t>breatheryan@gmail.com</t>
  </si>
  <si>
    <t>24.4.206.217</t>
  </si>
  <si>
    <t>R_3myzAVO4eSKwJxv</t>
  </si>
  <si>
    <t>A work-study job,Other grants from the federal or state government,Tuition remission</t>
  </si>
  <si>
    <t>R_2zf33FbaLCJzwYF</t>
  </si>
  <si>
    <t>mdqhrq@gmail.com</t>
  </si>
  <si>
    <t>R_2e5ds2hfNYDFu09</t>
  </si>
  <si>
    <t>Other grants from my college or university,Student loans,Savings,Credit cards</t>
  </si>
  <si>
    <t>New York Institute of Technology</t>
  </si>
  <si>
    <t>bertieudvz@gmail.com</t>
  </si>
  <si>
    <t>R_3PH7glg3lTttopm</t>
  </si>
  <si>
    <t>Rochester Institute of Technology</t>
  </si>
  <si>
    <t>saulezvr@gmail.com</t>
  </si>
  <si>
    <t>71.175.110.222</t>
  </si>
  <si>
    <t>R_1opxFSEuATcXkgA</t>
  </si>
  <si>
    <t>dead490ye@yahoo.com</t>
  </si>
  <si>
    <t>R_Y66BkADdO36wRj3</t>
  </si>
  <si>
    <t>A job that isnâ€™t work-study (including self-employment),Other grants from my college or university,Help from family or friends,Credit cards</t>
  </si>
  <si>
    <t>University of Rochester</t>
  </si>
  <si>
    <t>perpetualShayna@gmail.com</t>
  </si>
  <si>
    <t>R_3JlqtmoKPUC9QDp</t>
  </si>
  <si>
    <t>Syracuse University</t>
  </si>
  <si>
    <t>carinaTearful@gmail.com</t>
  </si>
  <si>
    <t>R_2P5AnyGYWH7tkM6</t>
  </si>
  <si>
    <t>Amherst College</t>
  </si>
  <si>
    <t>nobleTiffanyw@gmail.com</t>
  </si>
  <si>
    <t>73.188.223.104</t>
  </si>
  <si>
    <t>R_2OUyspITIgoWyaM</t>
  </si>
  <si>
    <t>retain_89@yahoo.com</t>
  </si>
  <si>
    <t>R_2XhAgu98m7QMKnl</t>
  </si>
  <si>
    <t>New Jersey</t>
  </si>
  <si>
    <t>MoniqueTerriy@gmail.com</t>
  </si>
  <si>
    <t>R_3MKynKofkPbC2J0</t>
  </si>
  <si>
    <t>tmichael547@yahoo.com</t>
  </si>
  <si>
    <t>R_3HLEyMZV1FuAZ2p</t>
  </si>
  <si>
    <t>rainhammer37@yahoo.com</t>
  </si>
  <si>
    <t>R_2qCaFcepLXYGKbd</t>
  </si>
  <si>
    <t>pa41rtition@yahoo.com</t>
  </si>
  <si>
    <t>66.69.79.92</t>
  </si>
  <si>
    <t>R_PtF5JcCAQX2UQM1</t>
  </si>
  <si>
    <t>åŒ—å¡ç½—æ¥çº³å¤§å­¦å¤æ´›ç‰¹åˆ†æ ¡</t>
  </si>
  <si>
    <t>fitzgeraldkillian397@gmail.com</t>
  </si>
  <si>
    <t>Rose Magee,fitzgeraldkillian397@gmail.com</t>
  </si>
  <si>
    <t>R_21hWBmkYnt3h9xE</t>
  </si>
  <si>
    <t>martinezbrian44@yahoo.com</t>
  </si>
  <si>
    <t>120.192.36.208</t>
  </si>
  <si>
    <t>R_wMit8B6kp1QPBW9</t>
  </si>
  <si>
    <t>Help from family or friends,Employer support</t>
  </si>
  <si>
    <t>allowance21@yahoo.com</t>
  </si>
  <si>
    <t>R_8BLUHA8prEGD17j</t>
  </si>
  <si>
    <t>carterjason941@yahoo.com</t>
  </si>
  <si>
    <t>R_2e4mqYaaPlHJykg</t>
  </si>
  <si>
    <t>jason.scott311@yahoo.com</t>
  </si>
  <si>
    <t>73.76.48.225</t>
  </si>
  <si>
    <t>R_30960Efg5xRP4ML</t>
  </si>
  <si>
    <t>charlotte school of law</t>
  </si>
  <si>
    <t>judgedeannetuwl25@gmail.com</t>
  </si>
  <si>
    <t>R_25QrIfPGL7wb8M4</t>
  </si>
  <si>
    <t>Help from family or friends,Savings</t>
  </si>
  <si>
    <t>wicked_254@yahoo.com</t>
  </si>
  <si>
    <t>R_3JCvGSRUIRDMNy4</t>
  </si>
  <si>
    <t>A work-study job,Other grants from my college or university</t>
  </si>
  <si>
    <t>compatible4@yahoo.com</t>
  </si>
  <si>
    <t>72.205.68.73</t>
  </si>
  <si>
    <t>R_3scBglWCQaG4dy7</t>
  </si>
  <si>
    <t>A work-study job,A job that isnâ€™t work-study (including self-employment),Tuition remission,Savings</t>
  </si>
  <si>
    <t>At a time</t>
  </si>
  <si>
    <t>giovanniernesto838@gmail.com</t>
  </si>
  <si>
    <t>KennethÂ GÂ Reeder        giovanniernesto838@gmail.com</t>
  </si>
  <si>
    <t>R_BJHd7Z5ihgonNHX</t>
  </si>
  <si>
    <t>white_sharon52@yahoo.com</t>
  </si>
  <si>
    <t>R_ywOHemdnXrQBInT</t>
  </si>
  <si>
    <t>jameslopez571@yahoo.com</t>
  </si>
  <si>
    <t>R_D7UH8vXP7S9jkQh</t>
  </si>
  <si>
    <t>rodriguez.lisa58@yahoo.com</t>
  </si>
  <si>
    <t>R_10AHqtCG7P9xBYT</t>
  </si>
  <si>
    <t>thomas.white60@yahoo.com</t>
  </si>
  <si>
    <t>R_1E0DyOOwGR3NEHB</t>
  </si>
  <si>
    <t>ghodwyn351@yahoo.com</t>
  </si>
  <si>
    <t>209.30.146.104</t>
  </si>
  <si>
    <t>R_1k0Kozo4XWFcy3o</t>
  </si>
  <si>
    <t>Tuition remission,Help from family or friends,Savings</t>
  </si>
  <si>
    <t>å¤æ´›ç‰¹çš‡åŽå¤§å­¸</t>
  </si>
  <si>
    <t>caudillwindleralyfb70@gmail.com</t>
  </si>
  <si>
    <t>R_1QB2AzTpa5C052k</t>
  </si>
  <si>
    <t>thompsonkenneth405@yahoo.com</t>
  </si>
  <si>
    <t>70.235.254.21</t>
  </si>
  <si>
    <t>R_25Sd8goXD8fFgiP</t>
  </si>
  <si>
    <t>A work-study job,Student loans,Savings</t>
  </si>
  <si>
    <t>johnson &amp; wales university- charlotte campus</t>
  </si>
  <si>
    <t>okunevayounggvgn31@gmail.com</t>
  </si>
  <si>
    <t>68.129.50.119</t>
  </si>
  <si>
    <t>R_1d5ppdAyVlIUYLw</t>
  </si>
  <si>
    <t>carolinas college of health sciences</t>
  </si>
  <si>
    <t>haagjarmondyrqs89@gmail.com</t>
  </si>
  <si>
    <t>CassandraÂ Whitlow,haagjarmondyrqs89@gmail.com</t>
  </si>
  <si>
    <t>71.94.223.41</t>
  </si>
  <si>
    <t>R_1iarq7a8FPBaxWu</t>
  </si>
  <si>
    <t>A work-study job,Pell Grant,Help from family or friends</t>
  </si>
  <si>
    <t>Hillcrest Apartments</t>
  </si>
  <si>
    <t>adolphcandice@gmail.com</t>
  </si>
  <si>
    <t>76.115.196.14</t>
  </si>
  <si>
    <t>R_rrOU0a7dVV3Kkfv</t>
  </si>
  <si>
    <t>A work-study job,Help from family or friends,Credit cards</t>
  </si>
  <si>
    <t>movehbm@gmail.com</t>
  </si>
  <si>
    <t>24.255.24.137</t>
  </si>
  <si>
    <t>R_2qmlBP663U6sclo</t>
  </si>
  <si>
    <t>strayer university</t>
  </si>
  <si>
    <t>alirisgbpp34@gmail.com</t>
  </si>
  <si>
    <t>73.206.91.112</t>
  </si>
  <si>
    <t>R_rdJjw5hYrZyWKdz</t>
  </si>
  <si>
    <t>Pell Grant,Savings,Employer support</t>
  </si>
  <si>
    <t>McAden Park Apartments</t>
  </si>
  <si>
    <t>louise81038@gmail.com</t>
  </si>
  <si>
    <t>75.21.249.221</t>
  </si>
  <si>
    <t>R_20NkAW85YTG3mj8</t>
  </si>
  <si>
    <t>Montgomery Gardens Apartment Homes</t>
  </si>
  <si>
    <t>cynthiaxwph@gmail.com</t>
  </si>
  <si>
    <t>R_Tpk4P7zA2qvDoWd</t>
  </si>
  <si>
    <t>Other grants from my college or university,Credit cards</t>
  </si>
  <si>
    <t>principal84@yahoo.com</t>
  </si>
  <si>
    <t>R_1Q6sc1KKJo4kzgF</t>
  </si>
  <si>
    <t>moorejennifer197@yahoo.com</t>
  </si>
  <si>
    <t>R_2sToIt0E6mDAemQ</t>
  </si>
  <si>
    <t>Pell Grant,Savings</t>
  </si>
  <si>
    <t>ch33ewbacca@yahoo.com</t>
  </si>
  <si>
    <t>174.44.192.117</t>
  </si>
  <si>
    <t>R_3pr6tjzhwmx3U6L</t>
  </si>
  <si>
    <t>A work-study job,Help from family or friends,Savings</t>
  </si>
  <si>
    <t>North Carolina State University</t>
  </si>
  <si>
    <t>Gerryouy@gmail.com</t>
  </si>
  <si>
    <t>R_3PZT8NDvZo9t0P6</t>
  </si>
  <si>
    <t>Queen Charlotte University</t>
  </si>
  <si>
    <t>srgonu@gmail.com</t>
  </si>
  <si>
    <t>R_1JJClDp5QwLcFxd</t>
  </si>
  <si>
    <t>Student loans,Savings,Credit cards</t>
  </si>
  <si>
    <t>Johnson &amp; Wales University-Charlotte</t>
  </si>
  <si>
    <t>wild.amnve@gmail.com</t>
  </si>
  <si>
    <t>R_2YGnaKSbRylZYJ1</t>
  </si>
  <si>
    <t>Carolinas College of Health Sciences</t>
  </si>
  <si>
    <t>xavieragracie@gmail.com</t>
  </si>
  <si>
    <t>R_3HRd0sC9WfW5ZlK</t>
  </si>
  <si>
    <t>Pell Grant,Tuition remission,Help from family or friends</t>
  </si>
  <si>
    <t>King's College. Private, for profit</t>
  </si>
  <si>
    <t>rankrobotc@gmail.com</t>
  </si>
  <si>
    <t>67.190.45.26</t>
  </si>
  <si>
    <t>R_3j0qOKQi8IA3iwo</t>
  </si>
  <si>
    <t>A work-study job,Credit cards,Employer support</t>
  </si>
  <si>
    <t>chartpush@gmail.com</t>
  </si>
  <si>
    <t>139.28.216.180</t>
  </si>
  <si>
    <t>R_2U5ySyOyCnL4ldw</t>
  </si>
  <si>
    <t>kirstenageg@gmail.com</t>
  </si>
  <si>
    <t>73.166.58.162</t>
  </si>
  <si>
    <t>R_ysGZQjuD5HGQzDj</t>
  </si>
  <si>
    <t>Help from family or friends,Savings,Credit cards</t>
  </si>
  <si>
    <t>randelldianeo8@gmail.com</t>
  </si>
  <si>
    <t>71.30.160.167</t>
  </si>
  <si>
    <t>R_1jCXqz77KsLwNkT</t>
  </si>
  <si>
    <t>A work-study job,A job that isnâ€™t work-study (including self-employment),Tuition remission</t>
  </si>
  <si>
    <t>itemrneedle@gmail.com</t>
  </si>
  <si>
    <t>172.118.203.12</t>
  </si>
  <si>
    <t>R_vi4VcEF2qv76P7j</t>
  </si>
  <si>
    <t>A work-study job,Tuition remission,Savings,Credit cards</t>
  </si>
  <si>
    <t>yalefielding@gmail.com</t>
  </si>
  <si>
    <t>108.53.211.233</t>
  </si>
  <si>
    <t>R_1LU5H5K3Btx7KCl</t>
  </si>
  <si>
    <t>Louise H Lantz         a297quaigia@yahoo.com         404-296-9658</t>
  </si>
  <si>
    <t>196.53.0.128</t>
  </si>
  <si>
    <t>R_3D5PdcTM1UUM09U</t>
  </si>
  <si>
    <t>A work-study job,Other grants from the federal or state government,Other grants from my college or university,Tuition remission,Help from family or friends</t>
  </si>
  <si>
    <t>ZackaryDamaging@gmail.com</t>
  </si>
  <si>
    <t>73.193.33.119</t>
  </si>
  <si>
    <t>R_1EaEcR85sLlGllg</t>
  </si>
  <si>
    <t>A work-study job,Other grants from my college or university,Student loans,Tuition remission,Help from family or friends,Credit cards</t>
  </si>
  <si>
    <t>Vanderbilt University</t>
  </si>
  <si>
    <t>coreyjaylancphk@gmail.com</t>
  </si>
  <si>
    <t>68.109.42.53</t>
  </si>
  <si>
    <t>R_10T8HDF8DEHf4tB</t>
  </si>
  <si>
    <t>ward06499@gmail.com</t>
  </si>
  <si>
    <t>119.164.13.117</t>
  </si>
  <si>
    <t>R_BM266MzSsUdr9yp</t>
  </si>
  <si>
    <t>University of Charlotte</t>
  </si>
  <si>
    <t>mcLainadajiv@gmail.com</t>
  </si>
  <si>
    <t>John Stills
mcLainadajiv@gmail.com</t>
  </si>
  <si>
    <t>R_3HOJ0jcFrQMO1Gl</t>
  </si>
  <si>
    <t>hedysamplelkw@gmail.com</t>
  </si>
  <si>
    <t>Emilie Ahmed
hedysamplelkw@gmail.com</t>
  </si>
  <si>
    <t>68.42.224.206</t>
  </si>
  <si>
    <t>R_1rivYPWyF3UV8hr</t>
  </si>
  <si>
    <t>173.94.241.107</t>
  </si>
  <si>
    <t>R_1q3cro98diVoEOz</t>
  </si>
  <si>
    <t>Middleb uryCollege</t>
  </si>
  <si>
    <t>69.10.98.99</t>
  </si>
  <si>
    <t>R_30wQM52nPNke8F3</t>
  </si>
  <si>
    <t>truthdragon1960@yahoo.com</t>
  </si>
  <si>
    <t>Michael A Creger     truthdragon1960@yahoo.com     605-454-6010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</si>
</sst>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2" fillId="4" borderId="1" applyNumberFormat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1" applyNumberFormat="0" applyAlignment="0" applyProtection="0"/>
  </cellStyleXfs>
  <cellXfs count="42">
    <xf numFmtId="0" fontId="0" fillId="0" borderId="0" xfId="0"/>
    <xf numFmtId="0" fontId="1" fillId="0" borderId="0" xfId="0" applyFont="1"/>
    <xf numFmtId="22" fontId="1" fillId="0" borderId="0" xfId="0" applyNumberFormat="1" applyFont="1"/>
    <xf numFmtId="14" fontId="1" fillId="0" borderId="0" xfId="0" applyNumberFormat="1" applyFont="1"/>
    <xf numFmtId="22" fontId="0" fillId="0" borderId="0" xfId="0" applyNumberFormat="1"/>
    <xf numFmtId="0" fontId="0" fillId="0" borderId="0" xfId="0" applyAlignment="1">
      <alignment wrapText="1"/>
    </xf>
    <xf numFmtId="22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  <xf numFmtId="0" fontId="1" fillId="3" borderId="0" xfId="0" applyFont="1" applyFill="1"/>
    <xf numFmtId="0" fontId="0" fillId="3" borderId="0" xfId="0" applyFill="1"/>
    <xf numFmtId="0" fontId="2" fillId="4" borderId="1" xfId="1" applyAlignment="1"/>
    <xf numFmtId="0" fontId="2" fillId="4" borderId="1" xfId="1"/>
    <xf numFmtId="0" fontId="3" fillId="5" borderId="0" xfId="2"/>
    <xf numFmtId="0" fontId="1" fillId="0" borderId="0" xfId="0" applyFont="1" applyAlignment="1">
      <alignment wrapText="1"/>
    </xf>
    <xf numFmtId="0" fontId="4" fillId="6" borderId="0" xfId="3" applyAlignment="1">
      <alignment wrapText="1"/>
    </xf>
    <xf numFmtId="0" fontId="4" fillId="6" borderId="0" xfId="3"/>
    <xf numFmtId="0" fontId="4" fillId="6" borderId="1" xfId="3" applyBorder="1" applyAlignment="1"/>
    <xf numFmtId="0" fontId="4" fillId="6" borderId="1" xfId="3" applyBorder="1"/>
    <xf numFmtId="0" fontId="5" fillId="7" borderId="1" xfId="4" applyAlignment="1">
      <alignment wrapText="1"/>
    </xf>
    <xf numFmtId="0" fontId="5" fillId="7" borderId="1" xfId="4"/>
    <xf numFmtId="0" fontId="5" fillId="7" borderId="1" xfId="4" applyAlignment="1"/>
    <xf numFmtId="0" fontId="1" fillId="8" borderId="0" xfId="0" applyFont="1" applyFill="1"/>
    <xf numFmtId="0" fontId="1" fillId="8" borderId="0" xfId="0" applyFont="1" applyFill="1" applyAlignment="1">
      <alignment wrapText="1"/>
    </xf>
    <xf numFmtId="0" fontId="0" fillId="8" borderId="0" xfId="0" applyFill="1"/>
    <xf numFmtId="0" fontId="2" fillId="8" borderId="1" xfId="1" applyFill="1" applyAlignment="1"/>
    <xf numFmtId="0" fontId="2" fillId="8" borderId="1" xfId="1" applyFill="1"/>
    <xf numFmtId="0" fontId="3" fillId="8" borderId="0" xfId="2" applyFill="1"/>
    <xf numFmtId="0" fontId="7" fillId="9" borderId="1" xfId="0" applyFont="1" applyFill="1" applyBorder="1" applyAlignment="1">
      <alignment wrapText="1"/>
    </xf>
    <xf numFmtId="0" fontId="7" fillId="9" borderId="2" xfId="0" applyFont="1" applyFill="1" applyBorder="1" applyAlignment="1">
      <alignment wrapText="1"/>
    </xf>
    <xf numFmtId="0" fontId="8" fillId="10" borderId="0" xfId="0" applyFont="1" applyFill="1" applyAlignment="1">
      <alignment wrapText="1"/>
    </xf>
    <xf numFmtId="0" fontId="7" fillId="9" borderId="3" xfId="0" applyFont="1" applyFill="1" applyBorder="1"/>
    <xf numFmtId="0" fontId="7" fillId="9" borderId="4" xfId="0" applyFont="1" applyFill="1" applyBorder="1"/>
    <xf numFmtId="0" fontId="8" fillId="10" borderId="0" xfId="0" applyFont="1" applyFill="1"/>
    <xf numFmtId="0" fontId="6" fillId="0" borderId="0" xfId="0" applyFont="1"/>
    <xf numFmtId="0" fontId="9" fillId="11" borderId="2" xfId="0" applyFont="1" applyFill="1" applyBorder="1"/>
    <xf numFmtId="0" fontId="8" fillId="10" borderId="2" xfId="0" applyFont="1" applyFill="1" applyBorder="1"/>
    <xf numFmtId="0" fontId="1" fillId="12" borderId="0" xfId="0" applyFont="1" applyFill="1"/>
    <xf numFmtId="0" fontId="6" fillId="13" borderId="0" xfId="0" applyFont="1" applyFill="1"/>
    <xf numFmtId="0" fontId="6" fillId="12" borderId="0" xfId="0" applyFont="1" applyFill="1"/>
    <xf numFmtId="0" fontId="10" fillId="14" borderId="0" xfId="0" applyFont="1" applyFill="1"/>
  </cellXfs>
  <cellStyles count="5">
    <cellStyle name="Bad" xfId="2" builtinId="27"/>
    <cellStyle name="Calculation" xfId="4" builtinId="22"/>
    <cellStyle name="Good" xfId="3" builtinId="26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G652"/>
  <sheetViews>
    <sheetView topLeftCell="AY52" workbookViewId="0">
      <selection activeCell="BD15" sqref="BD15"/>
    </sheetView>
  </sheetViews>
  <sheetFormatPr baseColWidth="10" defaultColWidth="38" defaultRowHeight="15.75" customHeight="1" x14ac:dyDescent="0.15"/>
  <sheetData>
    <row r="1" spans="1:5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>
        <v>10</v>
      </c>
      <c r="AH1" s="1">
        <v>11</v>
      </c>
      <c r="AI1" s="1">
        <v>12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>
        <v>15</v>
      </c>
      <c r="AP1" s="1">
        <v>16</v>
      </c>
      <c r="AQ1" s="1">
        <v>17</v>
      </c>
      <c r="AR1" s="1">
        <v>18</v>
      </c>
      <c r="AS1" s="1">
        <v>19</v>
      </c>
      <c r="AT1" s="1">
        <v>20</v>
      </c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>
        <v>22</v>
      </c>
      <c r="BC1" s="1">
        <v>23</v>
      </c>
      <c r="BD1" s="1">
        <v>24</v>
      </c>
      <c r="BE1" s="1">
        <v>25</v>
      </c>
      <c r="BF1" s="1">
        <v>26</v>
      </c>
      <c r="BG1" s="1">
        <v>27</v>
      </c>
    </row>
    <row r="2" spans="1:59" ht="15.75" customHeight="1" x14ac:dyDescent="0.15">
      <c r="A2" s="1" t="s">
        <v>36</v>
      </c>
      <c r="B2" s="1" t="s">
        <v>37</v>
      </c>
      <c r="C2" s="1" t="s">
        <v>38</v>
      </c>
      <c r="D2" s="1" t="s">
        <v>39</v>
      </c>
      <c r="E2" s="1" t="s">
        <v>4</v>
      </c>
      <c r="F2" s="1" t="s">
        <v>5</v>
      </c>
      <c r="G2" s="1" t="s">
        <v>6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  <c r="AJ2" s="1" t="s">
        <v>68</v>
      </c>
      <c r="AK2" s="1" t="s">
        <v>69</v>
      </c>
      <c r="AL2" s="1" t="s">
        <v>70</v>
      </c>
      <c r="AM2" s="1" t="s">
        <v>71</v>
      </c>
      <c r="AN2" s="1" t="s">
        <v>72</v>
      </c>
      <c r="AO2" s="1" t="s">
        <v>73</v>
      </c>
      <c r="AP2" s="1" t="s">
        <v>74</v>
      </c>
      <c r="AQ2" s="1" t="s">
        <v>75</v>
      </c>
      <c r="AR2" s="1" t="s">
        <v>76</v>
      </c>
      <c r="AS2" s="1" t="s">
        <v>77</v>
      </c>
      <c r="AT2" s="1" t="s">
        <v>78</v>
      </c>
      <c r="AU2" s="1" t="s">
        <v>79</v>
      </c>
      <c r="AV2" s="1" t="s">
        <v>80</v>
      </c>
      <c r="AW2" s="1" t="s">
        <v>81</v>
      </c>
      <c r="AX2" s="1" t="s">
        <v>82</v>
      </c>
      <c r="AY2" s="1" t="s">
        <v>83</v>
      </c>
      <c r="AZ2" s="1" t="s">
        <v>84</v>
      </c>
      <c r="BA2" s="1" t="s">
        <v>85</v>
      </c>
      <c r="BB2" s="1" t="s">
        <v>86</v>
      </c>
      <c r="BC2" s="1" t="s">
        <v>87</v>
      </c>
      <c r="BD2" s="1" t="s">
        <v>88</v>
      </c>
      <c r="BE2" s="1" t="s">
        <v>89</v>
      </c>
      <c r="BF2" s="1" t="s">
        <v>90</v>
      </c>
      <c r="BG2" s="1" t="s">
        <v>91</v>
      </c>
    </row>
    <row r="3" spans="1:59" ht="15.75" customHeight="1" x14ac:dyDescent="0.1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s">
        <v>103</v>
      </c>
      <c r="M3" s="1" t="s">
        <v>104</v>
      </c>
      <c r="N3" s="1" t="s">
        <v>105</v>
      </c>
      <c r="O3" s="1" t="s">
        <v>106</v>
      </c>
      <c r="P3" s="1" t="s">
        <v>107</v>
      </c>
      <c r="Q3" s="1" t="s">
        <v>108</v>
      </c>
      <c r="R3" s="1" t="s">
        <v>109</v>
      </c>
      <c r="S3" s="1" t="s">
        <v>110</v>
      </c>
      <c r="T3" s="1" t="s">
        <v>111</v>
      </c>
      <c r="U3" s="1" t="s">
        <v>112</v>
      </c>
      <c r="V3" s="1" t="s">
        <v>113</v>
      </c>
      <c r="W3" s="1" t="s">
        <v>114</v>
      </c>
      <c r="X3" s="1" t="s">
        <v>115</v>
      </c>
      <c r="Y3" s="1" t="s">
        <v>116</v>
      </c>
      <c r="Z3" s="1" t="s">
        <v>117</v>
      </c>
      <c r="AA3" s="1" t="s">
        <v>118</v>
      </c>
      <c r="AB3" s="1" t="s">
        <v>119</v>
      </c>
      <c r="AC3" s="1" t="s">
        <v>120</v>
      </c>
      <c r="AD3" s="1" t="s">
        <v>121</v>
      </c>
      <c r="AE3" s="1" t="s">
        <v>122</v>
      </c>
      <c r="AF3" s="1" t="s">
        <v>123</v>
      </c>
      <c r="AG3" s="1" t="s">
        <v>124</v>
      </c>
      <c r="AH3" s="1" t="s">
        <v>125</v>
      </c>
      <c r="AI3" s="1" t="s">
        <v>126</v>
      </c>
      <c r="AJ3" s="1" t="s">
        <v>127</v>
      </c>
      <c r="AK3" s="1" t="s">
        <v>128</v>
      </c>
      <c r="AL3" s="1" t="s">
        <v>129</v>
      </c>
      <c r="AM3" s="1" t="s">
        <v>130</v>
      </c>
      <c r="AN3" s="1" t="s">
        <v>131</v>
      </c>
      <c r="AO3" s="1" t="s">
        <v>132</v>
      </c>
      <c r="AP3" s="1" t="s">
        <v>133</v>
      </c>
      <c r="AQ3" s="1" t="s">
        <v>134</v>
      </c>
      <c r="AR3" s="1" t="s">
        <v>135</v>
      </c>
      <c r="AS3" s="1" t="s">
        <v>136</v>
      </c>
      <c r="AT3" s="1" t="s">
        <v>137</v>
      </c>
      <c r="AU3" s="1" t="s">
        <v>138</v>
      </c>
      <c r="AV3" s="1" t="s">
        <v>139</v>
      </c>
      <c r="AW3" s="1" t="s">
        <v>140</v>
      </c>
      <c r="AX3" s="1" t="s">
        <v>141</v>
      </c>
      <c r="AY3" s="1" t="s">
        <v>142</v>
      </c>
      <c r="AZ3" s="1" t="s">
        <v>143</v>
      </c>
      <c r="BA3" s="1" t="s">
        <v>144</v>
      </c>
      <c r="BB3" s="1" t="s">
        <v>145</v>
      </c>
      <c r="BC3" s="1" t="s">
        <v>146</v>
      </c>
      <c r="BD3" s="1" t="s">
        <v>147</v>
      </c>
      <c r="BE3" s="1" t="s">
        <v>148</v>
      </c>
      <c r="BF3" s="1" t="s">
        <v>149</v>
      </c>
      <c r="BG3" s="1" t="s">
        <v>150</v>
      </c>
    </row>
    <row r="4" spans="1:59" ht="15.75" customHeight="1" x14ac:dyDescent="0.15">
      <c r="A4" s="2">
        <v>44109.615277777775</v>
      </c>
      <c r="B4" s="2">
        <v>44109.623611111114</v>
      </c>
      <c r="C4" s="1" t="s">
        <v>39</v>
      </c>
      <c r="D4" s="1" t="s">
        <v>151</v>
      </c>
      <c r="E4" s="1">
        <v>100</v>
      </c>
      <c r="F4" s="1">
        <v>714</v>
      </c>
      <c r="G4" s="1" t="b">
        <v>1</v>
      </c>
      <c r="H4" s="2">
        <v>44109.623611111114</v>
      </c>
      <c r="I4" s="1" t="s">
        <v>152</v>
      </c>
      <c r="N4" s="1">
        <v>35.242599490000003</v>
      </c>
      <c r="O4" s="1">
        <v>-80.740997309999997</v>
      </c>
      <c r="P4" s="1" t="s">
        <v>153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  <c r="V4" s="1" t="s">
        <v>159</v>
      </c>
      <c r="W4" s="1" t="s">
        <v>159</v>
      </c>
      <c r="X4" s="1" t="s">
        <v>159</v>
      </c>
      <c r="Z4" s="1" t="s">
        <v>159</v>
      </c>
      <c r="AA4" s="1" t="s">
        <v>159</v>
      </c>
      <c r="AB4" s="1" t="s">
        <v>160</v>
      </c>
      <c r="AC4" s="1" t="s">
        <v>160</v>
      </c>
      <c r="AD4" s="1" t="s">
        <v>160</v>
      </c>
      <c r="AE4" s="1" t="s">
        <v>159</v>
      </c>
      <c r="AF4" s="1" t="s">
        <v>159</v>
      </c>
      <c r="AG4" s="1" t="s">
        <v>159</v>
      </c>
      <c r="AH4" s="1" t="s">
        <v>161</v>
      </c>
      <c r="AI4" s="1" t="s">
        <v>159</v>
      </c>
      <c r="AJ4" s="1" t="s">
        <v>162</v>
      </c>
      <c r="AK4" s="1" t="s">
        <v>162</v>
      </c>
      <c r="AL4" s="1" t="s">
        <v>163</v>
      </c>
      <c r="AM4" s="1" t="s">
        <v>163</v>
      </c>
      <c r="AN4" s="1" t="s">
        <v>164</v>
      </c>
      <c r="AO4" s="1" t="s">
        <v>165</v>
      </c>
      <c r="AP4" s="1" t="s">
        <v>165</v>
      </c>
      <c r="AQ4" s="1">
        <v>1990</v>
      </c>
      <c r="AR4" s="1" t="s">
        <v>160</v>
      </c>
      <c r="AS4" s="1" t="s">
        <v>159</v>
      </c>
      <c r="AT4" s="1" t="s">
        <v>166</v>
      </c>
      <c r="AU4" s="1" t="s">
        <v>159</v>
      </c>
      <c r="AV4" s="1" t="s">
        <v>159</v>
      </c>
      <c r="AW4" s="1" t="s">
        <v>159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167</v>
      </c>
      <c r="BC4" s="1" t="s">
        <v>159</v>
      </c>
      <c r="BF4" s="1" t="s">
        <v>160</v>
      </c>
      <c r="BG4" s="1" t="s">
        <v>168</v>
      </c>
    </row>
    <row r="5" spans="1:59" ht="15.75" customHeight="1" x14ac:dyDescent="0.15">
      <c r="A5" s="2">
        <v>44105.644444444442</v>
      </c>
      <c r="B5" s="2">
        <v>44105.647222222222</v>
      </c>
      <c r="C5" s="1" t="s">
        <v>39</v>
      </c>
      <c r="D5" s="1" t="s">
        <v>169</v>
      </c>
      <c r="E5" s="1">
        <v>4</v>
      </c>
      <c r="F5" s="1">
        <v>201</v>
      </c>
      <c r="G5" s="1" t="b">
        <v>0</v>
      </c>
      <c r="H5" s="2">
        <v>44112.647222222222</v>
      </c>
      <c r="I5" s="1" t="s">
        <v>170</v>
      </c>
      <c r="P5" s="1" t="s">
        <v>153</v>
      </c>
      <c r="Q5" s="1" t="s">
        <v>154</v>
      </c>
    </row>
    <row r="6" spans="1:59" ht="15.75" customHeight="1" x14ac:dyDescent="0.15">
      <c r="A6" s="2">
        <v>44108.8125</v>
      </c>
      <c r="B6" s="2">
        <v>44108.8125</v>
      </c>
      <c r="C6" s="1" t="s">
        <v>39</v>
      </c>
      <c r="D6" s="1" t="s">
        <v>151</v>
      </c>
      <c r="E6" s="1">
        <v>4</v>
      </c>
      <c r="F6" s="1">
        <v>11</v>
      </c>
      <c r="G6" s="1" t="b">
        <v>0</v>
      </c>
      <c r="H6" s="2">
        <v>44115.819444444445</v>
      </c>
      <c r="I6" s="1" t="s">
        <v>171</v>
      </c>
      <c r="P6" s="1" t="s">
        <v>153</v>
      </c>
      <c r="Q6" s="1" t="s">
        <v>154</v>
      </c>
    </row>
    <row r="7" spans="1:59" ht="15.75" customHeight="1" x14ac:dyDescent="0.15">
      <c r="A7" s="2">
        <v>44126.575694444444</v>
      </c>
      <c r="B7" s="2">
        <v>44126.578472222223</v>
      </c>
      <c r="C7" s="1" t="s">
        <v>39</v>
      </c>
      <c r="D7" s="1" t="s">
        <v>172</v>
      </c>
      <c r="E7" s="1">
        <v>100</v>
      </c>
      <c r="F7" s="1">
        <v>205</v>
      </c>
      <c r="G7" s="1" t="b">
        <v>1</v>
      </c>
      <c r="H7" s="2">
        <v>44126.578472222223</v>
      </c>
      <c r="I7" s="1" t="s">
        <v>173</v>
      </c>
      <c r="N7" s="1">
        <v>35.083694459999997</v>
      </c>
      <c r="O7" s="1">
        <v>-80.664596560000007</v>
      </c>
      <c r="P7" s="1" t="s">
        <v>153</v>
      </c>
      <c r="Q7" s="1" t="s">
        <v>154</v>
      </c>
      <c r="R7" s="1" t="s">
        <v>174</v>
      </c>
      <c r="S7" s="1" t="s">
        <v>175</v>
      </c>
      <c r="T7" s="1" t="s">
        <v>176</v>
      </c>
      <c r="U7" s="1" t="s">
        <v>177</v>
      </c>
      <c r="V7" s="1" t="s">
        <v>160</v>
      </c>
      <c r="W7" s="1" t="s">
        <v>159</v>
      </c>
      <c r="X7" s="1" t="s">
        <v>159</v>
      </c>
      <c r="Y7" s="1" t="s">
        <v>159</v>
      </c>
      <c r="Z7" s="1" t="s">
        <v>159</v>
      </c>
      <c r="AA7" s="1" t="s">
        <v>159</v>
      </c>
      <c r="AB7" s="1" t="s">
        <v>159</v>
      </c>
      <c r="AC7" s="1" t="s">
        <v>159</v>
      </c>
      <c r="AE7" s="1" t="s">
        <v>159</v>
      </c>
      <c r="AF7" s="1" t="s">
        <v>159</v>
      </c>
      <c r="AG7" s="1" t="s">
        <v>159</v>
      </c>
      <c r="AH7" s="1" t="s">
        <v>178</v>
      </c>
      <c r="AI7" s="1" t="s">
        <v>159</v>
      </c>
      <c r="AJ7" s="1" t="s">
        <v>162</v>
      </c>
      <c r="AK7" s="1" t="s">
        <v>163</v>
      </c>
      <c r="AL7" s="1" t="s">
        <v>162</v>
      </c>
      <c r="AM7" s="1" t="s">
        <v>162</v>
      </c>
      <c r="AN7" s="1" t="s">
        <v>163</v>
      </c>
      <c r="AO7" s="1" t="s">
        <v>179</v>
      </c>
      <c r="AP7" s="1" t="s">
        <v>179</v>
      </c>
      <c r="AQ7" s="1">
        <v>1998</v>
      </c>
      <c r="AR7" s="1" t="s">
        <v>160</v>
      </c>
      <c r="AS7" s="1" t="s">
        <v>159</v>
      </c>
      <c r="AT7" s="1" t="s">
        <v>180</v>
      </c>
      <c r="AU7" s="1" t="s">
        <v>159</v>
      </c>
      <c r="AV7" s="1" t="s">
        <v>159</v>
      </c>
      <c r="AW7" s="1" t="s">
        <v>159</v>
      </c>
      <c r="AX7" s="1" t="s">
        <v>159</v>
      </c>
      <c r="AY7" s="1" t="s">
        <v>159</v>
      </c>
      <c r="AZ7" s="1" t="s">
        <v>159</v>
      </c>
      <c r="BA7" s="1" t="s">
        <v>159</v>
      </c>
      <c r="BB7" s="1" t="s">
        <v>181</v>
      </c>
      <c r="BC7" s="1" t="s">
        <v>159</v>
      </c>
      <c r="BD7" s="1" t="s">
        <v>182</v>
      </c>
      <c r="BE7" s="1" t="s">
        <v>183</v>
      </c>
      <c r="BF7" s="1" t="s">
        <v>159</v>
      </c>
    </row>
    <row r="8" spans="1:59" ht="15.75" customHeight="1" x14ac:dyDescent="0.15">
      <c r="A8" s="2">
        <v>44126.71597222222</v>
      </c>
      <c r="B8" s="2">
        <v>44126.71875</v>
      </c>
      <c r="C8" s="1" t="s">
        <v>39</v>
      </c>
      <c r="D8" s="1" t="s">
        <v>184</v>
      </c>
      <c r="E8" s="1">
        <v>100</v>
      </c>
      <c r="F8" s="1">
        <v>193</v>
      </c>
      <c r="G8" s="1" t="b">
        <v>1</v>
      </c>
      <c r="H8" s="2">
        <v>44126.71875</v>
      </c>
      <c r="I8" s="1" t="s">
        <v>185</v>
      </c>
      <c r="N8" s="1">
        <v>33.747406009999999</v>
      </c>
      <c r="O8" s="1">
        <v>-84.374702450000001</v>
      </c>
      <c r="P8" s="1" t="s">
        <v>153</v>
      </c>
      <c r="Q8" s="1" t="s">
        <v>154</v>
      </c>
      <c r="R8" s="1" t="s">
        <v>174</v>
      </c>
      <c r="S8" s="1" t="s">
        <v>175</v>
      </c>
      <c r="T8" s="1" t="s">
        <v>176</v>
      </c>
      <c r="U8" s="1" t="s">
        <v>186</v>
      </c>
      <c r="V8" s="1" t="s">
        <v>159</v>
      </c>
      <c r="W8" s="1" t="s">
        <v>159</v>
      </c>
      <c r="X8" s="1" t="s">
        <v>160</v>
      </c>
      <c r="Y8" s="1" t="s">
        <v>160</v>
      </c>
      <c r="Z8" s="1" t="s">
        <v>159</v>
      </c>
      <c r="AA8" s="1" t="s">
        <v>159</v>
      </c>
      <c r="AB8" s="1" t="s">
        <v>159</v>
      </c>
      <c r="AD8" s="1" t="s">
        <v>160</v>
      </c>
      <c r="AE8" s="1" t="s">
        <v>160</v>
      </c>
      <c r="AF8" s="1" t="s">
        <v>160</v>
      </c>
      <c r="AG8" s="1" t="s">
        <v>160</v>
      </c>
      <c r="AH8" s="1">
        <v>4</v>
      </c>
      <c r="AI8" s="1" t="s">
        <v>160</v>
      </c>
      <c r="AJ8" s="1" t="s">
        <v>163</v>
      </c>
      <c r="AK8" s="1" t="s">
        <v>163</v>
      </c>
      <c r="AL8" s="1" t="s">
        <v>163</v>
      </c>
      <c r="AM8" s="1" t="s">
        <v>163</v>
      </c>
      <c r="AN8" s="1" t="s">
        <v>163</v>
      </c>
      <c r="AO8" s="1" t="s">
        <v>165</v>
      </c>
      <c r="AP8" s="1" t="s">
        <v>165</v>
      </c>
      <c r="AQ8" s="1">
        <v>1999</v>
      </c>
      <c r="AR8" s="1" t="s">
        <v>160</v>
      </c>
      <c r="AS8" s="1" t="s">
        <v>159</v>
      </c>
      <c r="AT8" s="1" t="s">
        <v>180</v>
      </c>
      <c r="AU8" s="1" t="s">
        <v>159</v>
      </c>
      <c r="AV8" s="1" t="s">
        <v>159</v>
      </c>
      <c r="AW8" s="1" t="s">
        <v>159</v>
      </c>
      <c r="AX8" s="1" t="s">
        <v>159</v>
      </c>
      <c r="AY8" s="1" t="s">
        <v>159</v>
      </c>
      <c r="AZ8" s="1" t="s">
        <v>159</v>
      </c>
      <c r="BA8" s="1" t="s">
        <v>159</v>
      </c>
      <c r="BB8" s="1" t="s">
        <v>167</v>
      </c>
      <c r="BC8" s="1" t="s">
        <v>160</v>
      </c>
      <c r="BD8" s="1" t="s">
        <v>193</v>
      </c>
      <c r="BE8" s="1" t="s">
        <v>187</v>
      </c>
      <c r="BF8" s="1" t="s">
        <v>160</v>
      </c>
      <c r="BG8" s="1" t="s">
        <v>188</v>
      </c>
    </row>
    <row r="9" spans="1:59" ht="15.75" customHeight="1" x14ac:dyDescent="0.15">
      <c r="A9" s="2">
        <v>44126.720138888886</v>
      </c>
      <c r="B9" s="2">
        <v>44126.722916666666</v>
      </c>
      <c r="C9" s="1" t="s">
        <v>39</v>
      </c>
      <c r="D9" s="1" t="s">
        <v>189</v>
      </c>
      <c r="E9" s="1">
        <v>100</v>
      </c>
      <c r="F9" s="1">
        <v>253</v>
      </c>
      <c r="G9" s="1" t="b">
        <v>1</v>
      </c>
      <c r="H9" s="2">
        <v>44126.722916666666</v>
      </c>
      <c r="I9" s="1" t="s">
        <v>190</v>
      </c>
      <c r="N9" s="1">
        <v>35.284301759999998</v>
      </c>
      <c r="O9" s="1">
        <v>-80.760002139999997</v>
      </c>
      <c r="P9" s="1" t="s">
        <v>153</v>
      </c>
      <c r="Q9" s="1" t="s">
        <v>154</v>
      </c>
      <c r="R9" s="1" t="s">
        <v>174</v>
      </c>
      <c r="S9" s="1" t="s">
        <v>175</v>
      </c>
      <c r="T9" s="1" t="s">
        <v>176</v>
      </c>
      <c r="U9" s="1" t="s">
        <v>191</v>
      </c>
      <c r="V9" s="1" t="s">
        <v>160</v>
      </c>
      <c r="W9" s="1" t="s">
        <v>159</v>
      </c>
      <c r="X9" s="1" t="s">
        <v>159</v>
      </c>
      <c r="Y9" s="1" t="s">
        <v>159</v>
      </c>
      <c r="Z9" s="1" t="s">
        <v>160</v>
      </c>
      <c r="AA9" s="1" t="s">
        <v>159</v>
      </c>
      <c r="AB9" s="1" t="s">
        <v>159</v>
      </c>
      <c r="AC9" s="1" t="s">
        <v>160</v>
      </c>
      <c r="AD9" s="1" t="s">
        <v>159</v>
      </c>
      <c r="AE9" s="1" t="s">
        <v>160</v>
      </c>
      <c r="AF9" s="1" t="s">
        <v>159</v>
      </c>
      <c r="AG9" s="1" t="s">
        <v>159</v>
      </c>
      <c r="AH9" s="1">
        <v>3</v>
      </c>
      <c r="AI9" s="1" t="s">
        <v>159</v>
      </c>
      <c r="AJ9" s="1" t="s">
        <v>164</v>
      </c>
      <c r="AK9" s="1" t="s">
        <v>192</v>
      </c>
      <c r="AL9" s="1" t="s">
        <v>162</v>
      </c>
      <c r="AM9" s="1" t="s">
        <v>162</v>
      </c>
      <c r="AN9" s="1" t="s">
        <v>162</v>
      </c>
      <c r="AO9" s="1" t="s">
        <v>165</v>
      </c>
      <c r="AP9" s="1" t="s">
        <v>165</v>
      </c>
      <c r="AQ9" s="1">
        <v>1998</v>
      </c>
      <c r="AR9" s="1" t="s">
        <v>160</v>
      </c>
      <c r="AS9" s="1" t="s">
        <v>159</v>
      </c>
      <c r="AT9" s="1" t="s">
        <v>180</v>
      </c>
      <c r="AU9" s="1" t="s">
        <v>159</v>
      </c>
      <c r="AV9" s="1" t="s">
        <v>159</v>
      </c>
      <c r="AW9" s="1" t="s">
        <v>159</v>
      </c>
      <c r="AX9" s="1" t="s">
        <v>159</v>
      </c>
      <c r="AY9" s="1" t="s">
        <v>160</v>
      </c>
      <c r="AZ9" s="1" t="s">
        <v>160</v>
      </c>
      <c r="BA9" s="1" t="s">
        <v>159</v>
      </c>
      <c r="BB9" s="1" t="s">
        <v>181</v>
      </c>
      <c r="BC9" s="1" t="s">
        <v>159</v>
      </c>
      <c r="BD9" s="1" t="s">
        <v>193</v>
      </c>
      <c r="BE9" s="1" t="s">
        <v>194</v>
      </c>
      <c r="BF9" s="1" t="s">
        <v>159</v>
      </c>
    </row>
    <row r="10" spans="1:59" ht="15.75" customHeight="1" x14ac:dyDescent="0.15">
      <c r="A10" s="2">
        <v>44126.729166666664</v>
      </c>
      <c r="B10" s="2">
        <v>44126.731944444444</v>
      </c>
      <c r="C10" s="1" t="s">
        <v>39</v>
      </c>
      <c r="D10" s="1" t="s">
        <v>195</v>
      </c>
      <c r="E10" s="1">
        <v>100</v>
      </c>
      <c r="F10" s="1">
        <v>267</v>
      </c>
      <c r="G10" s="1" t="b">
        <v>1</v>
      </c>
      <c r="H10" s="2">
        <v>44126.731944444444</v>
      </c>
      <c r="I10" s="1" t="s">
        <v>196</v>
      </c>
      <c r="N10" s="1">
        <v>33.86540222</v>
      </c>
      <c r="O10" s="1">
        <v>-84.338500980000006</v>
      </c>
      <c r="P10" s="1" t="s">
        <v>153</v>
      </c>
      <c r="Q10" s="1" t="s">
        <v>154</v>
      </c>
      <c r="R10" s="1" t="s">
        <v>174</v>
      </c>
      <c r="S10" s="1" t="s">
        <v>175</v>
      </c>
      <c r="T10" s="1" t="s">
        <v>157</v>
      </c>
      <c r="U10" s="1" t="s">
        <v>197</v>
      </c>
      <c r="V10" s="1" t="s">
        <v>160</v>
      </c>
      <c r="W10" s="1" t="s">
        <v>159</v>
      </c>
      <c r="X10" s="1" t="s">
        <v>159</v>
      </c>
      <c r="Y10" s="1" t="s">
        <v>159</v>
      </c>
      <c r="Z10" s="1" t="s">
        <v>159</v>
      </c>
      <c r="AA10" s="1" t="s">
        <v>159</v>
      </c>
      <c r="AB10" s="1" t="s">
        <v>159</v>
      </c>
      <c r="AC10" s="1" t="s">
        <v>159</v>
      </c>
      <c r="AD10" s="1" t="s">
        <v>159</v>
      </c>
      <c r="AE10" s="1" t="s">
        <v>159</v>
      </c>
      <c r="AF10" s="1" t="s">
        <v>159</v>
      </c>
      <c r="AG10" s="1" t="s">
        <v>159</v>
      </c>
      <c r="AH10" s="1">
        <v>0</v>
      </c>
      <c r="AI10" s="1" t="s">
        <v>159</v>
      </c>
      <c r="AJ10" s="1" t="s">
        <v>198</v>
      </c>
      <c r="AK10" s="1" t="s">
        <v>198</v>
      </c>
      <c r="AL10" s="1" t="s">
        <v>198</v>
      </c>
      <c r="AM10" s="1" t="s">
        <v>198</v>
      </c>
      <c r="AN10" s="1" t="s">
        <v>198</v>
      </c>
      <c r="AO10" s="1" t="s">
        <v>165</v>
      </c>
      <c r="AP10" s="1" t="s">
        <v>165</v>
      </c>
      <c r="AQ10" s="1">
        <v>1999</v>
      </c>
      <c r="AR10" s="1" t="s">
        <v>160</v>
      </c>
      <c r="AS10" s="1" t="s">
        <v>159</v>
      </c>
      <c r="AT10" s="1" t="s">
        <v>180</v>
      </c>
      <c r="AU10" s="1" t="s">
        <v>159</v>
      </c>
      <c r="AV10" s="1" t="s">
        <v>159</v>
      </c>
      <c r="AW10" s="1" t="s">
        <v>159</v>
      </c>
      <c r="AY10" s="1" t="s">
        <v>159</v>
      </c>
      <c r="AZ10" s="1" t="s">
        <v>159</v>
      </c>
      <c r="BA10" s="1" t="s">
        <v>159</v>
      </c>
      <c r="BB10" s="1" t="s">
        <v>167</v>
      </c>
      <c r="BC10" s="1" t="s">
        <v>159</v>
      </c>
      <c r="BD10" s="1" t="s">
        <v>182</v>
      </c>
      <c r="BE10" s="1" t="s">
        <v>199</v>
      </c>
      <c r="BF10" s="1" t="s">
        <v>159</v>
      </c>
    </row>
    <row r="11" spans="1:59" ht="15.75" customHeight="1" x14ac:dyDescent="0.15">
      <c r="A11" s="2">
        <v>44126.763888888891</v>
      </c>
      <c r="B11" s="2">
        <v>44126.772916666669</v>
      </c>
      <c r="C11" s="1" t="s">
        <v>39</v>
      </c>
      <c r="D11" s="1" t="s">
        <v>200</v>
      </c>
      <c r="E11" s="1">
        <v>100</v>
      </c>
      <c r="F11" s="1">
        <v>742</v>
      </c>
      <c r="G11" s="1" t="b">
        <v>1</v>
      </c>
      <c r="H11" s="2">
        <v>44126.772916666669</v>
      </c>
      <c r="I11" s="1" t="s">
        <v>201</v>
      </c>
      <c r="N11" s="1">
        <v>35.078796390000001</v>
      </c>
      <c r="O11" s="1">
        <v>-85.063003539999997</v>
      </c>
      <c r="P11" s="1" t="s">
        <v>153</v>
      </c>
      <c r="Q11" s="1" t="s">
        <v>154</v>
      </c>
      <c r="R11" s="1" t="s">
        <v>174</v>
      </c>
      <c r="S11" s="1" t="s">
        <v>175</v>
      </c>
      <c r="T11" s="1" t="s">
        <v>157</v>
      </c>
      <c r="U11" s="1" t="s">
        <v>202</v>
      </c>
      <c r="V11" s="1" t="s">
        <v>160</v>
      </c>
      <c r="W11" s="1" t="s">
        <v>160</v>
      </c>
      <c r="X11" s="1" t="s">
        <v>159</v>
      </c>
      <c r="Y11" s="1" t="s">
        <v>159</v>
      </c>
      <c r="Z11" s="1" t="s">
        <v>159</v>
      </c>
      <c r="AA11" s="1" t="s">
        <v>159</v>
      </c>
      <c r="AB11" s="1" t="s">
        <v>160</v>
      </c>
      <c r="AC11" s="1" t="s">
        <v>160</v>
      </c>
      <c r="AD11" s="1" t="s">
        <v>159</v>
      </c>
      <c r="AE11" s="1" t="s">
        <v>159</v>
      </c>
      <c r="AF11" s="1" t="s">
        <v>159</v>
      </c>
      <c r="AG11" s="1" t="s">
        <v>159</v>
      </c>
      <c r="AH11" s="1">
        <v>1</v>
      </c>
      <c r="AI11" s="1" t="s">
        <v>159</v>
      </c>
      <c r="AJ11" s="1" t="s">
        <v>198</v>
      </c>
      <c r="AK11" s="1" t="s">
        <v>163</v>
      </c>
      <c r="AL11" s="1" t="s">
        <v>163</v>
      </c>
      <c r="AM11" s="1" t="s">
        <v>163</v>
      </c>
      <c r="AN11" s="1" t="s">
        <v>163</v>
      </c>
      <c r="AO11" s="1" t="s">
        <v>165</v>
      </c>
      <c r="AP11" s="1" t="s">
        <v>165</v>
      </c>
      <c r="AQ11" s="1">
        <v>1998</v>
      </c>
      <c r="AR11" s="1" t="s">
        <v>160</v>
      </c>
      <c r="AS11" s="1" t="s">
        <v>159</v>
      </c>
      <c r="AT11" s="1" t="s">
        <v>203</v>
      </c>
      <c r="AU11" s="1" t="s">
        <v>159</v>
      </c>
      <c r="AV11" s="1" t="s">
        <v>159</v>
      </c>
      <c r="AW11" s="1" t="s">
        <v>159</v>
      </c>
      <c r="AX11" s="1" t="s">
        <v>159</v>
      </c>
      <c r="AY11" s="1" t="s">
        <v>159</v>
      </c>
      <c r="AZ11" s="1" t="s">
        <v>159</v>
      </c>
      <c r="BB11" s="1" t="s">
        <v>167</v>
      </c>
      <c r="BC11" s="1" t="s">
        <v>159</v>
      </c>
      <c r="BD11" s="1" t="s">
        <v>204</v>
      </c>
      <c r="BE11" s="1" t="s">
        <v>205</v>
      </c>
      <c r="BF11" s="1" t="s">
        <v>159</v>
      </c>
    </row>
    <row r="12" spans="1:59" ht="15.75" customHeight="1" x14ac:dyDescent="0.15">
      <c r="A12" s="2">
        <v>44126.788888888892</v>
      </c>
      <c r="B12" s="2">
        <v>44126.791666666664</v>
      </c>
      <c r="C12" s="1" t="s">
        <v>39</v>
      </c>
      <c r="D12" s="1" t="s">
        <v>206</v>
      </c>
      <c r="E12" s="1">
        <v>100</v>
      </c>
      <c r="F12" s="1">
        <v>256</v>
      </c>
      <c r="G12" s="1" t="b">
        <v>1</v>
      </c>
      <c r="H12" s="2">
        <v>44126.791666666664</v>
      </c>
      <c r="I12" s="1" t="s">
        <v>207</v>
      </c>
      <c r="N12" s="1">
        <v>35.734298709999997</v>
      </c>
      <c r="O12" s="1">
        <v>-79.791603089999995</v>
      </c>
      <c r="P12" s="1" t="s">
        <v>153</v>
      </c>
      <c r="Q12" s="1" t="s">
        <v>154</v>
      </c>
      <c r="R12" s="1" t="s">
        <v>174</v>
      </c>
      <c r="S12" s="1" t="s">
        <v>208</v>
      </c>
      <c r="T12" s="1" t="s">
        <v>176</v>
      </c>
      <c r="U12" s="1" t="s">
        <v>209</v>
      </c>
      <c r="V12" s="1" t="s">
        <v>160</v>
      </c>
      <c r="W12" s="1" t="s">
        <v>160</v>
      </c>
      <c r="X12" s="1" t="s">
        <v>160</v>
      </c>
      <c r="Y12" s="1" t="s">
        <v>160</v>
      </c>
      <c r="Z12" s="1" t="s">
        <v>159</v>
      </c>
      <c r="AA12" s="1" t="s">
        <v>159</v>
      </c>
      <c r="AB12" s="1" t="s">
        <v>159</v>
      </c>
      <c r="AC12" s="1" t="s">
        <v>160</v>
      </c>
      <c r="AD12" s="1" t="s">
        <v>160</v>
      </c>
      <c r="AE12" s="1" t="s">
        <v>159</v>
      </c>
      <c r="AF12" s="1" t="s">
        <v>159</v>
      </c>
      <c r="AG12" s="1" t="s">
        <v>159</v>
      </c>
      <c r="AH12" s="1">
        <v>0</v>
      </c>
      <c r="AI12" s="1" t="s">
        <v>159</v>
      </c>
      <c r="AJ12" s="1" t="s">
        <v>163</v>
      </c>
      <c r="AK12" s="1" t="s">
        <v>163</v>
      </c>
      <c r="AL12" s="1" t="s">
        <v>163</v>
      </c>
      <c r="AM12" s="1" t="s">
        <v>163</v>
      </c>
      <c r="AN12" s="1" t="s">
        <v>164</v>
      </c>
      <c r="AO12" s="1" t="s">
        <v>165</v>
      </c>
      <c r="AP12" s="1" t="s">
        <v>165</v>
      </c>
      <c r="AQ12" s="1">
        <v>2000</v>
      </c>
      <c r="AR12" s="1" t="s">
        <v>160</v>
      </c>
      <c r="AS12" s="1" t="s">
        <v>159</v>
      </c>
      <c r="AT12" s="1" t="s">
        <v>210</v>
      </c>
      <c r="AU12" s="1" t="s">
        <v>159</v>
      </c>
      <c r="AV12" s="1" t="s">
        <v>159</v>
      </c>
      <c r="AW12" s="1" t="s">
        <v>159</v>
      </c>
      <c r="AX12" s="1" t="s">
        <v>159</v>
      </c>
      <c r="AY12" s="1" t="s">
        <v>159</v>
      </c>
      <c r="AZ12" s="1" t="s">
        <v>159</v>
      </c>
      <c r="BB12" s="1" t="s">
        <v>181</v>
      </c>
      <c r="BC12" s="1" t="s">
        <v>159</v>
      </c>
      <c r="BD12" s="1" t="s">
        <v>211</v>
      </c>
      <c r="BE12" s="1" t="s">
        <v>212</v>
      </c>
      <c r="BF12" s="1" t="s">
        <v>159</v>
      </c>
    </row>
    <row r="13" spans="1:59" ht="15.75" customHeight="1" x14ac:dyDescent="0.15">
      <c r="A13" s="2">
        <v>44127.313194444447</v>
      </c>
      <c r="B13" s="2">
        <v>44127.316666666666</v>
      </c>
      <c r="C13" s="1" t="s">
        <v>39</v>
      </c>
      <c r="D13" s="1" t="s">
        <v>213</v>
      </c>
      <c r="E13" s="1">
        <v>100</v>
      </c>
      <c r="F13" s="1">
        <v>329</v>
      </c>
      <c r="G13" s="1" t="b">
        <v>1</v>
      </c>
      <c r="H13" s="2">
        <v>44127.316666666666</v>
      </c>
      <c r="I13" s="1" t="s">
        <v>214</v>
      </c>
      <c r="N13" s="1">
        <v>34.110992430000003</v>
      </c>
      <c r="O13" s="1">
        <v>-84.302497860000003</v>
      </c>
      <c r="P13" s="1" t="s">
        <v>153</v>
      </c>
      <c r="Q13" s="1" t="s">
        <v>154</v>
      </c>
      <c r="R13" s="1" t="s">
        <v>174</v>
      </c>
      <c r="S13" s="1" t="s">
        <v>175</v>
      </c>
      <c r="T13" s="1" t="s">
        <v>157</v>
      </c>
      <c r="U13" s="1" t="s">
        <v>215</v>
      </c>
      <c r="V13" s="1" t="s">
        <v>160</v>
      </c>
      <c r="W13" s="1" t="s">
        <v>160</v>
      </c>
      <c r="X13" s="1" t="s">
        <v>159</v>
      </c>
      <c r="Y13" s="1" t="s">
        <v>159</v>
      </c>
      <c r="Z13" s="1" t="s">
        <v>159</v>
      </c>
      <c r="AA13" s="1" t="s">
        <v>159</v>
      </c>
      <c r="AB13" s="1" t="s">
        <v>159</v>
      </c>
      <c r="AC13" s="1" t="s">
        <v>160</v>
      </c>
      <c r="AD13" s="1" t="s">
        <v>159</v>
      </c>
      <c r="AE13" s="1" t="s">
        <v>159</v>
      </c>
      <c r="AF13" s="1" t="s">
        <v>159</v>
      </c>
      <c r="AG13" s="1" t="s">
        <v>159</v>
      </c>
      <c r="AH13" s="1">
        <v>0</v>
      </c>
      <c r="AI13" s="1" t="s">
        <v>159</v>
      </c>
      <c r="AJ13" s="1" t="s">
        <v>192</v>
      </c>
      <c r="AK13" s="1" t="s">
        <v>163</v>
      </c>
      <c r="AL13" s="1" t="s">
        <v>163</v>
      </c>
      <c r="AM13" s="1" t="s">
        <v>163</v>
      </c>
      <c r="AN13" s="1" t="s">
        <v>192</v>
      </c>
      <c r="AO13" s="1" t="s">
        <v>165</v>
      </c>
      <c r="AP13" s="1" t="s">
        <v>165</v>
      </c>
      <c r="AQ13" s="1">
        <v>1997</v>
      </c>
      <c r="AR13" s="1" t="s">
        <v>160</v>
      </c>
      <c r="AS13" s="1" t="s">
        <v>159</v>
      </c>
      <c r="AT13" s="1" t="s">
        <v>210</v>
      </c>
      <c r="AU13" s="1" t="s">
        <v>159</v>
      </c>
      <c r="AV13" s="1" t="s">
        <v>159</v>
      </c>
      <c r="AW13" s="1" t="s">
        <v>159</v>
      </c>
      <c r="AX13" s="1" t="s">
        <v>159</v>
      </c>
      <c r="AY13" s="1" t="s">
        <v>159</v>
      </c>
      <c r="AZ13" s="1" t="s">
        <v>160</v>
      </c>
      <c r="BA13" s="1" t="s">
        <v>159</v>
      </c>
      <c r="BB13" s="1" t="s">
        <v>181</v>
      </c>
      <c r="BC13" s="1" t="s">
        <v>159</v>
      </c>
      <c r="BD13" s="1" t="s">
        <v>216</v>
      </c>
      <c r="BE13" s="1" t="s">
        <v>217</v>
      </c>
      <c r="BF13" s="1" t="s">
        <v>159</v>
      </c>
    </row>
    <row r="14" spans="1:59" ht="15.75" customHeight="1" x14ac:dyDescent="0.15">
      <c r="A14" s="2">
        <v>44128.813888888886</v>
      </c>
      <c r="B14" s="2">
        <v>44128.824999999997</v>
      </c>
      <c r="C14" s="1" t="s">
        <v>39</v>
      </c>
      <c r="D14" s="1" t="s">
        <v>218</v>
      </c>
      <c r="E14" s="1">
        <v>100</v>
      </c>
      <c r="F14" s="1">
        <v>948</v>
      </c>
      <c r="G14" s="1" t="b">
        <v>1</v>
      </c>
      <c r="H14" s="2">
        <v>44128.824999999997</v>
      </c>
      <c r="I14" s="1" t="s">
        <v>219</v>
      </c>
      <c r="N14" s="1">
        <v>35.222702030000001</v>
      </c>
      <c r="O14" s="1">
        <v>-80.793800349999998</v>
      </c>
      <c r="P14" s="1" t="s">
        <v>153</v>
      </c>
      <c r="Q14" s="1" t="s">
        <v>154</v>
      </c>
      <c r="R14" s="1" t="s">
        <v>174</v>
      </c>
      <c r="S14" s="1" t="s">
        <v>175</v>
      </c>
      <c r="T14" s="1" t="s">
        <v>157</v>
      </c>
      <c r="U14" s="1" t="s">
        <v>220</v>
      </c>
      <c r="V14" s="1" t="s">
        <v>159</v>
      </c>
      <c r="W14" s="1" t="s">
        <v>159</v>
      </c>
      <c r="X14" s="1" t="s">
        <v>159</v>
      </c>
      <c r="Y14" s="1" t="s">
        <v>159</v>
      </c>
      <c r="Z14" s="1" t="s">
        <v>159</v>
      </c>
      <c r="AA14" s="1" t="s">
        <v>159</v>
      </c>
      <c r="AB14" s="1" t="s">
        <v>159</v>
      </c>
      <c r="AC14" s="1" t="s">
        <v>159</v>
      </c>
      <c r="AD14" s="1" t="s">
        <v>159</v>
      </c>
      <c r="AE14" s="1" t="s">
        <v>159</v>
      </c>
      <c r="AF14" s="1" t="s">
        <v>159</v>
      </c>
      <c r="AG14" s="1" t="s">
        <v>159</v>
      </c>
      <c r="AH14" s="1" t="s">
        <v>221</v>
      </c>
      <c r="AI14" s="1" t="s">
        <v>159</v>
      </c>
      <c r="AJ14" s="1" t="s">
        <v>163</v>
      </c>
      <c r="AK14" s="1" t="s">
        <v>163</v>
      </c>
      <c r="AL14" s="1" t="s">
        <v>163</v>
      </c>
      <c r="AM14" s="1" t="s">
        <v>162</v>
      </c>
      <c r="AN14" s="1" t="s">
        <v>163</v>
      </c>
      <c r="AO14" s="1" t="s">
        <v>165</v>
      </c>
      <c r="AP14" s="1" t="s">
        <v>165</v>
      </c>
      <c r="AQ14" s="3">
        <v>31769</v>
      </c>
      <c r="AR14" s="1" t="s">
        <v>160</v>
      </c>
      <c r="AS14" s="1" t="s">
        <v>159</v>
      </c>
      <c r="AT14" s="1" t="s">
        <v>166</v>
      </c>
      <c r="AU14" s="1" t="s">
        <v>159</v>
      </c>
      <c r="AV14" s="1" t="s">
        <v>159</v>
      </c>
      <c r="AW14" s="1" t="s">
        <v>159</v>
      </c>
      <c r="AX14" s="1" t="s">
        <v>159</v>
      </c>
      <c r="AY14" s="1" t="s">
        <v>159</v>
      </c>
      <c r="AZ14" s="1" t="s">
        <v>159</v>
      </c>
      <c r="BB14" s="1" t="s">
        <v>222</v>
      </c>
      <c r="BC14" s="1" t="s">
        <v>159</v>
      </c>
      <c r="BD14" s="1" t="s">
        <v>182</v>
      </c>
      <c r="BE14" s="1" t="s">
        <v>223</v>
      </c>
      <c r="BF14" s="1" t="s">
        <v>160</v>
      </c>
    </row>
    <row r="15" spans="1:59" ht="15.75" customHeight="1" x14ac:dyDescent="0.15">
      <c r="A15" s="2">
        <v>44129.70208333333</v>
      </c>
      <c r="B15" s="2">
        <v>44129.705555555556</v>
      </c>
      <c r="C15" s="1" t="s">
        <v>39</v>
      </c>
      <c r="D15" s="1" t="s">
        <v>224</v>
      </c>
      <c r="E15" s="1">
        <v>100</v>
      </c>
      <c r="F15" s="1">
        <v>295</v>
      </c>
      <c r="G15" s="1" t="b">
        <v>1</v>
      </c>
      <c r="H15" s="2">
        <v>44129.705555555556</v>
      </c>
      <c r="I15" s="1" t="s">
        <v>225</v>
      </c>
      <c r="N15" s="1">
        <v>35.022094729999999</v>
      </c>
      <c r="O15" s="1">
        <v>-80.531799320000005</v>
      </c>
      <c r="P15" s="1" t="s">
        <v>153</v>
      </c>
      <c r="Q15" s="1" t="s">
        <v>154</v>
      </c>
      <c r="R15" s="1" t="s">
        <v>174</v>
      </c>
      <c r="S15" s="1" t="s">
        <v>226</v>
      </c>
      <c r="T15" s="1" t="s">
        <v>157</v>
      </c>
      <c r="U15" s="1" t="s">
        <v>227</v>
      </c>
      <c r="V15" s="1" t="s">
        <v>160</v>
      </c>
      <c r="W15" s="1" t="s">
        <v>160</v>
      </c>
      <c r="X15" s="1" t="s">
        <v>160</v>
      </c>
      <c r="Y15" s="1" t="s">
        <v>159</v>
      </c>
      <c r="Z15" s="1" t="s">
        <v>159</v>
      </c>
      <c r="AA15" s="1" t="s">
        <v>159</v>
      </c>
      <c r="AB15" s="1" t="s">
        <v>159</v>
      </c>
      <c r="AC15" s="1" t="s">
        <v>160</v>
      </c>
      <c r="AD15" s="1" t="s">
        <v>159</v>
      </c>
      <c r="AE15" s="1" t="s">
        <v>160</v>
      </c>
      <c r="AF15" s="1" t="s">
        <v>160</v>
      </c>
      <c r="AG15" s="1" t="s">
        <v>159</v>
      </c>
      <c r="AH15" s="1">
        <v>0</v>
      </c>
      <c r="AI15" s="1" t="s">
        <v>159</v>
      </c>
      <c r="AJ15" s="1" t="s">
        <v>163</v>
      </c>
      <c r="AK15" s="1" t="s">
        <v>192</v>
      </c>
      <c r="AL15" s="1" t="s">
        <v>164</v>
      </c>
      <c r="AM15" s="1" t="s">
        <v>163</v>
      </c>
      <c r="AN15" s="1" t="s">
        <v>192</v>
      </c>
      <c r="AO15" s="1" t="s">
        <v>165</v>
      </c>
      <c r="AP15" s="1" t="s">
        <v>165</v>
      </c>
      <c r="AQ15" s="1">
        <v>1997</v>
      </c>
      <c r="AR15" s="1" t="s">
        <v>160</v>
      </c>
      <c r="AS15" s="1" t="s">
        <v>159</v>
      </c>
      <c r="AT15" s="1" t="s">
        <v>210</v>
      </c>
      <c r="AU15" s="1" t="s">
        <v>159</v>
      </c>
      <c r="AV15" s="1" t="s">
        <v>159</v>
      </c>
      <c r="AW15" s="1" t="s">
        <v>159</v>
      </c>
      <c r="AX15" s="1" t="s">
        <v>160</v>
      </c>
      <c r="AY15" s="1" t="s">
        <v>160</v>
      </c>
      <c r="AZ15" s="1" t="s">
        <v>160</v>
      </c>
      <c r="BA15" s="1" t="s">
        <v>159</v>
      </c>
      <c r="BB15" s="1" t="s">
        <v>181</v>
      </c>
      <c r="BC15" s="1" t="s">
        <v>159</v>
      </c>
      <c r="BD15" s="1" t="s">
        <v>228</v>
      </c>
      <c r="BE15" s="1" t="s">
        <v>229</v>
      </c>
      <c r="BF15" s="1" t="s">
        <v>160</v>
      </c>
      <c r="BG15" s="1" t="s">
        <v>230</v>
      </c>
    </row>
    <row r="16" spans="1:59" ht="15.75" customHeight="1" x14ac:dyDescent="0.15">
      <c r="A16" s="2">
        <v>44126.74722222222</v>
      </c>
      <c r="B16" s="2">
        <v>44126.74722222222</v>
      </c>
      <c r="C16" s="1" t="s">
        <v>39</v>
      </c>
      <c r="D16" s="1" t="s">
        <v>231</v>
      </c>
      <c r="E16" s="1">
        <v>14</v>
      </c>
      <c r="F16" s="1">
        <v>16</v>
      </c>
      <c r="G16" s="1" t="b">
        <v>0</v>
      </c>
      <c r="H16" s="2">
        <v>44133.775694444441</v>
      </c>
      <c r="I16" s="1" t="s">
        <v>232</v>
      </c>
      <c r="P16" s="1" t="s">
        <v>153</v>
      </c>
      <c r="Q16" s="1" t="s">
        <v>154</v>
      </c>
      <c r="R16" s="1" t="s">
        <v>155</v>
      </c>
      <c r="S16" s="1" t="s">
        <v>175</v>
      </c>
      <c r="T16" s="1" t="s">
        <v>157</v>
      </c>
    </row>
    <row r="17" spans="1:58" ht="15.75" customHeight="1" x14ac:dyDescent="0.15">
      <c r="A17" s="2">
        <v>44126.568055555559</v>
      </c>
      <c r="B17" s="2">
        <v>44126.568749999999</v>
      </c>
      <c r="C17" s="1" t="s">
        <v>39</v>
      </c>
      <c r="D17" s="1" t="s">
        <v>169</v>
      </c>
      <c r="E17" s="1">
        <v>4</v>
      </c>
      <c r="F17" s="1">
        <v>59</v>
      </c>
      <c r="G17" s="1" t="b">
        <v>0</v>
      </c>
      <c r="H17" s="2">
        <v>44133.892361111109</v>
      </c>
      <c r="I17" s="1" t="s">
        <v>233</v>
      </c>
      <c r="P17" s="1" t="s">
        <v>153</v>
      </c>
      <c r="Q17" s="1" t="s">
        <v>154</v>
      </c>
    </row>
    <row r="18" spans="1:58" ht="15.75" customHeight="1" x14ac:dyDescent="0.15">
      <c r="A18" s="2">
        <v>44175.44027777778</v>
      </c>
      <c r="B18" s="2">
        <v>44175.440972222219</v>
      </c>
      <c r="C18" s="1" t="s">
        <v>39</v>
      </c>
      <c r="D18" s="1" t="s">
        <v>234</v>
      </c>
      <c r="E18" s="1">
        <v>100</v>
      </c>
      <c r="F18" s="1">
        <v>95</v>
      </c>
      <c r="G18" s="1" t="b">
        <v>1</v>
      </c>
      <c r="H18" s="2">
        <v>44175.440972222219</v>
      </c>
      <c r="I18" s="1" t="s">
        <v>235</v>
      </c>
      <c r="N18" s="1">
        <v>34.048492430000003</v>
      </c>
      <c r="O18" s="1">
        <v>-118.2528992</v>
      </c>
      <c r="P18" s="1" t="s">
        <v>153</v>
      </c>
      <c r="Q18" s="1" t="s">
        <v>154</v>
      </c>
      <c r="R18" s="1" t="s">
        <v>236</v>
      </c>
      <c r="S18" s="1" t="s">
        <v>175</v>
      </c>
      <c r="T18" s="1" t="s">
        <v>237</v>
      </c>
      <c r="U18" s="1" t="s">
        <v>238</v>
      </c>
      <c r="V18" s="1" t="s">
        <v>160</v>
      </c>
      <c r="W18" s="1" t="s">
        <v>160</v>
      </c>
      <c r="X18" s="1" t="s">
        <v>160</v>
      </c>
      <c r="Y18" s="1" t="s">
        <v>160</v>
      </c>
      <c r="Z18" s="1" t="s">
        <v>160</v>
      </c>
      <c r="AA18" s="1" t="s">
        <v>160</v>
      </c>
      <c r="AB18" s="1" t="s">
        <v>160</v>
      </c>
      <c r="AC18" s="1" t="s">
        <v>160</v>
      </c>
      <c r="AD18" s="1" t="s">
        <v>160</v>
      </c>
      <c r="AE18" s="1" t="s">
        <v>160</v>
      </c>
      <c r="AF18" s="1" t="s">
        <v>160</v>
      </c>
      <c r="AG18" s="1" t="s">
        <v>160</v>
      </c>
      <c r="AI18" s="1" t="s">
        <v>160</v>
      </c>
      <c r="AJ18" s="1" t="s">
        <v>198</v>
      </c>
      <c r="AK18" s="1" t="s">
        <v>192</v>
      </c>
      <c r="AL18" s="1" t="s">
        <v>198</v>
      </c>
      <c r="AM18" s="1" t="s">
        <v>198</v>
      </c>
      <c r="AN18" s="1" t="s">
        <v>164</v>
      </c>
      <c r="AO18" s="1" t="s">
        <v>179</v>
      </c>
      <c r="AP18" s="1" t="s">
        <v>239</v>
      </c>
      <c r="AR18" s="1" t="s">
        <v>160</v>
      </c>
      <c r="AS18" s="1" t="s">
        <v>160</v>
      </c>
      <c r="AT18" s="1" t="s">
        <v>240</v>
      </c>
      <c r="AU18" s="1" t="s">
        <v>159</v>
      </c>
      <c r="AV18" s="1" t="s">
        <v>159</v>
      </c>
      <c r="AW18" s="1" t="s">
        <v>160</v>
      </c>
      <c r="AX18" s="1" t="s">
        <v>160</v>
      </c>
      <c r="AY18" s="1" t="s">
        <v>160</v>
      </c>
      <c r="AZ18" s="1" t="s">
        <v>160</v>
      </c>
      <c r="BA18" s="1" t="s">
        <v>160</v>
      </c>
      <c r="BB18" s="1" t="s">
        <v>241</v>
      </c>
      <c r="BC18" s="1" t="s">
        <v>160</v>
      </c>
      <c r="BD18" s="1" t="s">
        <v>242</v>
      </c>
      <c r="BE18" s="1" t="s">
        <v>243</v>
      </c>
      <c r="BF18" s="1" t="s">
        <v>160</v>
      </c>
    </row>
    <row r="19" spans="1:58" ht="15.75" customHeight="1" x14ac:dyDescent="0.15">
      <c r="A19" s="2">
        <v>44175.441666666666</v>
      </c>
      <c r="B19" s="2">
        <v>44175.443055555559</v>
      </c>
      <c r="C19" s="1" t="s">
        <v>39</v>
      </c>
      <c r="D19" s="1" t="s">
        <v>234</v>
      </c>
      <c r="E19" s="1">
        <v>100</v>
      </c>
      <c r="F19" s="1">
        <v>119</v>
      </c>
      <c r="G19" s="1" t="b">
        <v>1</v>
      </c>
      <c r="H19" s="2">
        <v>44175.443055555559</v>
      </c>
      <c r="I19" s="1" t="s">
        <v>244</v>
      </c>
      <c r="N19" s="1">
        <v>34.048492430000003</v>
      </c>
      <c r="O19" s="1">
        <v>-118.2528992</v>
      </c>
      <c r="P19" s="1" t="s">
        <v>153</v>
      </c>
      <c r="Q19" s="1" t="s">
        <v>154</v>
      </c>
      <c r="R19" s="1" t="s">
        <v>155</v>
      </c>
      <c r="S19" s="1" t="s">
        <v>175</v>
      </c>
      <c r="T19" s="1" t="s">
        <v>245</v>
      </c>
      <c r="U19" s="1" t="s">
        <v>246</v>
      </c>
      <c r="V19" s="1" t="s">
        <v>160</v>
      </c>
      <c r="W19" s="1" t="s">
        <v>160</v>
      </c>
      <c r="X19" s="1" t="s">
        <v>160</v>
      </c>
      <c r="Y19" s="1" t="s">
        <v>160</v>
      </c>
      <c r="Z19" s="1" t="s">
        <v>160</v>
      </c>
      <c r="AA19" s="1" t="s">
        <v>160</v>
      </c>
      <c r="AB19" s="1" t="s">
        <v>160</v>
      </c>
      <c r="AC19" s="1" t="s">
        <v>160</v>
      </c>
      <c r="AD19" s="1" t="s">
        <v>160</v>
      </c>
      <c r="AE19" s="1" t="s">
        <v>160</v>
      </c>
      <c r="AF19" s="1" t="s">
        <v>160</v>
      </c>
      <c r="AG19" s="1" t="s">
        <v>160</v>
      </c>
      <c r="AI19" s="1" t="s">
        <v>160</v>
      </c>
      <c r="AJ19" s="1" t="s">
        <v>192</v>
      </c>
      <c r="AK19" s="1" t="s">
        <v>164</v>
      </c>
      <c r="AL19" s="1" t="s">
        <v>198</v>
      </c>
      <c r="AM19" s="1" t="s">
        <v>198</v>
      </c>
      <c r="AN19" s="1" t="s">
        <v>198</v>
      </c>
      <c r="AO19" s="1" t="s">
        <v>179</v>
      </c>
      <c r="AP19" s="1" t="s">
        <v>239</v>
      </c>
      <c r="AR19" s="1" t="s">
        <v>160</v>
      </c>
      <c r="AS19" s="1" t="s">
        <v>160</v>
      </c>
      <c r="AT19" s="1" t="s">
        <v>247</v>
      </c>
      <c r="AU19" s="1" t="s">
        <v>159</v>
      </c>
      <c r="AV19" s="1" t="s">
        <v>159</v>
      </c>
      <c r="AW19" s="1" t="s">
        <v>160</v>
      </c>
      <c r="AX19" s="1" t="s">
        <v>160</v>
      </c>
      <c r="AY19" s="1" t="s">
        <v>159</v>
      </c>
      <c r="AZ19" s="1" t="s">
        <v>160</v>
      </c>
      <c r="BA19" s="1" t="s">
        <v>159</v>
      </c>
      <c r="BB19" s="1" t="s">
        <v>167</v>
      </c>
      <c r="BC19" s="1" t="s">
        <v>160</v>
      </c>
      <c r="BD19" s="1" t="s">
        <v>248</v>
      </c>
      <c r="BE19" s="1" t="s">
        <v>249</v>
      </c>
      <c r="BF19" s="1" t="s">
        <v>160</v>
      </c>
    </row>
    <row r="20" spans="1:58" ht="15.75" customHeight="1" x14ac:dyDescent="0.15">
      <c r="A20" s="2">
        <v>44175.443055555559</v>
      </c>
      <c r="B20" s="2">
        <v>44175.444444444445</v>
      </c>
      <c r="C20" s="1" t="s">
        <v>39</v>
      </c>
      <c r="D20" s="1" t="s">
        <v>234</v>
      </c>
      <c r="E20" s="1">
        <v>100</v>
      </c>
      <c r="F20" s="1">
        <v>120</v>
      </c>
      <c r="G20" s="1" t="b">
        <v>1</v>
      </c>
      <c r="H20" s="2">
        <v>44175.444444444445</v>
      </c>
      <c r="I20" s="1" t="s">
        <v>250</v>
      </c>
      <c r="N20" s="1">
        <v>34.048492430000003</v>
      </c>
      <c r="O20" s="1">
        <v>-118.2528992</v>
      </c>
      <c r="P20" s="1" t="s">
        <v>153</v>
      </c>
      <c r="Q20" s="1" t="s">
        <v>154</v>
      </c>
      <c r="R20" s="1" t="s">
        <v>155</v>
      </c>
      <c r="S20" s="1" t="s">
        <v>208</v>
      </c>
      <c r="T20" s="1" t="s">
        <v>237</v>
      </c>
      <c r="U20" s="1" t="s">
        <v>251</v>
      </c>
      <c r="V20" s="1" t="s">
        <v>160</v>
      </c>
      <c r="W20" s="1" t="s">
        <v>160</v>
      </c>
      <c r="X20" s="1" t="s">
        <v>160</v>
      </c>
      <c r="Y20" s="1" t="s">
        <v>160</v>
      </c>
      <c r="Z20" s="1" t="s">
        <v>160</v>
      </c>
      <c r="AA20" s="1" t="s">
        <v>160</v>
      </c>
      <c r="AB20" s="1" t="s">
        <v>160</v>
      </c>
      <c r="AC20" s="1" t="s">
        <v>160</v>
      </c>
      <c r="AD20" s="1" t="s">
        <v>160</v>
      </c>
      <c r="AE20" s="1" t="s">
        <v>160</v>
      </c>
      <c r="AF20" s="1" t="s">
        <v>160</v>
      </c>
      <c r="AG20" s="1" t="s">
        <v>160</v>
      </c>
      <c r="AI20" s="1" t="s">
        <v>160</v>
      </c>
      <c r="AJ20" s="1" t="s">
        <v>164</v>
      </c>
      <c r="AK20" s="1" t="s">
        <v>163</v>
      </c>
      <c r="AL20" s="1" t="s">
        <v>163</v>
      </c>
      <c r="AM20" s="1" t="s">
        <v>198</v>
      </c>
      <c r="AN20" s="1" t="s">
        <v>198</v>
      </c>
      <c r="AO20" s="1" t="s">
        <v>179</v>
      </c>
      <c r="AP20" s="1" t="s">
        <v>239</v>
      </c>
      <c r="AR20" s="1" t="s">
        <v>160</v>
      </c>
      <c r="AS20" s="1" t="s">
        <v>160</v>
      </c>
      <c r="AT20" s="1" t="s">
        <v>252</v>
      </c>
      <c r="AU20" s="1" t="s">
        <v>160</v>
      </c>
      <c r="AV20" s="1" t="s">
        <v>160</v>
      </c>
      <c r="AW20" s="1" t="s">
        <v>160</v>
      </c>
      <c r="AX20" s="1" t="s">
        <v>159</v>
      </c>
      <c r="AY20" s="1" t="s">
        <v>160</v>
      </c>
      <c r="AZ20" s="1" t="s">
        <v>159</v>
      </c>
      <c r="BA20" s="1" t="s">
        <v>159</v>
      </c>
      <c r="BB20" s="1" t="s">
        <v>167</v>
      </c>
      <c r="BC20" s="1" t="s">
        <v>160</v>
      </c>
      <c r="BD20" s="1" t="s">
        <v>253</v>
      </c>
      <c r="BE20" s="1" t="s">
        <v>254</v>
      </c>
      <c r="BF20" s="1" t="s">
        <v>160</v>
      </c>
    </row>
    <row r="21" spans="1:58" ht="15.75" customHeight="1" x14ac:dyDescent="0.15">
      <c r="A21" s="2">
        <v>44175.445138888892</v>
      </c>
      <c r="B21" s="2">
        <v>44175.446527777778</v>
      </c>
      <c r="C21" s="1" t="s">
        <v>39</v>
      </c>
      <c r="D21" s="1" t="s">
        <v>234</v>
      </c>
      <c r="E21" s="1">
        <v>100</v>
      </c>
      <c r="F21" s="1">
        <v>116</v>
      </c>
      <c r="G21" s="1" t="b">
        <v>1</v>
      </c>
      <c r="H21" s="2">
        <v>44175.446527777778</v>
      </c>
      <c r="I21" s="1" t="s">
        <v>255</v>
      </c>
      <c r="N21" s="1">
        <v>34.048492430000003</v>
      </c>
      <c r="O21" s="1">
        <v>-118.2528992</v>
      </c>
      <c r="P21" s="1" t="s">
        <v>153</v>
      </c>
      <c r="Q21" s="1" t="s">
        <v>154</v>
      </c>
      <c r="R21" s="1" t="s">
        <v>174</v>
      </c>
      <c r="S21" s="1" t="s">
        <v>226</v>
      </c>
      <c r="T21" s="1" t="s">
        <v>157</v>
      </c>
      <c r="U21" s="1" t="s">
        <v>256</v>
      </c>
      <c r="V21" s="1" t="s">
        <v>160</v>
      </c>
      <c r="W21" s="1" t="s">
        <v>160</v>
      </c>
      <c r="X21" s="1" t="s">
        <v>160</v>
      </c>
      <c r="Y21" s="1" t="s">
        <v>160</v>
      </c>
      <c r="Z21" s="1" t="s">
        <v>160</v>
      </c>
      <c r="AA21" s="1" t="s">
        <v>160</v>
      </c>
      <c r="AB21" s="1" t="s">
        <v>160</v>
      </c>
      <c r="AC21" s="1" t="s">
        <v>160</v>
      </c>
      <c r="AD21" s="1" t="s">
        <v>160</v>
      </c>
      <c r="AE21" s="1" t="s">
        <v>160</v>
      </c>
      <c r="AF21" s="1" t="s">
        <v>160</v>
      </c>
      <c r="AG21" s="1" t="s">
        <v>160</v>
      </c>
      <c r="AI21" s="1" t="s">
        <v>160</v>
      </c>
      <c r="AJ21" s="1" t="s">
        <v>192</v>
      </c>
      <c r="AK21" s="1" t="s">
        <v>163</v>
      </c>
      <c r="AL21" s="1" t="s">
        <v>164</v>
      </c>
      <c r="AM21" s="1" t="s">
        <v>198</v>
      </c>
      <c r="AN21" s="1" t="s">
        <v>192</v>
      </c>
      <c r="AO21" s="1" t="s">
        <v>179</v>
      </c>
      <c r="AP21" s="1" t="s">
        <v>239</v>
      </c>
      <c r="AR21" s="1" t="s">
        <v>160</v>
      </c>
      <c r="AS21" s="1" t="s">
        <v>160</v>
      </c>
      <c r="AT21" s="1" t="s">
        <v>257</v>
      </c>
      <c r="AU21" s="1" t="s">
        <v>159</v>
      </c>
      <c r="AV21" s="1" t="s">
        <v>160</v>
      </c>
      <c r="AW21" s="1" t="s">
        <v>160</v>
      </c>
      <c r="AX21" s="1" t="s">
        <v>160</v>
      </c>
      <c r="AY21" s="1" t="s">
        <v>159</v>
      </c>
      <c r="AZ21" s="1" t="s">
        <v>160</v>
      </c>
      <c r="BA21" s="1" t="s">
        <v>160</v>
      </c>
      <c r="BB21" s="1" t="s">
        <v>222</v>
      </c>
      <c r="BC21" s="1" t="s">
        <v>160</v>
      </c>
      <c r="BD21" s="1" t="s">
        <v>258</v>
      </c>
      <c r="BE21" s="1" t="s">
        <v>259</v>
      </c>
      <c r="BF21" s="1" t="s">
        <v>160</v>
      </c>
    </row>
    <row r="22" spans="1:58" ht="15.75" customHeight="1" x14ac:dyDescent="0.15">
      <c r="A22" s="2">
        <v>44175.446527777778</v>
      </c>
      <c r="B22" s="2">
        <v>44175.447916666664</v>
      </c>
      <c r="C22" s="1" t="s">
        <v>39</v>
      </c>
      <c r="D22" s="1" t="s">
        <v>234</v>
      </c>
      <c r="E22" s="1">
        <v>100</v>
      </c>
      <c r="F22" s="1">
        <v>117</v>
      </c>
      <c r="G22" s="1" t="b">
        <v>1</v>
      </c>
      <c r="H22" s="2">
        <v>44175.447916666664</v>
      </c>
      <c r="I22" s="1" t="s">
        <v>260</v>
      </c>
      <c r="N22" s="1">
        <v>34.048492430000003</v>
      </c>
      <c r="O22" s="1">
        <v>-118.2528992</v>
      </c>
      <c r="P22" s="1" t="s">
        <v>153</v>
      </c>
      <c r="Q22" s="1" t="s">
        <v>154</v>
      </c>
      <c r="R22" s="1" t="s">
        <v>236</v>
      </c>
      <c r="S22" s="1" t="s">
        <v>208</v>
      </c>
      <c r="T22" s="1" t="s">
        <v>157</v>
      </c>
      <c r="U22" s="1" t="s">
        <v>261</v>
      </c>
      <c r="V22" s="1" t="s">
        <v>160</v>
      </c>
      <c r="W22" s="1" t="s">
        <v>160</v>
      </c>
      <c r="X22" s="1" t="s">
        <v>160</v>
      </c>
      <c r="Y22" s="1" t="s">
        <v>160</v>
      </c>
      <c r="Z22" s="1" t="s">
        <v>160</v>
      </c>
      <c r="AA22" s="1" t="s">
        <v>160</v>
      </c>
      <c r="AB22" s="1" t="s">
        <v>160</v>
      </c>
      <c r="AC22" s="1" t="s">
        <v>160</v>
      </c>
      <c r="AD22" s="1" t="s">
        <v>160</v>
      </c>
      <c r="AE22" s="1" t="s">
        <v>160</v>
      </c>
      <c r="AF22" s="1" t="s">
        <v>160</v>
      </c>
      <c r="AG22" s="1" t="s">
        <v>160</v>
      </c>
      <c r="AI22" s="1" t="s">
        <v>160</v>
      </c>
      <c r="AJ22" s="1" t="s">
        <v>192</v>
      </c>
      <c r="AK22" s="1" t="s">
        <v>192</v>
      </c>
      <c r="AL22" s="1" t="s">
        <v>164</v>
      </c>
      <c r="AM22" s="1" t="s">
        <v>163</v>
      </c>
      <c r="AN22" s="1" t="s">
        <v>163</v>
      </c>
    </row>
    <row r="23" spans="1:58" ht="15.75" customHeight="1" x14ac:dyDescent="0.15">
      <c r="A23" s="2">
        <v>44175.448611111111</v>
      </c>
      <c r="B23" s="2">
        <v>44175.45</v>
      </c>
      <c r="C23" s="1" t="s">
        <v>39</v>
      </c>
      <c r="D23" s="1" t="s">
        <v>234</v>
      </c>
      <c r="E23" s="1">
        <v>100</v>
      </c>
      <c r="F23" s="1">
        <v>121</v>
      </c>
      <c r="G23" s="1" t="b">
        <v>1</v>
      </c>
      <c r="H23" s="2">
        <v>44175.45</v>
      </c>
      <c r="I23" s="1" t="s">
        <v>262</v>
      </c>
      <c r="N23" s="1">
        <v>34.048492430000003</v>
      </c>
      <c r="O23" s="1">
        <v>-118.2528992</v>
      </c>
      <c r="P23" s="1" t="s">
        <v>153</v>
      </c>
      <c r="Q23" s="1" t="s">
        <v>154</v>
      </c>
      <c r="R23" s="1" t="s">
        <v>174</v>
      </c>
      <c r="S23" s="1" t="s">
        <v>208</v>
      </c>
      <c r="T23" s="1" t="s">
        <v>263</v>
      </c>
      <c r="U23" s="1" t="s">
        <v>264</v>
      </c>
      <c r="V23" s="1" t="s">
        <v>160</v>
      </c>
      <c r="W23" s="1" t="s">
        <v>160</v>
      </c>
      <c r="X23" s="1" t="s">
        <v>160</v>
      </c>
      <c r="Y23" s="1" t="s">
        <v>160</v>
      </c>
      <c r="Z23" s="1" t="s">
        <v>160</v>
      </c>
      <c r="AA23" s="1" t="s">
        <v>160</v>
      </c>
      <c r="AB23" s="1" t="s">
        <v>160</v>
      </c>
      <c r="AC23" s="1" t="s">
        <v>160</v>
      </c>
      <c r="AD23" s="1" t="s">
        <v>160</v>
      </c>
      <c r="AE23" s="1" t="s">
        <v>160</v>
      </c>
      <c r="AF23" s="1" t="s">
        <v>160</v>
      </c>
      <c r="AG23" s="1" t="s">
        <v>160</v>
      </c>
      <c r="AI23" s="1" t="s">
        <v>160</v>
      </c>
      <c r="AJ23" s="1" t="s">
        <v>164</v>
      </c>
      <c r="AK23" s="1" t="s">
        <v>163</v>
      </c>
      <c r="AL23" s="1" t="s">
        <v>163</v>
      </c>
      <c r="AM23" s="1" t="s">
        <v>164</v>
      </c>
      <c r="AN23" s="1" t="s">
        <v>192</v>
      </c>
      <c r="AO23" s="1" t="s">
        <v>179</v>
      </c>
      <c r="AP23" s="1" t="s">
        <v>179</v>
      </c>
      <c r="AR23" s="1" t="s">
        <v>160</v>
      </c>
      <c r="AS23" s="1" t="s">
        <v>160</v>
      </c>
      <c r="AT23" s="1" t="s">
        <v>265</v>
      </c>
      <c r="AU23" s="1" t="s">
        <v>160</v>
      </c>
      <c r="AV23" s="1" t="s">
        <v>159</v>
      </c>
      <c r="AW23" s="1" t="s">
        <v>159</v>
      </c>
      <c r="AX23" s="1" t="s">
        <v>159</v>
      </c>
      <c r="AY23" s="1" t="s">
        <v>160</v>
      </c>
      <c r="AZ23" s="1" t="s">
        <v>160</v>
      </c>
      <c r="BA23" s="1" t="s">
        <v>159</v>
      </c>
      <c r="BB23" s="1" t="s">
        <v>181</v>
      </c>
      <c r="BC23" s="1" t="s">
        <v>160</v>
      </c>
      <c r="BD23" s="1" t="s">
        <v>266</v>
      </c>
      <c r="BE23" s="1" t="s">
        <v>267</v>
      </c>
      <c r="BF23" s="1" t="s">
        <v>160</v>
      </c>
    </row>
    <row r="24" spans="1:58" ht="15.75" customHeight="1" x14ac:dyDescent="0.15">
      <c r="A24" s="2">
        <v>44175.45</v>
      </c>
      <c r="B24" s="2">
        <v>44175.451388888891</v>
      </c>
      <c r="C24" s="1" t="s">
        <v>39</v>
      </c>
      <c r="D24" s="1" t="s">
        <v>234</v>
      </c>
      <c r="E24" s="1">
        <v>100</v>
      </c>
      <c r="F24" s="1">
        <v>120</v>
      </c>
      <c r="G24" s="1" t="b">
        <v>1</v>
      </c>
      <c r="H24" s="2">
        <v>44175.451388888891</v>
      </c>
      <c r="I24" s="1" t="s">
        <v>268</v>
      </c>
      <c r="N24" s="1">
        <v>34.048492430000003</v>
      </c>
      <c r="O24" s="1">
        <v>-118.2528992</v>
      </c>
      <c r="P24" s="1" t="s">
        <v>153</v>
      </c>
      <c r="Q24" s="1" t="s">
        <v>154</v>
      </c>
      <c r="R24" s="1" t="s">
        <v>155</v>
      </c>
      <c r="S24" s="1" t="s">
        <v>226</v>
      </c>
      <c r="T24" s="1" t="s">
        <v>176</v>
      </c>
      <c r="U24" s="1" t="s">
        <v>269</v>
      </c>
      <c r="V24" s="1" t="s">
        <v>160</v>
      </c>
      <c r="W24" s="1" t="s">
        <v>160</v>
      </c>
      <c r="X24" s="1" t="s">
        <v>160</v>
      </c>
      <c r="Y24" s="1" t="s">
        <v>160</v>
      </c>
      <c r="Z24" s="1" t="s">
        <v>160</v>
      </c>
      <c r="AA24" s="1" t="s">
        <v>160</v>
      </c>
      <c r="AB24" s="1" t="s">
        <v>160</v>
      </c>
      <c r="AC24" s="1" t="s">
        <v>160</v>
      </c>
      <c r="AD24" s="1" t="s">
        <v>160</v>
      </c>
      <c r="AE24" s="1" t="s">
        <v>160</v>
      </c>
      <c r="AF24" s="1" t="s">
        <v>160</v>
      </c>
      <c r="AG24" s="1" t="s">
        <v>160</v>
      </c>
      <c r="AI24" s="1" t="s">
        <v>160</v>
      </c>
      <c r="AJ24" s="1" t="s">
        <v>164</v>
      </c>
      <c r="AK24" s="1" t="s">
        <v>198</v>
      </c>
      <c r="AL24" s="1" t="s">
        <v>198</v>
      </c>
      <c r="AM24" s="1" t="s">
        <v>164</v>
      </c>
      <c r="AN24" s="1" t="s">
        <v>164</v>
      </c>
      <c r="AO24" s="1" t="s">
        <v>179</v>
      </c>
      <c r="AP24" s="1" t="s">
        <v>179</v>
      </c>
      <c r="AR24" s="1" t="s">
        <v>160</v>
      </c>
      <c r="AS24" s="1" t="s">
        <v>160</v>
      </c>
      <c r="AT24" s="1" t="s">
        <v>270</v>
      </c>
      <c r="AU24" s="1" t="s">
        <v>159</v>
      </c>
      <c r="AV24" s="1" t="s">
        <v>160</v>
      </c>
      <c r="AW24" s="1" t="s">
        <v>160</v>
      </c>
      <c r="AX24" s="1" t="s">
        <v>160</v>
      </c>
      <c r="AY24" s="1" t="s">
        <v>160</v>
      </c>
      <c r="AZ24" s="1" t="s">
        <v>160</v>
      </c>
      <c r="BA24" s="1" t="s">
        <v>160</v>
      </c>
      <c r="BB24" s="1" t="s">
        <v>167</v>
      </c>
      <c r="BC24" s="1" t="s">
        <v>160</v>
      </c>
      <c r="BD24" s="1" t="s">
        <v>271</v>
      </c>
      <c r="BE24" s="1" t="s">
        <v>272</v>
      </c>
      <c r="BF24" s="1" t="s">
        <v>160</v>
      </c>
    </row>
    <row r="25" spans="1:58" ht="15.75" customHeight="1" x14ac:dyDescent="0.15">
      <c r="A25" s="2">
        <v>44175.451388888891</v>
      </c>
      <c r="B25" s="2">
        <v>44175.452777777777</v>
      </c>
      <c r="C25" s="1" t="s">
        <v>39</v>
      </c>
      <c r="D25" s="1" t="s">
        <v>234</v>
      </c>
      <c r="E25" s="1">
        <v>100</v>
      </c>
      <c r="F25" s="1">
        <v>122</v>
      </c>
      <c r="G25" s="1" t="b">
        <v>1</v>
      </c>
      <c r="H25" s="2">
        <v>44175.452777777777</v>
      </c>
      <c r="I25" s="1" t="s">
        <v>273</v>
      </c>
      <c r="N25" s="1">
        <v>34.048492430000003</v>
      </c>
      <c r="O25" s="1">
        <v>-118.2528992</v>
      </c>
      <c r="P25" s="1" t="s">
        <v>153</v>
      </c>
      <c r="Q25" s="1" t="s">
        <v>154</v>
      </c>
      <c r="R25" s="1" t="s">
        <v>236</v>
      </c>
      <c r="S25" s="1" t="s">
        <v>274</v>
      </c>
      <c r="T25" s="1" t="s">
        <v>176</v>
      </c>
      <c r="U25" s="1" t="s">
        <v>275</v>
      </c>
      <c r="V25" s="1" t="s">
        <v>160</v>
      </c>
      <c r="W25" s="1" t="s">
        <v>160</v>
      </c>
      <c r="X25" s="1" t="s">
        <v>160</v>
      </c>
      <c r="Y25" s="1" t="s">
        <v>160</v>
      </c>
      <c r="Z25" s="1" t="s">
        <v>160</v>
      </c>
      <c r="AA25" s="1" t="s">
        <v>160</v>
      </c>
      <c r="AB25" s="1" t="s">
        <v>160</v>
      </c>
      <c r="AC25" s="1" t="s">
        <v>160</v>
      </c>
      <c r="AD25" s="1" t="s">
        <v>160</v>
      </c>
      <c r="AE25" s="1" t="s">
        <v>160</v>
      </c>
      <c r="AF25" s="1" t="s">
        <v>160</v>
      </c>
      <c r="AG25" s="1" t="s">
        <v>160</v>
      </c>
      <c r="AI25" s="1" t="s">
        <v>160</v>
      </c>
      <c r="AJ25" s="1" t="s">
        <v>192</v>
      </c>
      <c r="AK25" s="1" t="s">
        <v>163</v>
      </c>
      <c r="AL25" s="1" t="s">
        <v>164</v>
      </c>
      <c r="AM25" s="1" t="s">
        <v>164</v>
      </c>
      <c r="AN25" s="1" t="s">
        <v>163</v>
      </c>
      <c r="AO25" s="1" t="s">
        <v>179</v>
      </c>
      <c r="AP25" s="1" t="s">
        <v>179</v>
      </c>
      <c r="AR25" s="1" t="s">
        <v>160</v>
      </c>
      <c r="AS25" s="1" t="s">
        <v>160</v>
      </c>
      <c r="AT25" s="1" t="s">
        <v>276</v>
      </c>
      <c r="AU25" s="1" t="s">
        <v>159</v>
      </c>
      <c r="AV25" s="1" t="s">
        <v>160</v>
      </c>
      <c r="AW25" s="1" t="s">
        <v>159</v>
      </c>
      <c r="AX25" s="1" t="s">
        <v>159</v>
      </c>
      <c r="AY25" s="1" t="s">
        <v>160</v>
      </c>
      <c r="AZ25" s="1" t="s">
        <v>160</v>
      </c>
      <c r="BA25" s="1" t="s">
        <v>159</v>
      </c>
      <c r="BB25" s="1" t="s">
        <v>222</v>
      </c>
      <c r="BC25" s="1" t="s">
        <v>160</v>
      </c>
      <c r="BD25" s="1" t="s">
        <v>277</v>
      </c>
      <c r="BE25" s="1" t="s">
        <v>278</v>
      </c>
      <c r="BF25" s="1" t="s">
        <v>160</v>
      </c>
    </row>
    <row r="26" spans="1:58" ht="15.75" customHeight="1" x14ac:dyDescent="0.15">
      <c r="A26" s="2">
        <v>44175.453472222223</v>
      </c>
      <c r="B26" s="2">
        <v>44175.454861111109</v>
      </c>
      <c r="C26" s="1" t="s">
        <v>39</v>
      </c>
      <c r="D26" s="1" t="s">
        <v>234</v>
      </c>
      <c r="E26" s="1">
        <v>100</v>
      </c>
      <c r="F26" s="1">
        <v>116</v>
      </c>
      <c r="G26" s="1" t="b">
        <v>1</v>
      </c>
      <c r="H26" s="2">
        <v>44175.454861111109</v>
      </c>
      <c r="I26" s="1" t="s">
        <v>279</v>
      </c>
      <c r="N26" s="1">
        <v>34.048492430000003</v>
      </c>
      <c r="O26" s="1">
        <v>-118.2528992</v>
      </c>
      <c r="P26" s="1" t="s">
        <v>153</v>
      </c>
      <c r="Q26" s="1" t="s">
        <v>154</v>
      </c>
      <c r="R26" s="1" t="s">
        <v>155</v>
      </c>
      <c r="S26" s="1" t="s">
        <v>226</v>
      </c>
      <c r="T26" s="1" t="s">
        <v>176</v>
      </c>
      <c r="U26" s="1" t="s">
        <v>280</v>
      </c>
      <c r="V26" s="1" t="s">
        <v>160</v>
      </c>
      <c r="W26" s="1" t="s">
        <v>160</v>
      </c>
      <c r="X26" s="1" t="s">
        <v>160</v>
      </c>
      <c r="Y26" s="1" t="s">
        <v>160</v>
      </c>
      <c r="Z26" s="1" t="s">
        <v>160</v>
      </c>
      <c r="AA26" s="1" t="s">
        <v>160</v>
      </c>
      <c r="AB26" s="1" t="s">
        <v>160</v>
      </c>
      <c r="AC26" s="1" t="s">
        <v>160</v>
      </c>
      <c r="AD26" s="1" t="s">
        <v>160</v>
      </c>
      <c r="AE26" s="1" t="s">
        <v>160</v>
      </c>
      <c r="AF26" s="1" t="s">
        <v>160</v>
      </c>
      <c r="AG26" s="1" t="s">
        <v>160</v>
      </c>
      <c r="AI26" s="1" t="s">
        <v>160</v>
      </c>
      <c r="AJ26" s="1" t="s">
        <v>163</v>
      </c>
      <c r="AK26" s="1" t="s">
        <v>192</v>
      </c>
      <c r="AL26" s="1" t="s">
        <v>198</v>
      </c>
      <c r="AM26" s="1" t="s">
        <v>164</v>
      </c>
      <c r="AN26" s="1" t="s">
        <v>192</v>
      </c>
      <c r="AO26" s="1" t="s">
        <v>179</v>
      </c>
      <c r="AP26" s="1" t="s">
        <v>165</v>
      </c>
      <c r="AR26" s="1" t="s">
        <v>160</v>
      </c>
      <c r="AS26" s="1" t="s">
        <v>160</v>
      </c>
      <c r="AT26" s="1" t="s">
        <v>281</v>
      </c>
      <c r="AU26" s="1" t="s">
        <v>160</v>
      </c>
      <c r="AV26" s="1" t="s">
        <v>159</v>
      </c>
      <c r="AW26" s="1" t="s">
        <v>160</v>
      </c>
      <c r="AX26" s="1" t="s">
        <v>160</v>
      </c>
      <c r="AY26" s="1" t="s">
        <v>159</v>
      </c>
      <c r="AZ26" s="1" t="s">
        <v>159</v>
      </c>
      <c r="BA26" s="1" t="s">
        <v>159</v>
      </c>
      <c r="BB26" s="1" t="s">
        <v>241</v>
      </c>
      <c r="BC26" s="1" t="s">
        <v>160</v>
      </c>
      <c r="BD26" s="1" t="s">
        <v>282</v>
      </c>
      <c r="BE26" s="1" t="s">
        <v>283</v>
      </c>
      <c r="BF26" s="1" t="s">
        <v>160</v>
      </c>
    </row>
    <row r="27" spans="1:58" ht="15.75" customHeight="1" x14ac:dyDescent="0.15">
      <c r="A27" s="2">
        <v>44175.454861111109</v>
      </c>
      <c r="B27" s="2">
        <v>44175.456250000003</v>
      </c>
      <c r="C27" s="1" t="s">
        <v>39</v>
      </c>
      <c r="D27" s="1" t="s">
        <v>234</v>
      </c>
      <c r="E27" s="1">
        <v>100</v>
      </c>
      <c r="F27" s="1">
        <v>117</v>
      </c>
      <c r="G27" s="1" t="b">
        <v>1</v>
      </c>
      <c r="H27" s="2">
        <v>44175.456250000003</v>
      </c>
      <c r="I27" s="1" t="s">
        <v>284</v>
      </c>
      <c r="N27" s="1">
        <v>34.048492430000003</v>
      </c>
      <c r="O27" s="1">
        <v>-118.2528992</v>
      </c>
      <c r="P27" s="1" t="s">
        <v>153</v>
      </c>
      <c r="Q27" s="1" t="s">
        <v>154</v>
      </c>
      <c r="R27" s="1" t="s">
        <v>236</v>
      </c>
      <c r="S27" s="1" t="s">
        <v>208</v>
      </c>
      <c r="T27" s="1" t="s">
        <v>176</v>
      </c>
      <c r="U27" s="1" t="s">
        <v>285</v>
      </c>
      <c r="V27" s="1" t="s">
        <v>160</v>
      </c>
      <c r="W27" s="1" t="s">
        <v>160</v>
      </c>
      <c r="X27" s="1" t="s">
        <v>160</v>
      </c>
      <c r="Y27" s="1" t="s">
        <v>160</v>
      </c>
      <c r="Z27" s="1" t="s">
        <v>160</v>
      </c>
      <c r="AA27" s="1" t="s">
        <v>160</v>
      </c>
      <c r="AB27" s="1" t="s">
        <v>160</v>
      </c>
      <c r="AC27" s="1" t="s">
        <v>160</v>
      </c>
      <c r="AD27" s="1" t="s">
        <v>160</v>
      </c>
      <c r="AE27" s="1" t="s">
        <v>160</v>
      </c>
      <c r="AF27" s="1" t="s">
        <v>160</v>
      </c>
      <c r="AG27" s="1" t="s">
        <v>160</v>
      </c>
      <c r="AI27" s="1" t="s">
        <v>160</v>
      </c>
      <c r="AJ27" s="1" t="s">
        <v>163</v>
      </c>
      <c r="AK27" s="1" t="s">
        <v>164</v>
      </c>
      <c r="AL27" s="1" t="s">
        <v>192</v>
      </c>
      <c r="AM27" s="1" t="s">
        <v>192</v>
      </c>
      <c r="AN27" s="1" t="s">
        <v>164</v>
      </c>
      <c r="AO27" s="1" t="s">
        <v>179</v>
      </c>
      <c r="AP27" s="1" t="s">
        <v>239</v>
      </c>
      <c r="AR27" s="1" t="s">
        <v>160</v>
      </c>
      <c r="AS27" s="1" t="s">
        <v>160</v>
      </c>
      <c r="AT27" s="1" t="s">
        <v>286</v>
      </c>
      <c r="AU27" s="1" t="s">
        <v>159</v>
      </c>
      <c r="AV27" s="1" t="s">
        <v>159</v>
      </c>
      <c r="AW27" s="1" t="s">
        <v>159</v>
      </c>
      <c r="AX27" s="1" t="s">
        <v>160</v>
      </c>
      <c r="AY27" s="1" t="s">
        <v>160</v>
      </c>
      <c r="AZ27" s="1" t="s">
        <v>160</v>
      </c>
      <c r="BA27" s="1" t="s">
        <v>159</v>
      </c>
      <c r="BB27" s="1" t="s">
        <v>241</v>
      </c>
      <c r="BC27" s="1" t="s">
        <v>160</v>
      </c>
      <c r="BD27" s="1" t="s">
        <v>287</v>
      </c>
      <c r="BE27" s="1" t="s">
        <v>288</v>
      </c>
      <c r="BF27" s="1" t="s">
        <v>160</v>
      </c>
    </row>
    <row r="28" spans="1:58" ht="15.75" customHeight="1" x14ac:dyDescent="0.15">
      <c r="A28" s="2">
        <v>44175.456250000003</v>
      </c>
      <c r="B28" s="2">
        <v>44175.457638888889</v>
      </c>
      <c r="C28" s="1" t="s">
        <v>39</v>
      </c>
      <c r="D28" s="1" t="s">
        <v>234</v>
      </c>
      <c r="E28" s="1">
        <v>100</v>
      </c>
      <c r="F28" s="1">
        <v>119</v>
      </c>
      <c r="G28" s="1" t="b">
        <v>1</v>
      </c>
      <c r="H28" s="2">
        <v>44175.457638888889</v>
      </c>
      <c r="I28" s="1" t="s">
        <v>289</v>
      </c>
      <c r="N28" s="1">
        <v>34.048492430000003</v>
      </c>
      <c r="O28" s="1">
        <v>-118.2528992</v>
      </c>
      <c r="P28" s="1" t="s">
        <v>153</v>
      </c>
      <c r="Q28" s="1" t="s">
        <v>154</v>
      </c>
      <c r="R28" s="1" t="s">
        <v>174</v>
      </c>
      <c r="S28" s="1" t="s">
        <v>226</v>
      </c>
      <c r="T28" s="1" t="s">
        <v>157</v>
      </c>
      <c r="U28" s="1" t="s">
        <v>290</v>
      </c>
      <c r="V28" s="1" t="s">
        <v>160</v>
      </c>
      <c r="W28" s="1" t="s">
        <v>160</v>
      </c>
      <c r="X28" s="1" t="s">
        <v>160</v>
      </c>
      <c r="Y28" s="1" t="s">
        <v>160</v>
      </c>
      <c r="Z28" s="1" t="s">
        <v>160</v>
      </c>
      <c r="AA28" s="1" t="s">
        <v>160</v>
      </c>
      <c r="AB28" s="1" t="s">
        <v>160</v>
      </c>
      <c r="AC28" s="1" t="s">
        <v>160</v>
      </c>
      <c r="AD28" s="1" t="s">
        <v>160</v>
      </c>
      <c r="AE28" s="1" t="s">
        <v>160</v>
      </c>
      <c r="AF28" s="1" t="s">
        <v>160</v>
      </c>
      <c r="AG28" s="1" t="s">
        <v>160</v>
      </c>
      <c r="AI28" s="1" t="s">
        <v>160</v>
      </c>
      <c r="AJ28" s="1" t="s">
        <v>164</v>
      </c>
      <c r="AK28" s="1" t="s">
        <v>198</v>
      </c>
      <c r="AL28" s="1" t="s">
        <v>164</v>
      </c>
      <c r="AM28" s="1" t="s">
        <v>163</v>
      </c>
      <c r="AN28" s="1" t="s">
        <v>163</v>
      </c>
      <c r="AO28" s="1" t="s">
        <v>179</v>
      </c>
      <c r="AP28" s="1" t="s">
        <v>179</v>
      </c>
      <c r="AR28" s="1" t="s">
        <v>160</v>
      </c>
      <c r="AS28" s="1" t="s">
        <v>160</v>
      </c>
      <c r="AT28" s="1" t="s">
        <v>257</v>
      </c>
      <c r="AU28" s="1" t="s">
        <v>159</v>
      </c>
      <c r="AV28" s="1" t="s">
        <v>160</v>
      </c>
      <c r="AW28" s="1" t="s">
        <v>160</v>
      </c>
      <c r="AX28" s="1" t="s">
        <v>159</v>
      </c>
      <c r="AY28" s="1" t="s">
        <v>160</v>
      </c>
      <c r="AZ28" s="1" t="s">
        <v>159</v>
      </c>
      <c r="BA28" s="1" t="s">
        <v>159</v>
      </c>
      <c r="BB28" s="1" t="s">
        <v>181</v>
      </c>
      <c r="BC28" s="1" t="s">
        <v>160</v>
      </c>
      <c r="BD28" s="1" t="s">
        <v>291</v>
      </c>
      <c r="BE28" s="1" t="s">
        <v>292</v>
      </c>
      <c r="BF28" s="1" t="s">
        <v>160</v>
      </c>
    </row>
    <row r="29" spans="1:58" ht="15.75" customHeight="1" x14ac:dyDescent="0.15">
      <c r="A29" s="2">
        <v>44175.458333333336</v>
      </c>
      <c r="B29" s="2">
        <v>44175.459722222222</v>
      </c>
      <c r="C29" s="1" t="s">
        <v>39</v>
      </c>
      <c r="D29" s="1" t="s">
        <v>234</v>
      </c>
      <c r="E29" s="1">
        <v>100</v>
      </c>
      <c r="F29" s="1">
        <v>121</v>
      </c>
      <c r="G29" s="1" t="b">
        <v>1</v>
      </c>
      <c r="H29" s="2">
        <v>44175.459722222222</v>
      </c>
      <c r="I29" s="1" t="s">
        <v>293</v>
      </c>
      <c r="N29" s="1">
        <v>34.048492430000003</v>
      </c>
      <c r="O29" s="1">
        <v>-118.2528992</v>
      </c>
      <c r="P29" s="1" t="s">
        <v>153</v>
      </c>
      <c r="Q29" s="1" t="s">
        <v>154</v>
      </c>
      <c r="R29" s="1" t="s">
        <v>236</v>
      </c>
      <c r="S29" s="1" t="s">
        <v>274</v>
      </c>
      <c r="T29" s="1" t="s">
        <v>237</v>
      </c>
      <c r="U29" s="1" t="s">
        <v>294</v>
      </c>
      <c r="V29" s="1" t="s">
        <v>160</v>
      </c>
      <c r="W29" s="1" t="s">
        <v>160</v>
      </c>
      <c r="X29" s="1" t="s">
        <v>160</v>
      </c>
      <c r="Y29" s="1" t="s">
        <v>160</v>
      </c>
      <c r="Z29" s="1" t="s">
        <v>160</v>
      </c>
      <c r="AA29" s="1" t="s">
        <v>160</v>
      </c>
      <c r="AB29" s="1" t="s">
        <v>160</v>
      </c>
      <c r="AC29" s="1" t="s">
        <v>160</v>
      </c>
      <c r="AD29" s="1" t="s">
        <v>160</v>
      </c>
      <c r="AE29" s="1" t="s">
        <v>160</v>
      </c>
      <c r="AF29" s="1" t="s">
        <v>160</v>
      </c>
      <c r="AG29" s="1" t="s">
        <v>160</v>
      </c>
      <c r="AI29" s="1" t="s">
        <v>160</v>
      </c>
      <c r="AJ29" s="1" t="s">
        <v>164</v>
      </c>
      <c r="AK29" s="1" t="s">
        <v>164</v>
      </c>
      <c r="AL29" s="1" t="s">
        <v>198</v>
      </c>
      <c r="AM29" s="1" t="s">
        <v>192</v>
      </c>
      <c r="AN29" s="1" t="s">
        <v>163</v>
      </c>
      <c r="AO29" s="1" t="s">
        <v>179</v>
      </c>
      <c r="AP29" s="1" t="s">
        <v>239</v>
      </c>
      <c r="AR29" s="1" t="s">
        <v>160</v>
      </c>
      <c r="AS29" s="1" t="s">
        <v>160</v>
      </c>
      <c r="AT29" s="1" t="s">
        <v>295</v>
      </c>
      <c r="AU29" s="1" t="s">
        <v>160</v>
      </c>
      <c r="AV29" s="1" t="s">
        <v>160</v>
      </c>
      <c r="AW29" s="1" t="s">
        <v>159</v>
      </c>
      <c r="AX29" s="1" t="s">
        <v>160</v>
      </c>
      <c r="AY29" s="1" t="s">
        <v>159</v>
      </c>
      <c r="AZ29" s="1" t="s">
        <v>160</v>
      </c>
      <c r="BA29" s="1" t="s">
        <v>160</v>
      </c>
      <c r="BB29" s="1" t="s">
        <v>222</v>
      </c>
      <c r="BC29" s="1" t="s">
        <v>160</v>
      </c>
      <c r="BD29" s="1" t="s">
        <v>296</v>
      </c>
      <c r="BE29" s="1" t="s">
        <v>297</v>
      </c>
      <c r="BF29" s="1" t="s">
        <v>160</v>
      </c>
    </row>
    <row r="30" spans="1:58" ht="15.75" customHeight="1" x14ac:dyDescent="0.15">
      <c r="A30" s="2">
        <v>44175.459722222222</v>
      </c>
      <c r="B30" s="2">
        <v>44175.461111111108</v>
      </c>
      <c r="C30" s="1" t="s">
        <v>39</v>
      </c>
      <c r="D30" s="1" t="s">
        <v>234</v>
      </c>
      <c r="E30" s="1">
        <v>100</v>
      </c>
      <c r="F30" s="1">
        <v>122</v>
      </c>
      <c r="G30" s="1" t="b">
        <v>1</v>
      </c>
      <c r="H30" s="2">
        <v>44175.461111111108</v>
      </c>
      <c r="I30" s="1" t="s">
        <v>298</v>
      </c>
      <c r="N30" s="1">
        <v>34.048492430000003</v>
      </c>
      <c r="O30" s="1">
        <v>-118.2528992</v>
      </c>
      <c r="P30" s="1" t="s">
        <v>153</v>
      </c>
      <c r="Q30" s="1" t="s">
        <v>154</v>
      </c>
      <c r="R30" s="1" t="s">
        <v>155</v>
      </c>
      <c r="S30" s="1" t="s">
        <v>226</v>
      </c>
      <c r="T30" s="1" t="s">
        <v>237</v>
      </c>
      <c r="U30" s="1" t="s">
        <v>299</v>
      </c>
      <c r="V30" s="1" t="s">
        <v>160</v>
      </c>
      <c r="W30" s="1" t="s">
        <v>160</v>
      </c>
      <c r="X30" s="1" t="s">
        <v>160</v>
      </c>
      <c r="Y30" s="1" t="s">
        <v>160</v>
      </c>
      <c r="Z30" s="1" t="s">
        <v>160</v>
      </c>
      <c r="AA30" s="1" t="s">
        <v>160</v>
      </c>
      <c r="AB30" s="1" t="s">
        <v>160</v>
      </c>
      <c r="AC30" s="1" t="s">
        <v>160</v>
      </c>
      <c r="AD30" s="1" t="s">
        <v>160</v>
      </c>
      <c r="AE30" s="1" t="s">
        <v>160</v>
      </c>
      <c r="AF30" s="1" t="s">
        <v>160</v>
      </c>
      <c r="AG30" s="1" t="s">
        <v>160</v>
      </c>
      <c r="AI30" s="1" t="s">
        <v>160</v>
      </c>
      <c r="AJ30" s="1" t="s">
        <v>163</v>
      </c>
      <c r="AK30" s="1" t="s">
        <v>192</v>
      </c>
      <c r="AL30" s="1" t="s">
        <v>198</v>
      </c>
      <c r="AM30" s="1" t="s">
        <v>164</v>
      </c>
      <c r="AN30" s="1" t="s">
        <v>163</v>
      </c>
      <c r="AO30" s="1" t="s">
        <v>179</v>
      </c>
      <c r="AP30" s="1" t="s">
        <v>165</v>
      </c>
      <c r="AR30" s="1" t="s">
        <v>160</v>
      </c>
      <c r="AS30" s="1" t="s">
        <v>160</v>
      </c>
      <c r="AT30" s="1" t="s">
        <v>300</v>
      </c>
      <c r="AU30" s="1" t="s">
        <v>160</v>
      </c>
      <c r="AV30" s="1" t="s">
        <v>160</v>
      </c>
      <c r="AW30" s="1" t="s">
        <v>159</v>
      </c>
      <c r="AX30" s="1" t="s">
        <v>159</v>
      </c>
      <c r="AY30" s="1" t="s">
        <v>160</v>
      </c>
      <c r="AZ30" s="1" t="s">
        <v>160</v>
      </c>
      <c r="BA30" s="1" t="s">
        <v>159</v>
      </c>
      <c r="BB30" s="1" t="s">
        <v>222</v>
      </c>
      <c r="BC30" s="1" t="s">
        <v>160</v>
      </c>
      <c r="BD30" s="1" t="s">
        <v>301</v>
      </c>
      <c r="BE30" s="1" t="s">
        <v>302</v>
      </c>
      <c r="BF30" s="1" t="s">
        <v>160</v>
      </c>
    </row>
    <row r="31" spans="1:58" ht="15.75" customHeight="1" x14ac:dyDescent="0.15">
      <c r="A31" s="2">
        <v>44175.460416666669</v>
      </c>
      <c r="B31" s="2">
        <v>44175.461805555555</v>
      </c>
      <c r="C31" s="1" t="s">
        <v>39</v>
      </c>
      <c r="D31" s="1" t="s">
        <v>303</v>
      </c>
      <c r="E31" s="1">
        <v>100</v>
      </c>
      <c r="F31" s="1">
        <v>168</v>
      </c>
      <c r="G31" s="1" t="b">
        <v>1</v>
      </c>
      <c r="H31" s="2">
        <v>44175.461805555555</v>
      </c>
      <c r="I31" s="1" t="s">
        <v>304</v>
      </c>
      <c r="N31" s="1">
        <v>34.05439758</v>
      </c>
      <c r="O31" s="1">
        <v>-118.2440033</v>
      </c>
      <c r="P31" s="1" t="s">
        <v>305</v>
      </c>
      <c r="Q31" s="1" t="s">
        <v>154</v>
      </c>
      <c r="R31" s="1" t="s">
        <v>174</v>
      </c>
      <c r="S31" s="1" t="s">
        <v>175</v>
      </c>
      <c r="T31" s="1" t="s">
        <v>157</v>
      </c>
      <c r="U31" s="1" t="s">
        <v>306</v>
      </c>
      <c r="V31" s="1" t="s">
        <v>160</v>
      </c>
      <c r="W31" s="1" t="s">
        <v>160</v>
      </c>
      <c r="X31" s="1" t="s">
        <v>159</v>
      </c>
      <c r="Y31" s="1" t="s">
        <v>160</v>
      </c>
      <c r="Z31" s="1" t="s">
        <v>160</v>
      </c>
      <c r="AA31" s="1" t="s">
        <v>159</v>
      </c>
      <c r="AB31" s="1" t="s">
        <v>160</v>
      </c>
      <c r="AC31" s="1" t="s">
        <v>160</v>
      </c>
      <c r="AD31" s="1" t="s">
        <v>159</v>
      </c>
      <c r="AE31" s="1" t="s">
        <v>160</v>
      </c>
      <c r="AF31" s="1" t="s">
        <v>159</v>
      </c>
      <c r="AG31" s="1" t="s">
        <v>160</v>
      </c>
      <c r="AH31" s="1">
        <v>1</v>
      </c>
      <c r="AI31" s="1" t="s">
        <v>160</v>
      </c>
      <c r="AJ31" s="1" t="s">
        <v>162</v>
      </c>
      <c r="AK31" s="1" t="s">
        <v>163</v>
      </c>
      <c r="AL31" s="1" t="s">
        <v>162</v>
      </c>
      <c r="AM31" s="1" t="s">
        <v>162</v>
      </c>
      <c r="AN31" s="1" t="s">
        <v>163</v>
      </c>
      <c r="AO31" s="1" t="s">
        <v>165</v>
      </c>
      <c r="AP31" s="1" t="s">
        <v>165</v>
      </c>
      <c r="AQ31" s="1">
        <v>2000</v>
      </c>
      <c r="AR31" s="1" t="s">
        <v>160</v>
      </c>
      <c r="AS31" s="1" t="s">
        <v>160</v>
      </c>
      <c r="AT31" s="1" t="s">
        <v>307</v>
      </c>
      <c r="AU31" s="1" t="s">
        <v>159</v>
      </c>
      <c r="AV31" s="1" t="s">
        <v>159</v>
      </c>
      <c r="AW31" s="1" t="s">
        <v>159</v>
      </c>
      <c r="AX31" s="1" t="s">
        <v>159</v>
      </c>
      <c r="AY31" s="1" t="s">
        <v>159</v>
      </c>
      <c r="AZ31" s="1" t="s">
        <v>159</v>
      </c>
      <c r="BA31" s="1" t="s">
        <v>159</v>
      </c>
      <c r="BB31" s="1" t="s">
        <v>167</v>
      </c>
      <c r="BC31" s="1" t="s">
        <v>160</v>
      </c>
      <c r="BE31" s="1" t="s">
        <v>308</v>
      </c>
      <c r="BF31" s="1" t="s">
        <v>159</v>
      </c>
    </row>
    <row r="32" spans="1:58" ht="15.75" customHeight="1" x14ac:dyDescent="0.15">
      <c r="A32" s="2">
        <v>44175.461111111108</v>
      </c>
      <c r="B32" s="2">
        <v>44175.462500000001</v>
      </c>
      <c r="C32" s="1" t="s">
        <v>39</v>
      </c>
      <c r="D32" s="1" t="s">
        <v>234</v>
      </c>
      <c r="E32" s="1">
        <v>100</v>
      </c>
      <c r="F32" s="1">
        <v>121</v>
      </c>
      <c r="G32" s="1" t="b">
        <v>1</v>
      </c>
      <c r="H32" s="2">
        <v>44175.462500000001</v>
      </c>
      <c r="I32" s="1" t="s">
        <v>309</v>
      </c>
      <c r="N32" s="1">
        <v>34.048492430000003</v>
      </c>
      <c r="O32" s="1">
        <v>-118.2528992</v>
      </c>
      <c r="P32" s="1" t="s">
        <v>153</v>
      </c>
      <c r="Q32" s="1" t="s">
        <v>154</v>
      </c>
      <c r="R32" s="1" t="s">
        <v>236</v>
      </c>
      <c r="S32" s="1" t="s">
        <v>310</v>
      </c>
      <c r="T32" s="1" t="s">
        <v>157</v>
      </c>
      <c r="U32" s="1" t="s">
        <v>311</v>
      </c>
      <c r="V32" s="1" t="s">
        <v>160</v>
      </c>
      <c r="W32" s="1" t="s">
        <v>160</v>
      </c>
      <c r="X32" s="1" t="s">
        <v>160</v>
      </c>
      <c r="Y32" s="1" t="s">
        <v>160</v>
      </c>
      <c r="Z32" s="1" t="s">
        <v>160</v>
      </c>
      <c r="AA32" s="1" t="s">
        <v>160</v>
      </c>
      <c r="AB32" s="1" t="s">
        <v>160</v>
      </c>
      <c r="AC32" s="1" t="s">
        <v>160</v>
      </c>
      <c r="AD32" s="1" t="s">
        <v>160</v>
      </c>
      <c r="AE32" s="1" t="s">
        <v>160</v>
      </c>
      <c r="AF32" s="1" t="s">
        <v>160</v>
      </c>
      <c r="AG32" s="1" t="s">
        <v>160</v>
      </c>
      <c r="AI32" s="1" t="s">
        <v>160</v>
      </c>
      <c r="AJ32" s="1" t="s">
        <v>163</v>
      </c>
      <c r="AK32" s="1" t="s">
        <v>164</v>
      </c>
      <c r="AL32" s="1" t="s">
        <v>198</v>
      </c>
      <c r="AM32" s="1" t="s">
        <v>163</v>
      </c>
      <c r="AN32" s="1" t="s">
        <v>163</v>
      </c>
      <c r="AO32" s="1" t="s">
        <v>179</v>
      </c>
      <c r="AP32" s="1" t="s">
        <v>239</v>
      </c>
      <c r="AR32" s="1" t="s">
        <v>160</v>
      </c>
      <c r="AS32" s="1" t="s">
        <v>160</v>
      </c>
      <c r="AT32" s="1" t="s">
        <v>312</v>
      </c>
      <c r="AU32" s="1" t="s">
        <v>159</v>
      </c>
      <c r="AV32" s="1" t="s">
        <v>160</v>
      </c>
      <c r="AW32" s="1" t="s">
        <v>160</v>
      </c>
      <c r="AX32" s="1" t="s">
        <v>159</v>
      </c>
      <c r="AY32" s="1" t="s">
        <v>160</v>
      </c>
      <c r="AZ32" s="1" t="s">
        <v>159</v>
      </c>
      <c r="BA32" s="1" t="s">
        <v>159</v>
      </c>
      <c r="BB32" s="1" t="s">
        <v>241</v>
      </c>
      <c r="BC32" s="1" t="s">
        <v>160</v>
      </c>
      <c r="BD32" s="1" t="s">
        <v>313</v>
      </c>
      <c r="BE32" s="1" t="s">
        <v>314</v>
      </c>
      <c r="BF32" s="1" t="s">
        <v>160</v>
      </c>
    </row>
    <row r="33" spans="1:58" ht="15.75" customHeight="1" x14ac:dyDescent="0.15">
      <c r="A33" s="2">
        <v>44175.463194444441</v>
      </c>
      <c r="B33" s="2">
        <v>44175.464583333334</v>
      </c>
      <c r="C33" s="1" t="s">
        <v>39</v>
      </c>
      <c r="D33" s="1" t="s">
        <v>234</v>
      </c>
      <c r="E33" s="1">
        <v>100</v>
      </c>
      <c r="F33" s="1">
        <v>116</v>
      </c>
      <c r="G33" s="1" t="b">
        <v>1</v>
      </c>
      <c r="H33" s="2">
        <v>44175.464583333334</v>
      </c>
      <c r="I33" s="1" t="s">
        <v>315</v>
      </c>
      <c r="N33" s="1">
        <v>34.048492430000003</v>
      </c>
      <c r="O33" s="1">
        <v>-118.2528992</v>
      </c>
      <c r="P33" s="1" t="s">
        <v>153</v>
      </c>
      <c r="Q33" s="1" t="s">
        <v>154</v>
      </c>
      <c r="R33" s="1" t="s">
        <v>155</v>
      </c>
      <c r="S33" s="1" t="s">
        <v>175</v>
      </c>
      <c r="T33" s="1" t="s">
        <v>176</v>
      </c>
      <c r="U33" s="1" t="s">
        <v>316</v>
      </c>
      <c r="V33" s="1" t="s">
        <v>160</v>
      </c>
      <c r="W33" s="1" t="s">
        <v>160</v>
      </c>
      <c r="X33" s="1" t="s">
        <v>160</v>
      </c>
      <c r="Y33" s="1" t="s">
        <v>160</v>
      </c>
      <c r="Z33" s="1" t="s">
        <v>160</v>
      </c>
      <c r="AA33" s="1" t="s">
        <v>160</v>
      </c>
      <c r="AB33" s="1" t="s">
        <v>160</v>
      </c>
      <c r="AC33" s="1" t="s">
        <v>160</v>
      </c>
      <c r="AD33" s="1" t="s">
        <v>160</v>
      </c>
      <c r="AE33" s="1" t="s">
        <v>160</v>
      </c>
      <c r="AF33" s="1" t="s">
        <v>160</v>
      </c>
      <c r="AG33" s="1" t="s">
        <v>160</v>
      </c>
      <c r="AI33" s="1" t="s">
        <v>160</v>
      </c>
      <c r="AJ33" s="1" t="s">
        <v>192</v>
      </c>
      <c r="AK33" s="1" t="s">
        <v>198</v>
      </c>
      <c r="AL33" s="1" t="s">
        <v>164</v>
      </c>
      <c r="AM33" s="1" t="s">
        <v>192</v>
      </c>
      <c r="AN33" s="1" t="s">
        <v>163</v>
      </c>
      <c r="AO33" s="1" t="s">
        <v>179</v>
      </c>
      <c r="AP33" s="1" t="s">
        <v>239</v>
      </c>
      <c r="AR33" s="1" t="s">
        <v>160</v>
      </c>
      <c r="AS33" s="1" t="s">
        <v>160</v>
      </c>
      <c r="AT33" s="1" t="s">
        <v>317</v>
      </c>
      <c r="AU33" s="1" t="s">
        <v>159</v>
      </c>
      <c r="AV33" s="1" t="s">
        <v>160</v>
      </c>
      <c r="AW33" s="1" t="s">
        <v>160</v>
      </c>
      <c r="AX33" s="1" t="s">
        <v>160</v>
      </c>
      <c r="AY33" s="1" t="s">
        <v>159</v>
      </c>
      <c r="AZ33" s="1" t="s">
        <v>160</v>
      </c>
      <c r="BA33" s="1" t="s">
        <v>159</v>
      </c>
      <c r="BB33" s="1" t="s">
        <v>167</v>
      </c>
      <c r="BC33" s="1" t="s">
        <v>160</v>
      </c>
      <c r="BD33" s="1" t="s">
        <v>318</v>
      </c>
      <c r="BE33" s="1" t="s">
        <v>319</v>
      </c>
      <c r="BF33" s="1" t="s">
        <v>160</v>
      </c>
    </row>
    <row r="34" spans="1:58" ht="15.75" customHeight="1" x14ac:dyDescent="0.15">
      <c r="A34" s="2">
        <v>44175.464583333334</v>
      </c>
      <c r="B34" s="2">
        <v>44175.46597222222</v>
      </c>
      <c r="C34" s="1" t="s">
        <v>39</v>
      </c>
      <c r="D34" s="1" t="s">
        <v>234</v>
      </c>
      <c r="E34" s="1">
        <v>100</v>
      </c>
      <c r="F34" s="1">
        <v>116</v>
      </c>
      <c r="G34" s="1" t="b">
        <v>1</v>
      </c>
      <c r="H34" s="2">
        <v>44175.46597222222</v>
      </c>
      <c r="I34" s="1" t="s">
        <v>320</v>
      </c>
      <c r="N34" s="1">
        <v>34.048492430000003</v>
      </c>
      <c r="O34" s="1">
        <v>-118.2528992</v>
      </c>
      <c r="P34" s="1" t="s">
        <v>153</v>
      </c>
      <c r="Q34" s="1" t="s">
        <v>154</v>
      </c>
      <c r="R34" s="1" t="s">
        <v>155</v>
      </c>
      <c r="S34" s="1" t="s">
        <v>208</v>
      </c>
      <c r="T34" s="1" t="s">
        <v>157</v>
      </c>
      <c r="U34" s="1" t="s">
        <v>321</v>
      </c>
      <c r="V34" s="1" t="s">
        <v>160</v>
      </c>
      <c r="W34" s="1" t="s">
        <v>160</v>
      </c>
      <c r="X34" s="1" t="s">
        <v>160</v>
      </c>
      <c r="Y34" s="1" t="s">
        <v>160</v>
      </c>
      <c r="Z34" s="1" t="s">
        <v>160</v>
      </c>
      <c r="AA34" s="1" t="s">
        <v>160</v>
      </c>
      <c r="AB34" s="1" t="s">
        <v>160</v>
      </c>
      <c r="AC34" s="1" t="s">
        <v>160</v>
      </c>
      <c r="AD34" s="1" t="s">
        <v>160</v>
      </c>
      <c r="AE34" s="1" t="s">
        <v>160</v>
      </c>
      <c r="AF34" s="1" t="s">
        <v>160</v>
      </c>
      <c r="AG34" s="1" t="s">
        <v>160</v>
      </c>
      <c r="AI34" s="1" t="s">
        <v>160</v>
      </c>
      <c r="AJ34" s="1" t="s">
        <v>198</v>
      </c>
      <c r="AK34" s="1" t="s">
        <v>192</v>
      </c>
      <c r="AL34" s="1" t="s">
        <v>198</v>
      </c>
      <c r="AM34" s="1" t="s">
        <v>198</v>
      </c>
      <c r="AN34" s="1" t="s">
        <v>192</v>
      </c>
      <c r="AO34" s="1" t="s">
        <v>179</v>
      </c>
      <c r="AP34" s="1" t="s">
        <v>239</v>
      </c>
      <c r="AR34" s="1" t="s">
        <v>160</v>
      </c>
      <c r="AS34" s="1" t="s">
        <v>160</v>
      </c>
      <c r="AT34" s="1" t="s">
        <v>322</v>
      </c>
      <c r="AU34" s="1" t="s">
        <v>159</v>
      </c>
      <c r="AV34" s="1" t="s">
        <v>159</v>
      </c>
      <c r="AW34" s="1" t="s">
        <v>159</v>
      </c>
      <c r="AX34" s="1" t="s">
        <v>160</v>
      </c>
      <c r="AY34" s="1" t="s">
        <v>159</v>
      </c>
      <c r="AZ34" s="1" t="s">
        <v>159</v>
      </c>
      <c r="BA34" s="1" t="s">
        <v>160</v>
      </c>
      <c r="BB34" s="1" t="s">
        <v>167</v>
      </c>
      <c r="BC34" s="1" t="s">
        <v>160</v>
      </c>
      <c r="BD34" s="1" t="s">
        <v>323</v>
      </c>
      <c r="BE34" s="1" t="s">
        <v>324</v>
      </c>
      <c r="BF34" s="1" t="s">
        <v>160</v>
      </c>
    </row>
    <row r="35" spans="1:58" ht="15.75" customHeight="1" x14ac:dyDescent="0.15">
      <c r="A35" s="2">
        <v>44175.46597222222</v>
      </c>
      <c r="B35" s="2">
        <v>44175.467361111114</v>
      </c>
      <c r="C35" s="1" t="s">
        <v>39</v>
      </c>
      <c r="D35" s="1" t="s">
        <v>234</v>
      </c>
      <c r="E35" s="1">
        <v>100</v>
      </c>
      <c r="F35" s="1">
        <v>121</v>
      </c>
      <c r="G35" s="1" t="b">
        <v>1</v>
      </c>
      <c r="H35" s="2">
        <v>44175.467361111114</v>
      </c>
      <c r="I35" s="1" t="s">
        <v>325</v>
      </c>
      <c r="N35" s="1">
        <v>34.048492430000003</v>
      </c>
      <c r="O35" s="1">
        <v>-118.2528992</v>
      </c>
      <c r="P35" s="1" t="s">
        <v>153</v>
      </c>
      <c r="Q35" s="1" t="s">
        <v>154</v>
      </c>
      <c r="R35" s="1" t="s">
        <v>155</v>
      </c>
      <c r="S35" s="1" t="s">
        <v>274</v>
      </c>
      <c r="T35" s="1" t="s">
        <v>263</v>
      </c>
      <c r="U35" s="1" t="s">
        <v>326</v>
      </c>
      <c r="V35" s="1" t="s">
        <v>160</v>
      </c>
      <c r="W35" s="1" t="s">
        <v>160</v>
      </c>
      <c r="X35" s="1" t="s">
        <v>160</v>
      </c>
      <c r="Y35" s="1" t="s">
        <v>160</v>
      </c>
      <c r="Z35" s="1" t="s">
        <v>160</v>
      </c>
      <c r="AA35" s="1" t="s">
        <v>160</v>
      </c>
      <c r="AB35" s="1" t="s">
        <v>160</v>
      </c>
      <c r="AC35" s="1" t="s">
        <v>160</v>
      </c>
      <c r="AD35" s="1" t="s">
        <v>160</v>
      </c>
      <c r="AE35" s="1" t="s">
        <v>160</v>
      </c>
      <c r="AF35" s="1" t="s">
        <v>160</v>
      </c>
      <c r="AG35" s="1" t="s">
        <v>160</v>
      </c>
      <c r="AI35" s="1" t="s">
        <v>160</v>
      </c>
      <c r="AJ35" s="1" t="s">
        <v>164</v>
      </c>
      <c r="AK35" s="1" t="s">
        <v>163</v>
      </c>
      <c r="AL35" s="1" t="s">
        <v>192</v>
      </c>
      <c r="AM35" s="1" t="s">
        <v>198</v>
      </c>
      <c r="AN35" s="1" t="s">
        <v>164</v>
      </c>
      <c r="AO35" s="1" t="s">
        <v>179</v>
      </c>
      <c r="AP35" s="1" t="s">
        <v>165</v>
      </c>
      <c r="AR35" s="1" t="s">
        <v>160</v>
      </c>
      <c r="AS35" s="1" t="s">
        <v>160</v>
      </c>
      <c r="AT35" s="1" t="s">
        <v>327</v>
      </c>
      <c r="AU35" s="1" t="s">
        <v>159</v>
      </c>
      <c r="AV35" s="1" t="s">
        <v>159</v>
      </c>
      <c r="AW35" s="1" t="s">
        <v>159</v>
      </c>
      <c r="AX35" s="1" t="s">
        <v>159</v>
      </c>
      <c r="AY35" s="1" t="s">
        <v>160</v>
      </c>
      <c r="AZ35" s="1" t="s">
        <v>159</v>
      </c>
      <c r="BA35" s="1" t="s">
        <v>159</v>
      </c>
      <c r="BB35" s="1" t="s">
        <v>181</v>
      </c>
      <c r="BC35" s="1" t="s">
        <v>160</v>
      </c>
      <c r="BD35" s="1" t="s">
        <v>328</v>
      </c>
      <c r="BE35" s="1" t="s">
        <v>329</v>
      </c>
      <c r="BF35" s="1" t="s">
        <v>160</v>
      </c>
    </row>
    <row r="36" spans="1:58" ht="15.75" customHeight="1" x14ac:dyDescent="0.15">
      <c r="A36" s="2">
        <v>44175.468055555553</v>
      </c>
      <c r="B36" s="2">
        <v>44175.469444444447</v>
      </c>
      <c r="C36" s="1" t="s">
        <v>39</v>
      </c>
      <c r="D36" s="1" t="s">
        <v>234</v>
      </c>
      <c r="E36" s="1">
        <v>100</v>
      </c>
      <c r="F36" s="1">
        <v>116</v>
      </c>
      <c r="G36" s="1" t="b">
        <v>1</v>
      </c>
      <c r="H36" s="2">
        <v>44175.469444444447</v>
      </c>
      <c r="I36" s="1" t="s">
        <v>330</v>
      </c>
      <c r="N36" s="1">
        <v>34.048492430000003</v>
      </c>
      <c r="O36" s="1">
        <v>-118.2528992</v>
      </c>
      <c r="P36" s="1" t="s">
        <v>153</v>
      </c>
      <c r="Q36" s="1" t="s">
        <v>154</v>
      </c>
      <c r="R36" s="1" t="s">
        <v>236</v>
      </c>
      <c r="S36" s="1" t="s">
        <v>274</v>
      </c>
      <c r="T36" s="1" t="s">
        <v>237</v>
      </c>
      <c r="U36" s="1" t="s">
        <v>331</v>
      </c>
      <c r="V36" s="1" t="s">
        <v>160</v>
      </c>
      <c r="W36" s="1" t="s">
        <v>160</v>
      </c>
      <c r="X36" s="1" t="s">
        <v>160</v>
      </c>
      <c r="Y36" s="1" t="s">
        <v>160</v>
      </c>
      <c r="Z36" s="1" t="s">
        <v>160</v>
      </c>
      <c r="AA36" s="1" t="s">
        <v>160</v>
      </c>
      <c r="AB36" s="1" t="s">
        <v>160</v>
      </c>
      <c r="AC36" s="1" t="s">
        <v>160</v>
      </c>
      <c r="AD36" s="1" t="s">
        <v>160</v>
      </c>
      <c r="AE36" s="1" t="s">
        <v>160</v>
      </c>
      <c r="AF36" s="1" t="s">
        <v>160</v>
      </c>
      <c r="AG36" s="1" t="s">
        <v>160</v>
      </c>
      <c r="AI36" s="1" t="s">
        <v>160</v>
      </c>
      <c r="AJ36" s="1" t="s">
        <v>163</v>
      </c>
      <c r="AK36" s="1" t="s">
        <v>163</v>
      </c>
      <c r="AL36" s="1" t="s">
        <v>198</v>
      </c>
      <c r="AM36" s="1" t="s">
        <v>192</v>
      </c>
      <c r="AN36" s="1" t="s">
        <v>198</v>
      </c>
      <c r="AO36" s="1" t="s">
        <v>179</v>
      </c>
      <c r="AP36" s="1" t="s">
        <v>239</v>
      </c>
      <c r="AR36" s="1" t="s">
        <v>160</v>
      </c>
      <c r="AS36" s="1" t="s">
        <v>160</v>
      </c>
      <c r="AT36" s="1" t="s">
        <v>332</v>
      </c>
      <c r="AU36" s="1" t="s">
        <v>160</v>
      </c>
      <c r="AV36" s="1" t="s">
        <v>159</v>
      </c>
      <c r="AW36" s="1" t="s">
        <v>159</v>
      </c>
      <c r="AX36" s="1" t="s">
        <v>159</v>
      </c>
      <c r="AY36" s="1" t="s">
        <v>160</v>
      </c>
      <c r="AZ36" s="1" t="s">
        <v>159</v>
      </c>
      <c r="BA36" s="1" t="s">
        <v>159</v>
      </c>
      <c r="BB36" s="1" t="s">
        <v>167</v>
      </c>
      <c r="BC36" s="1" t="s">
        <v>160</v>
      </c>
      <c r="BD36" s="1" t="s">
        <v>333</v>
      </c>
      <c r="BE36" s="1" t="s">
        <v>334</v>
      </c>
      <c r="BF36" s="1" t="s">
        <v>160</v>
      </c>
    </row>
    <row r="37" spans="1:58" ht="15.75" customHeight="1" x14ac:dyDescent="0.15">
      <c r="A37" s="2">
        <v>44175.469444444447</v>
      </c>
      <c r="B37" s="2">
        <v>44175.470833333333</v>
      </c>
      <c r="C37" s="1" t="s">
        <v>39</v>
      </c>
      <c r="D37" s="1" t="s">
        <v>234</v>
      </c>
      <c r="E37" s="1">
        <v>100</v>
      </c>
      <c r="F37" s="1">
        <v>115</v>
      </c>
      <c r="G37" s="1" t="b">
        <v>1</v>
      </c>
      <c r="H37" s="2">
        <v>44175.470833333333</v>
      </c>
      <c r="I37" s="1" t="s">
        <v>335</v>
      </c>
      <c r="N37" s="1">
        <v>34.048492430000003</v>
      </c>
      <c r="O37" s="1">
        <v>-118.2528992</v>
      </c>
      <c r="P37" s="1" t="s">
        <v>153</v>
      </c>
      <c r="Q37" s="1" t="s">
        <v>154</v>
      </c>
      <c r="R37" s="1" t="s">
        <v>236</v>
      </c>
      <c r="S37" s="1" t="s">
        <v>226</v>
      </c>
      <c r="T37" s="1" t="s">
        <v>157</v>
      </c>
      <c r="U37" s="1" t="s">
        <v>290</v>
      </c>
      <c r="V37" s="1" t="s">
        <v>160</v>
      </c>
      <c r="W37" s="1" t="s">
        <v>160</v>
      </c>
      <c r="X37" s="1" t="s">
        <v>160</v>
      </c>
      <c r="Y37" s="1" t="s">
        <v>160</v>
      </c>
      <c r="Z37" s="1" t="s">
        <v>160</v>
      </c>
      <c r="AA37" s="1" t="s">
        <v>160</v>
      </c>
      <c r="AB37" s="1" t="s">
        <v>160</v>
      </c>
      <c r="AC37" s="1" t="s">
        <v>160</v>
      </c>
      <c r="AD37" s="1" t="s">
        <v>160</v>
      </c>
      <c r="AE37" s="1" t="s">
        <v>160</v>
      </c>
      <c r="AF37" s="1" t="s">
        <v>160</v>
      </c>
      <c r="AG37" s="1" t="s">
        <v>160</v>
      </c>
      <c r="AI37" s="1" t="s">
        <v>160</v>
      </c>
      <c r="AJ37" s="1" t="s">
        <v>163</v>
      </c>
      <c r="AK37" s="1" t="s">
        <v>164</v>
      </c>
      <c r="AL37" s="1" t="s">
        <v>192</v>
      </c>
      <c r="AM37" s="1" t="s">
        <v>164</v>
      </c>
      <c r="AN37" s="1" t="s">
        <v>164</v>
      </c>
      <c r="AO37" s="1" t="s">
        <v>179</v>
      </c>
      <c r="AP37" s="1" t="s">
        <v>165</v>
      </c>
      <c r="AR37" s="1" t="s">
        <v>160</v>
      </c>
      <c r="AS37" s="1" t="s">
        <v>160</v>
      </c>
      <c r="AT37" s="1" t="s">
        <v>336</v>
      </c>
      <c r="AU37" s="1" t="s">
        <v>159</v>
      </c>
      <c r="AV37" s="1" t="s">
        <v>159</v>
      </c>
      <c r="AW37" s="1" t="s">
        <v>160</v>
      </c>
      <c r="AX37" s="1" t="s">
        <v>159</v>
      </c>
      <c r="AY37" s="1" t="s">
        <v>160</v>
      </c>
      <c r="AZ37" s="1" t="s">
        <v>160</v>
      </c>
      <c r="BA37" s="1" t="s">
        <v>160</v>
      </c>
      <c r="BB37" s="1" t="s">
        <v>167</v>
      </c>
      <c r="BC37" s="1" t="s">
        <v>160</v>
      </c>
      <c r="BD37" s="1" t="s">
        <v>337</v>
      </c>
      <c r="BE37" s="1" t="s">
        <v>338</v>
      </c>
      <c r="BF37" s="1" t="s">
        <v>160</v>
      </c>
    </row>
    <row r="38" spans="1:58" ht="15.75" customHeight="1" x14ac:dyDescent="0.15">
      <c r="A38" s="2">
        <v>44175.470833333333</v>
      </c>
      <c r="B38" s="2">
        <v>44175.472222222219</v>
      </c>
      <c r="C38" s="1" t="s">
        <v>39</v>
      </c>
      <c r="D38" s="1" t="s">
        <v>234</v>
      </c>
      <c r="E38" s="1">
        <v>100</v>
      </c>
      <c r="F38" s="1">
        <v>120</v>
      </c>
      <c r="G38" s="1" t="b">
        <v>1</v>
      </c>
      <c r="H38" s="2">
        <v>44175.472222222219</v>
      </c>
      <c r="I38" s="1" t="s">
        <v>339</v>
      </c>
      <c r="N38" s="1">
        <v>34.048492430000003</v>
      </c>
      <c r="O38" s="1">
        <v>-118.2528992</v>
      </c>
      <c r="P38" s="1" t="s">
        <v>153</v>
      </c>
      <c r="Q38" s="1" t="s">
        <v>154</v>
      </c>
      <c r="R38" s="1" t="s">
        <v>236</v>
      </c>
      <c r="S38" s="1" t="s">
        <v>226</v>
      </c>
      <c r="T38" s="1" t="s">
        <v>176</v>
      </c>
      <c r="U38" s="1" t="s">
        <v>340</v>
      </c>
      <c r="V38" s="1" t="s">
        <v>160</v>
      </c>
      <c r="W38" s="1" t="s">
        <v>160</v>
      </c>
      <c r="X38" s="1" t="s">
        <v>160</v>
      </c>
      <c r="Y38" s="1" t="s">
        <v>160</v>
      </c>
      <c r="Z38" s="1" t="s">
        <v>160</v>
      </c>
      <c r="AA38" s="1" t="s">
        <v>160</v>
      </c>
      <c r="AB38" s="1" t="s">
        <v>160</v>
      </c>
      <c r="AC38" s="1" t="s">
        <v>160</v>
      </c>
      <c r="AD38" s="1" t="s">
        <v>160</v>
      </c>
      <c r="AE38" s="1" t="s">
        <v>160</v>
      </c>
      <c r="AF38" s="1" t="s">
        <v>160</v>
      </c>
      <c r="AG38" s="1" t="s">
        <v>160</v>
      </c>
      <c r="AI38" s="1" t="s">
        <v>160</v>
      </c>
      <c r="AJ38" s="1" t="s">
        <v>164</v>
      </c>
      <c r="AK38" s="1" t="s">
        <v>163</v>
      </c>
      <c r="AL38" s="1" t="s">
        <v>164</v>
      </c>
      <c r="AM38" s="1" t="s">
        <v>164</v>
      </c>
      <c r="AN38" s="1" t="s">
        <v>163</v>
      </c>
      <c r="AO38" s="1" t="s">
        <v>179</v>
      </c>
      <c r="AP38" s="1" t="s">
        <v>239</v>
      </c>
      <c r="AR38" s="1" t="s">
        <v>160</v>
      </c>
      <c r="AS38" s="1" t="s">
        <v>160</v>
      </c>
      <c r="AT38" s="1" t="s">
        <v>286</v>
      </c>
      <c r="AU38" s="1" t="s">
        <v>160</v>
      </c>
      <c r="AV38" s="1" t="s">
        <v>160</v>
      </c>
      <c r="AW38" s="1" t="s">
        <v>159</v>
      </c>
      <c r="AX38" s="1" t="s">
        <v>159</v>
      </c>
      <c r="AY38" s="1" t="s">
        <v>160</v>
      </c>
      <c r="AZ38" s="1" t="s">
        <v>159</v>
      </c>
      <c r="BA38" s="1" t="s">
        <v>159</v>
      </c>
      <c r="BB38" s="1" t="s">
        <v>181</v>
      </c>
      <c r="BC38" s="1" t="s">
        <v>160</v>
      </c>
      <c r="BD38" s="1" t="s">
        <v>341</v>
      </c>
      <c r="BE38" s="1" t="s">
        <v>342</v>
      </c>
      <c r="BF38" s="1" t="s">
        <v>160</v>
      </c>
    </row>
    <row r="39" spans="1:58" ht="15.75" customHeight="1" x14ac:dyDescent="0.15">
      <c r="A39" s="2">
        <v>44175.472916666666</v>
      </c>
      <c r="B39" s="2">
        <v>44175.474305555559</v>
      </c>
      <c r="C39" s="1" t="s">
        <v>39</v>
      </c>
      <c r="D39" s="1" t="s">
        <v>234</v>
      </c>
      <c r="E39" s="1">
        <v>100</v>
      </c>
      <c r="F39" s="1">
        <v>116</v>
      </c>
      <c r="G39" s="1" t="b">
        <v>1</v>
      </c>
      <c r="H39" s="2">
        <v>44175.474305555559</v>
      </c>
      <c r="I39" s="1" t="s">
        <v>343</v>
      </c>
      <c r="N39" s="1">
        <v>34.048492430000003</v>
      </c>
      <c r="O39" s="1">
        <v>-118.2528992</v>
      </c>
      <c r="P39" s="1" t="s">
        <v>153</v>
      </c>
      <c r="Q39" s="1" t="s">
        <v>154</v>
      </c>
      <c r="R39" s="1" t="s">
        <v>174</v>
      </c>
      <c r="S39" s="1" t="s">
        <v>226</v>
      </c>
      <c r="T39" s="1" t="s">
        <v>245</v>
      </c>
      <c r="U39" s="1" t="s">
        <v>344</v>
      </c>
      <c r="V39" s="1" t="s">
        <v>160</v>
      </c>
      <c r="W39" s="1" t="s">
        <v>160</v>
      </c>
      <c r="X39" s="1" t="s">
        <v>160</v>
      </c>
      <c r="Y39" s="1" t="s">
        <v>160</v>
      </c>
      <c r="Z39" s="1" t="s">
        <v>160</v>
      </c>
      <c r="AA39" s="1" t="s">
        <v>160</v>
      </c>
      <c r="AB39" s="1" t="s">
        <v>160</v>
      </c>
      <c r="AC39" s="1" t="s">
        <v>160</v>
      </c>
      <c r="AD39" s="1" t="s">
        <v>160</v>
      </c>
      <c r="AE39" s="1" t="s">
        <v>160</v>
      </c>
      <c r="AF39" s="1" t="s">
        <v>160</v>
      </c>
      <c r="AG39" s="1" t="s">
        <v>160</v>
      </c>
      <c r="AI39" s="1" t="s">
        <v>160</v>
      </c>
      <c r="AJ39" s="1" t="s">
        <v>164</v>
      </c>
      <c r="AK39" s="1" t="s">
        <v>192</v>
      </c>
      <c r="AL39" s="1" t="s">
        <v>192</v>
      </c>
      <c r="AM39" s="1" t="s">
        <v>192</v>
      </c>
      <c r="AN39" s="1" t="s">
        <v>163</v>
      </c>
      <c r="AO39" s="1" t="s">
        <v>179</v>
      </c>
      <c r="AP39" s="1" t="s">
        <v>179</v>
      </c>
      <c r="AR39" s="1" t="s">
        <v>160</v>
      </c>
      <c r="AS39" s="1" t="s">
        <v>160</v>
      </c>
      <c r="AT39" s="1" t="s">
        <v>345</v>
      </c>
      <c r="AU39" s="1" t="s">
        <v>160</v>
      </c>
      <c r="AV39" s="1" t="s">
        <v>160</v>
      </c>
      <c r="AW39" s="1" t="s">
        <v>160</v>
      </c>
      <c r="AX39" s="1" t="s">
        <v>159</v>
      </c>
      <c r="AY39" s="1" t="s">
        <v>159</v>
      </c>
      <c r="AZ39" s="1" t="s">
        <v>159</v>
      </c>
      <c r="BA39" s="1" t="s">
        <v>159</v>
      </c>
      <c r="BB39" s="1" t="s">
        <v>167</v>
      </c>
      <c r="BC39" s="1" t="s">
        <v>160</v>
      </c>
      <c r="BD39" s="1" t="s">
        <v>346</v>
      </c>
      <c r="BE39" s="1" t="s">
        <v>347</v>
      </c>
      <c r="BF39" s="1" t="s">
        <v>160</v>
      </c>
    </row>
    <row r="40" spans="1:58" ht="15.75" customHeight="1" x14ac:dyDescent="0.15">
      <c r="A40" s="2">
        <v>44175.474305555559</v>
      </c>
      <c r="B40" s="2">
        <v>44175.475694444445</v>
      </c>
      <c r="C40" s="1" t="s">
        <v>39</v>
      </c>
      <c r="D40" s="1" t="s">
        <v>234</v>
      </c>
      <c r="E40" s="1">
        <v>100</v>
      </c>
      <c r="F40" s="1">
        <v>122</v>
      </c>
      <c r="G40" s="1" t="b">
        <v>1</v>
      </c>
      <c r="H40" s="2">
        <v>44175.475694444445</v>
      </c>
      <c r="I40" s="1" t="s">
        <v>348</v>
      </c>
      <c r="N40" s="1">
        <v>34.048492430000003</v>
      </c>
      <c r="O40" s="1">
        <v>-118.2528992</v>
      </c>
      <c r="P40" s="1" t="s">
        <v>153</v>
      </c>
      <c r="Q40" s="1" t="s">
        <v>154</v>
      </c>
      <c r="R40" s="1" t="s">
        <v>236</v>
      </c>
      <c r="S40" s="1" t="s">
        <v>175</v>
      </c>
      <c r="T40" s="1" t="s">
        <v>237</v>
      </c>
      <c r="U40" s="1" t="s">
        <v>349</v>
      </c>
      <c r="V40" s="1" t="s">
        <v>160</v>
      </c>
      <c r="W40" s="1" t="s">
        <v>160</v>
      </c>
      <c r="X40" s="1" t="s">
        <v>160</v>
      </c>
      <c r="Y40" s="1" t="s">
        <v>160</v>
      </c>
      <c r="Z40" s="1" t="s">
        <v>160</v>
      </c>
      <c r="AA40" s="1" t="s">
        <v>160</v>
      </c>
      <c r="AB40" s="1" t="s">
        <v>160</v>
      </c>
      <c r="AC40" s="1" t="s">
        <v>160</v>
      </c>
      <c r="AD40" s="1" t="s">
        <v>160</v>
      </c>
      <c r="AE40" s="1" t="s">
        <v>160</v>
      </c>
      <c r="AF40" s="1" t="s">
        <v>160</v>
      </c>
      <c r="AG40" s="1" t="s">
        <v>160</v>
      </c>
      <c r="AI40" s="1" t="s">
        <v>160</v>
      </c>
      <c r="AJ40" s="1" t="s">
        <v>198</v>
      </c>
      <c r="AK40" s="1" t="s">
        <v>192</v>
      </c>
      <c r="AL40" s="1" t="s">
        <v>163</v>
      </c>
      <c r="AM40" s="1" t="s">
        <v>163</v>
      </c>
      <c r="AN40" s="1" t="s">
        <v>164</v>
      </c>
      <c r="AO40" s="1" t="s">
        <v>179</v>
      </c>
      <c r="AP40" s="1" t="s">
        <v>179</v>
      </c>
      <c r="AR40" s="1" t="s">
        <v>160</v>
      </c>
      <c r="AS40" s="1" t="s">
        <v>160</v>
      </c>
      <c r="AT40" s="1" t="s">
        <v>350</v>
      </c>
      <c r="AU40" s="1" t="s">
        <v>160</v>
      </c>
      <c r="AV40" s="1" t="s">
        <v>160</v>
      </c>
      <c r="AW40" s="1" t="s">
        <v>159</v>
      </c>
      <c r="AX40" s="1" t="s">
        <v>160</v>
      </c>
      <c r="AY40" s="1" t="s">
        <v>159</v>
      </c>
      <c r="AZ40" s="1" t="s">
        <v>160</v>
      </c>
      <c r="BA40" s="1" t="s">
        <v>160</v>
      </c>
      <c r="BB40" s="1" t="s">
        <v>181</v>
      </c>
      <c r="BC40" s="1" t="s">
        <v>160</v>
      </c>
      <c r="BD40" s="1" t="s">
        <v>351</v>
      </c>
      <c r="BE40" s="1" t="s">
        <v>352</v>
      </c>
      <c r="BF40" s="1" t="s">
        <v>160</v>
      </c>
    </row>
    <row r="41" spans="1:58" ht="15.75" customHeight="1" x14ac:dyDescent="0.15">
      <c r="A41" s="2">
        <v>44175.476388888892</v>
      </c>
      <c r="B41" s="2">
        <v>44175.477777777778</v>
      </c>
      <c r="C41" s="1" t="s">
        <v>39</v>
      </c>
      <c r="D41" s="1" t="s">
        <v>234</v>
      </c>
      <c r="E41" s="1">
        <v>100</v>
      </c>
      <c r="F41" s="1">
        <v>121</v>
      </c>
      <c r="G41" s="1" t="b">
        <v>1</v>
      </c>
      <c r="H41" s="2">
        <v>44175.477777777778</v>
      </c>
      <c r="I41" s="1" t="s">
        <v>353</v>
      </c>
      <c r="N41" s="1">
        <v>34.048492430000003</v>
      </c>
      <c r="O41" s="1">
        <v>-118.2528992</v>
      </c>
      <c r="P41" s="1" t="s">
        <v>153</v>
      </c>
      <c r="Q41" s="1" t="s">
        <v>154</v>
      </c>
      <c r="R41" s="1" t="s">
        <v>155</v>
      </c>
      <c r="S41" s="1" t="s">
        <v>274</v>
      </c>
      <c r="T41" s="1" t="s">
        <v>263</v>
      </c>
      <c r="U41" s="1" t="s">
        <v>354</v>
      </c>
      <c r="V41" s="1" t="s">
        <v>160</v>
      </c>
      <c r="W41" s="1" t="s">
        <v>160</v>
      </c>
      <c r="X41" s="1" t="s">
        <v>160</v>
      </c>
      <c r="Y41" s="1" t="s">
        <v>160</v>
      </c>
      <c r="Z41" s="1" t="s">
        <v>160</v>
      </c>
      <c r="AA41" s="1" t="s">
        <v>160</v>
      </c>
      <c r="AB41" s="1" t="s">
        <v>160</v>
      </c>
      <c r="AC41" s="1" t="s">
        <v>160</v>
      </c>
      <c r="AD41" s="1" t="s">
        <v>160</v>
      </c>
      <c r="AE41" s="1" t="s">
        <v>160</v>
      </c>
      <c r="AF41" s="1" t="s">
        <v>160</v>
      </c>
      <c r="AG41" s="1" t="s">
        <v>160</v>
      </c>
      <c r="AI41" s="1" t="s">
        <v>160</v>
      </c>
      <c r="AJ41" s="1" t="s">
        <v>198</v>
      </c>
      <c r="AK41" s="1" t="s">
        <v>164</v>
      </c>
      <c r="AL41" s="1" t="s">
        <v>198</v>
      </c>
      <c r="AM41" s="1" t="s">
        <v>198</v>
      </c>
      <c r="AN41" s="1" t="s">
        <v>163</v>
      </c>
      <c r="AO41" s="1" t="s">
        <v>179</v>
      </c>
      <c r="AP41" s="1" t="s">
        <v>179</v>
      </c>
      <c r="AR41" s="1" t="s">
        <v>160</v>
      </c>
      <c r="AS41" s="1" t="s">
        <v>160</v>
      </c>
      <c r="AT41" s="1" t="s">
        <v>355</v>
      </c>
      <c r="AU41" s="1" t="s">
        <v>160</v>
      </c>
      <c r="AV41" s="1" t="s">
        <v>159</v>
      </c>
      <c r="AW41" s="1" t="s">
        <v>159</v>
      </c>
      <c r="AX41" s="1" t="s">
        <v>159</v>
      </c>
      <c r="AY41" s="1" t="s">
        <v>159</v>
      </c>
      <c r="AZ41" s="1" t="s">
        <v>160</v>
      </c>
      <c r="BA41" s="1" t="s">
        <v>160</v>
      </c>
      <c r="BB41" s="1" t="s">
        <v>222</v>
      </c>
      <c r="BC41" s="1" t="s">
        <v>160</v>
      </c>
      <c r="BD41" s="1" t="s">
        <v>356</v>
      </c>
      <c r="BE41" s="1" t="s">
        <v>357</v>
      </c>
      <c r="BF41" s="1" t="s">
        <v>160</v>
      </c>
    </row>
    <row r="42" spans="1:58" ht="15.75" customHeight="1" x14ac:dyDescent="0.15">
      <c r="A42" s="2">
        <v>44175.479166666664</v>
      </c>
      <c r="B42" s="2">
        <v>44175.480555555558</v>
      </c>
      <c r="C42" s="1" t="s">
        <v>39</v>
      </c>
      <c r="D42" s="1" t="s">
        <v>234</v>
      </c>
      <c r="E42" s="1">
        <v>100</v>
      </c>
      <c r="F42" s="1">
        <v>121</v>
      </c>
      <c r="G42" s="1" t="b">
        <v>1</v>
      </c>
      <c r="H42" s="2">
        <v>44175.480555555558</v>
      </c>
      <c r="I42" s="1" t="s">
        <v>358</v>
      </c>
      <c r="N42" s="1">
        <v>34.048492430000003</v>
      </c>
      <c r="O42" s="1">
        <v>-118.2528992</v>
      </c>
      <c r="P42" s="1" t="s">
        <v>153</v>
      </c>
      <c r="Q42" s="1" t="s">
        <v>154</v>
      </c>
      <c r="R42" s="1" t="s">
        <v>155</v>
      </c>
      <c r="S42" s="1" t="s">
        <v>208</v>
      </c>
      <c r="T42" s="1" t="s">
        <v>176</v>
      </c>
      <c r="U42" s="1" t="s">
        <v>359</v>
      </c>
      <c r="V42" s="1" t="s">
        <v>160</v>
      </c>
      <c r="W42" s="1" t="s">
        <v>160</v>
      </c>
      <c r="X42" s="1" t="s">
        <v>160</v>
      </c>
      <c r="Y42" s="1" t="s">
        <v>160</v>
      </c>
      <c r="Z42" s="1" t="s">
        <v>160</v>
      </c>
      <c r="AA42" s="1" t="s">
        <v>160</v>
      </c>
      <c r="AB42" s="1" t="s">
        <v>160</v>
      </c>
      <c r="AC42" s="1" t="s">
        <v>160</v>
      </c>
      <c r="AD42" s="1" t="s">
        <v>160</v>
      </c>
      <c r="AE42" s="1" t="s">
        <v>160</v>
      </c>
      <c r="AF42" s="1" t="s">
        <v>160</v>
      </c>
      <c r="AG42" s="1" t="s">
        <v>160</v>
      </c>
      <c r="AI42" s="1" t="s">
        <v>160</v>
      </c>
      <c r="AJ42" s="1" t="s">
        <v>192</v>
      </c>
      <c r="AK42" s="1" t="s">
        <v>163</v>
      </c>
      <c r="AL42" s="1" t="s">
        <v>192</v>
      </c>
      <c r="AM42" s="1" t="s">
        <v>164</v>
      </c>
      <c r="AN42" s="1" t="s">
        <v>198</v>
      </c>
      <c r="AO42" s="1" t="s">
        <v>179</v>
      </c>
      <c r="AP42" s="1" t="s">
        <v>165</v>
      </c>
      <c r="AR42" s="1" t="s">
        <v>160</v>
      </c>
      <c r="AS42" s="1" t="s">
        <v>160</v>
      </c>
      <c r="AT42" s="1" t="s">
        <v>360</v>
      </c>
      <c r="AU42" s="1" t="s">
        <v>160</v>
      </c>
      <c r="AV42" s="1" t="s">
        <v>159</v>
      </c>
      <c r="AW42" s="1" t="s">
        <v>160</v>
      </c>
      <c r="AX42" s="1" t="s">
        <v>160</v>
      </c>
      <c r="AY42" s="1" t="s">
        <v>159</v>
      </c>
      <c r="AZ42" s="1" t="s">
        <v>160</v>
      </c>
      <c r="BA42" s="1" t="s">
        <v>160</v>
      </c>
      <c r="BB42" s="1" t="s">
        <v>167</v>
      </c>
      <c r="BC42" s="1" t="s">
        <v>160</v>
      </c>
      <c r="BD42" s="1" t="s">
        <v>361</v>
      </c>
      <c r="BE42" s="1" t="s">
        <v>362</v>
      </c>
      <c r="BF42" s="1" t="s">
        <v>160</v>
      </c>
    </row>
    <row r="43" spans="1:58" ht="15.75" customHeight="1" x14ac:dyDescent="0.15">
      <c r="A43" s="2">
        <v>44175.481249999997</v>
      </c>
      <c r="B43" s="2">
        <v>44175.482638888891</v>
      </c>
      <c r="C43" s="1" t="s">
        <v>39</v>
      </c>
      <c r="D43" s="1" t="s">
        <v>234</v>
      </c>
      <c r="E43" s="1">
        <v>100</v>
      </c>
      <c r="F43" s="1">
        <v>117</v>
      </c>
      <c r="G43" s="1" t="b">
        <v>1</v>
      </c>
      <c r="H43" s="2">
        <v>44175.482638888891</v>
      </c>
      <c r="I43" s="1" t="s">
        <v>363</v>
      </c>
      <c r="N43" s="1">
        <v>34.048492430000003</v>
      </c>
      <c r="O43" s="1">
        <v>-118.2528992</v>
      </c>
      <c r="P43" s="1" t="s">
        <v>153</v>
      </c>
      <c r="Q43" s="1" t="s">
        <v>154</v>
      </c>
      <c r="R43" s="1" t="s">
        <v>174</v>
      </c>
      <c r="S43" s="1" t="s">
        <v>226</v>
      </c>
      <c r="T43" s="1" t="s">
        <v>245</v>
      </c>
      <c r="U43" s="1" t="s">
        <v>364</v>
      </c>
      <c r="V43" s="1" t="s">
        <v>160</v>
      </c>
      <c r="W43" s="1" t="s">
        <v>160</v>
      </c>
      <c r="X43" s="1" t="s">
        <v>160</v>
      </c>
      <c r="Y43" s="1" t="s">
        <v>160</v>
      </c>
      <c r="Z43" s="1" t="s">
        <v>160</v>
      </c>
      <c r="AA43" s="1" t="s">
        <v>160</v>
      </c>
      <c r="AB43" s="1" t="s">
        <v>160</v>
      </c>
      <c r="AC43" s="1" t="s">
        <v>160</v>
      </c>
      <c r="AD43" s="1" t="s">
        <v>160</v>
      </c>
      <c r="AE43" s="1" t="s">
        <v>160</v>
      </c>
      <c r="AF43" s="1" t="s">
        <v>160</v>
      </c>
      <c r="AG43" s="1" t="s">
        <v>160</v>
      </c>
      <c r="AI43" s="1" t="s">
        <v>160</v>
      </c>
      <c r="AJ43" s="1" t="s">
        <v>198</v>
      </c>
      <c r="AK43" s="1" t="s">
        <v>198</v>
      </c>
      <c r="AL43" s="1" t="s">
        <v>164</v>
      </c>
      <c r="AM43" s="1" t="s">
        <v>164</v>
      </c>
      <c r="AN43" s="1" t="s">
        <v>164</v>
      </c>
      <c r="AO43" s="1" t="s">
        <v>179</v>
      </c>
      <c r="AP43" s="1" t="s">
        <v>179</v>
      </c>
      <c r="AR43" s="1" t="s">
        <v>160</v>
      </c>
      <c r="AS43" s="1" t="s">
        <v>160</v>
      </c>
      <c r="AT43" s="1" t="s">
        <v>327</v>
      </c>
      <c r="AU43" s="1" t="s">
        <v>160</v>
      </c>
      <c r="AV43" s="1" t="s">
        <v>159</v>
      </c>
      <c r="AW43" s="1" t="s">
        <v>159</v>
      </c>
      <c r="AX43" s="1" t="s">
        <v>159</v>
      </c>
      <c r="AY43" s="1" t="s">
        <v>159</v>
      </c>
      <c r="AZ43" s="1" t="s">
        <v>159</v>
      </c>
      <c r="BA43" s="1" t="s">
        <v>160</v>
      </c>
      <c r="BB43" s="1" t="s">
        <v>181</v>
      </c>
      <c r="BC43" s="1" t="s">
        <v>160</v>
      </c>
      <c r="BD43" s="1" t="s">
        <v>365</v>
      </c>
      <c r="BE43" s="1" t="s">
        <v>366</v>
      </c>
      <c r="BF43" s="1" t="s">
        <v>160</v>
      </c>
    </row>
    <row r="44" spans="1:58" ht="15.75" customHeight="1" x14ac:dyDescent="0.15">
      <c r="A44" s="2">
        <v>44175.482638888891</v>
      </c>
      <c r="B44" s="2">
        <v>44175.484027777777</v>
      </c>
      <c r="C44" s="1" t="s">
        <v>39</v>
      </c>
      <c r="D44" s="1" t="s">
        <v>234</v>
      </c>
      <c r="E44" s="1">
        <v>100</v>
      </c>
      <c r="F44" s="1">
        <v>116</v>
      </c>
      <c r="G44" s="1" t="b">
        <v>1</v>
      </c>
      <c r="H44" s="2">
        <v>44175.484027777777</v>
      </c>
      <c r="I44" s="1" t="s">
        <v>367</v>
      </c>
      <c r="N44" s="1">
        <v>34.048492430000003</v>
      </c>
      <c r="O44" s="1">
        <v>-118.2528992</v>
      </c>
      <c r="P44" s="1" t="s">
        <v>153</v>
      </c>
      <c r="Q44" s="1" t="s">
        <v>154</v>
      </c>
      <c r="R44" s="1" t="s">
        <v>155</v>
      </c>
      <c r="S44" s="1" t="s">
        <v>310</v>
      </c>
      <c r="T44" s="1" t="s">
        <v>245</v>
      </c>
      <c r="U44" s="1" t="s">
        <v>368</v>
      </c>
      <c r="V44" s="1" t="s">
        <v>160</v>
      </c>
      <c r="W44" s="1" t="s">
        <v>160</v>
      </c>
      <c r="X44" s="1" t="s">
        <v>160</v>
      </c>
      <c r="Y44" s="1" t="s">
        <v>160</v>
      </c>
      <c r="Z44" s="1" t="s">
        <v>160</v>
      </c>
      <c r="AA44" s="1" t="s">
        <v>160</v>
      </c>
      <c r="AB44" s="1" t="s">
        <v>160</v>
      </c>
      <c r="AC44" s="1" t="s">
        <v>160</v>
      </c>
      <c r="AD44" s="1" t="s">
        <v>160</v>
      </c>
      <c r="AE44" s="1" t="s">
        <v>160</v>
      </c>
      <c r="AF44" s="1" t="s">
        <v>160</v>
      </c>
      <c r="AG44" s="1" t="s">
        <v>160</v>
      </c>
      <c r="AI44" s="1" t="s">
        <v>160</v>
      </c>
      <c r="AJ44" s="1" t="s">
        <v>198</v>
      </c>
      <c r="AK44" s="1" t="s">
        <v>163</v>
      </c>
      <c r="AL44" s="1" t="s">
        <v>163</v>
      </c>
      <c r="AM44" s="1" t="s">
        <v>164</v>
      </c>
      <c r="AN44" s="1" t="s">
        <v>198</v>
      </c>
      <c r="AO44" s="1" t="s">
        <v>179</v>
      </c>
      <c r="AP44" s="1" t="s">
        <v>179</v>
      </c>
      <c r="AR44" s="1" t="s">
        <v>160</v>
      </c>
      <c r="AS44" s="1" t="s">
        <v>160</v>
      </c>
      <c r="AT44" s="1" t="s">
        <v>369</v>
      </c>
      <c r="AU44" s="1" t="s">
        <v>160</v>
      </c>
      <c r="AV44" s="1" t="s">
        <v>160</v>
      </c>
      <c r="AW44" s="1" t="s">
        <v>159</v>
      </c>
      <c r="AX44" s="1" t="s">
        <v>159</v>
      </c>
      <c r="AY44" s="1" t="s">
        <v>160</v>
      </c>
      <c r="AZ44" s="1" t="s">
        <v>159</v>
      </c>
      <c r="BA44" s="1" t="s">
        <v>160</v>
      </c>
      <c r="BB44" s="1" t="s">
        <v>167</v>
      </c>
      <c r="BC44" s="1" t="s">
        <v>160</v>
      </c>
      <c r="BD44" s="1" t="s">
        <v>370</v>
      </c>
      <c r="BE44" s="1" t="s">
        <v>371</v>
      </c>
      <c r="BF44" s="1" t="s">
        <v>160</v>
      </c>
    </row>
    <row r="45" spans="1:58" ht="15.75" customHeight="1" x14ac:dyDescent="0.15">
      <c r="A45" s="2">
        <v>44175.484027777777</v>
      </c>
      <c r="B45" s="2">
        <v>44175.48541666667</v>
      </c>
      <c r="C45" s="1" t="s">
        <v>39</v>
      </c>
      <c r="D45" s="1" t="s">
        <v>234</v>
      </c>
      <c r="E45" s="1">
        <v>100</v>
      </c>
      <c r="F45" s="1">
        <v>117</v>
      </c>
      <c r="G45" s="1" t="b">
        <v>1</v>
      </c>
      <c r="H45" s="2">
        <v>44175.48541666667</v>
      </c>
      <c r="I45" s="1" t="s">
        <v>372</v>
      </c>
      <c r="N45" s="1">
        <v>34.048492430000003</v>
      </c>
      <c r="O45" s="1">
        <v>-118.2528992</v>
      </c>
      <c r="P45" s="1" t="s">
        <v>153</v>
      </c>
      <c r="Q45" s="1" t="s">
        <v>154</v>
      </c>
      <c r="R45" s="1" t="s">
        <v>236</v>
      </c>
      <c r="S45" s="1" t="s">
        <v>274</v>
      </c>
      <c r="T45" s="1" t="s">
        <v>263</v>
      </c>
      <c r="U45" s="1" t="s">
        <v>373</v>
      </c>
      <c r="V45" s="1" t="s">
        <v>160</v>
      </c>
      <c r="W45" s="1" t="s">
        <v>160</v>
      </c>
      <c r="X45" s="1" t="s">
        <v>160</v>
      </c>
      <c r="Y45" s="1" t="s">
        <v>160</v>
      </c>
      <c r="Z45" s="1" t="s">
        <v>160</v>
      </c>
      <c r="AA45" s="1" t="s">
        <v>160</v>
      </c>
      <c r="AB45" s="1" t="s">
        <v>160</v>
      </c>
      <c r="AC45" s="1" t="s">
        <v>160</v>
      </c>
      <c r="AD45" s="1" t="s">
        <v>160</v>
      </c>
      <c r="AE45" s="1" t="s">
        <v>160</v>
      </c>
      <c r="AF45" s="1" t="s">
        <v>160</v>
      </c>
      <c r="AG45" s="1" t="s">
        <v>160</v>
      </c>
      <c r="AI45" s="1" t="s">
        <v>160</v>
      </c>
      <c r="AJ45" s="1" t="s">
        <v>164</v>
      </c>
      <c r="AK45" s="1" t="s">
        <v>198</v>
      </c>
      <c r="AL45" s="1" t="s">
        <v>163</v>
      </c>
      <c r="AM45" s="1" t="s">
        <v>198</v>
      </c>
      <c r="AN45" s="1" t="s">
        <v>164</v>
      </c>
      <c r="AO45" s="1" t="s">
        <v>179</v>
      </c>
      <c r="AP45" s="1" t="s">
        <v>179</v>
      </c>
      <c r="AR45" s="1" t="s">
        <v>160</v>
      </c>
      <c r="AS45" s="1" t="s">
        <v>160</v>
      </c>
      <c r="AT45" s="1" t="s">
        <v>374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160</v>
      </c>
      <c r="AZ45" s="1" t="s">
        <v>159</v>
      </c>
      <c r="BA45" s="1" t="s">
        <v>159</v>
      </c>
      <c r="BB45" s="1" t="s">
        <v>222</v>
      </c>
      <c r="BC45" s="1" t="s">
        <v>160</v>
      </c>
      <c r="BD45" s="1" t="s">
        <v>375</v>
      </c>
      <c r="BE45" s="1" t="s">
        <v>376</v>
      </c>
      <c r="BF45" s="1" t="s">
        <v>160</v>
      </c>
    </row>
    <row r="46" spans="1:58" ht="15.75" customHeight="1" x14ac:dyDescent="0.15">
      <c r="A46" s="2">
        <v>44175.486111111109</v>
      </c>
      <c r="B46" s="2">
        <v>44175.486805555556</v>
      </c>
      <c r="C46" s="1" t="s">
        <v>39</v>
      </c>
      <c r="D46" s="1" t="s">
        <v>234</v>
      </c>
      <c r="E46" s="1">
        <v>100</v>
      </c>
      <c r="F46" s="1">
        <v>117</v>
      </c>
      <c r="G46" s="1" t="b">
        <v>1</v>
      </c>
      <c r="H46" s="2">
        <v>44175.486805555556</v>
      </c>
      <c r="I46" s="1" t="s">
        <v>377</v>
      </c>
      <c r="N46" s="1">
        <v>34.048492430000003</v>
      </c>
      <c r="O46" s="1">
        <v>-118.2528992</v>
      </c>
      <c r="P46" s="1" t="s">
        <v>153</v>
      </c>
      <c r="Q46" s="1" t="s">
        <v>154</v>
      </c>
      <c r="R46" s="1" t="s">
        <v>236</v>
      </c>
      <c r="S46" s="1" t="s">
        <v>175</v>
      </c>
      <c r="T46" s="1" t="s">
        <v>157</v>
      </c>
      <c r="U46" s="1" t="s">
        <v>378</v>
      </c>
      <c r="V46" s="1" t="s">
        <v>160</v>
      </c>
      <c r="W46" s="1" t="s">
        <v>160</v>
      </c>
      <c r="X46" s="1" t="s">
        <v>160</v>
      </c>
      <c r="Y46" s="1" t="s">
        <v>160</v>
      </c>
      <c r="Z46" s="1" t="s">
        <v>160</v>
      </c>
      <c r="AA46" s="1" t="s">
        <v>160</v>
      </c>
      <c r="AB46" s="1" t="s">
        <v>160</v>
      </c>
      <c r="AC46" s="1" t="s">
        <v>160</v>
      </c>
      <c r="AD46" s="1" t="s">
        <v>160</v>
      </c>
      <c r="AE46" s="1" t="s">
        <v>160</v>
      </c>
      <c r="AF46" s="1" t="s">
        <v>160</v>
      </c>
      <c r="AG46" s="1" t="s">
        <v>160</v>
      </c>
      <c r="AI46" s="1" t="s">
        <v>160</v>
      </c>
      <c r="AJ46" s="1" t="s">
        <v>192</v>
      </c>
      <c r="AK46" s="1" t="s">
        <v>198</v>
      </c>
      <c r="AL46" s="1" t="s">
        <v>164</v>
      </c>
      <c r="AM46" s="1" t="s">
        <v>164</v>
      </c>
      <c r="AN46" s="1" t="s">
        <v>192</v>
      </c>
      <c r="AO46" s="1" t="s">
        <v>179</v>
      </c>
      <c r="AP46" s="1" t="s">
        <v>165</v>
      </c>
      <c r="AR46" s="1" t="s">
        <v>160</v>
      </c>
      <c r="AS46" s="1" t="s">
        <v>160</v>
      </c>
      <c r="AT46" s="1" t="s">
        <v>180</v>
      </c>
      <c r="AU46" s="1" t="s">
        <v>159</v>
      </c>
      <c r="AV46" s="1" t="s">
        <v>159</v>
      </c>
      <c r="AW46" s="1" t="s">
        <v>160</v>
      </c>
      <c r="AX46" s="1" t="s">
        <v>159</v>
      </c>
      <c r="AY46" s="1" t="s">
        <v>159</v>
      </c>
      <c r="AZ46" s="1" t="s">
        <v>159</v>
      </c>
      <c r="BA46" s="1" t="s">
        <v>160</v>
      </c>
      <c r="BB46" s="1" t="s">
        <v>222</v>
      </c>
      <c r="BC46" s="1" t="s">
        <v>160</v>
      </c>
      <c r="BD46" s="1" t="s">
        <v>379</v>
      </c>
      <c r="BE46" s="1" t="s">
        <v>380</v>
      </c>
      <c r="BF46" s="1" t="s">
        <v>160</v>
      </c>
    </row>
    <row r="47" spans="1:58" ht="13" x14ac:dyDescent="0.15">
      <c r="A47" s="2">
        <v>44175.487500000003</v>
      </c>
      <c r="B47" s="2">
        <v>44175.488888888889</v>
      </c>
      <c r="C47" s="1" t="s">
        <v>39</v>
      </c>
      <c r="D47" s="1" t="s">
        <v>234</v>
      </c>
      <c r="E47" s="1">
        <v>100</v>
      </c>
      <c r="F47" s="1">
        <v>117</v>
      </c>
      <c r="G47" s="1" t="b">
        <v>1</v>
      </c>
      <c r="H47" s="2">
        <v>44175.488888888889</v>
      </c>
      <c r="I47" s="1" t="s">
        <v>381</v>
      </c>
      <c r="N47" s="1">
        <v>34.048492430000003</v>
      </c>
      <c r="O47" s="1">
        <v>-118.2528992</v>
      </c>
      <c r="P47" s="1" t="s">
        <v>153</v>
      </c>
      <c r="Q47" s="1" t="s">
        <v>154</v>
      </c>
      <c r="R47" s="1" t="s">
        <v>174</v>
      </c>
      <c r="S47" s="1" t="s">
        <v>274</v>
      </c>
      <c r="T47" s="1" t="s">
        <v>263</v>
      </c>
      <c r="U47" s="1" t="s">
        <v>382</v>
      </c>
      <c r="V47" s="1" t="s">
        <v>160</v>
      </c>
      <c r="W47" s="1" t="s">
        <v>160</v>
      </c>
      <c r="X47" s="1" t="s">
        <v>160</v>
      </c>
      <c r="Y47" s="1" t="s">
        <v>160</v>
      </c>
      <c r="Z47" s="1" t="s">
        <v>160</v>
      </c>
      <c r="AA47" s="1" t="s">
        <v>160</v>
      </c>
      <c r="AB47" s="1" t="s">
        <v>160</v>
      </c>
      <c r="AC47" s="1" t="s">
        <v>160</v>
      </c>
      <c r="AD47" s="1" t="s">
        <v>160</v>
      </c>
      <c r="AE47" s="1" t="s">
        <v>160</v>
      </c>
      <c r="AF47" s="1" t="s">
        <v>160</v>
      </c>
      <c r="AG47" s="1" t="s">
        <v>160</v>
      </c>
      <c r="AI47" s="1" t="s">
        <v>160</v>
      </c>
      <c r="AJ47" s="1" t="s">
        <v>198</v>
      </c>
      <c r="AK47" s="1" t="s">
        <v>164</v>
      </c>
      <c r="AL47" s="1" t="s">
        <v>198</v>
      </c>
      <c r="AM47" s="1" t="s">
        <v>192</v>
      </c>
      <c r="AN47" s="1" t="s">
        <v>192</v>
      </c>
      <c r="AO47" s="1" t="s">
        <v>179</v>
      </c>
      <c r="AP47" s="1" t="s">
        <v>179</v>
      </c>
      <c r="AR47" s="1" t="s">
        <v>160</v>
      </c>
      <c r="AS47" s="1" t="s">
        <v>160</v>
      </c>
      <c r="AT47" s="1" t="s">
        <v>383</v>
      </c>
      <c r="AU47" s="1" t="s">
        <v>159</v>
      </c>
      <c r="AV47" s="1" t="s">
        <v>160</v>
      </c>
      <c r="AW47" s="1" t="s">
        <v>159</v>
      </c>
      <c r="AX47" s="1" t="s">
        <v>159</v>
      </c>
      <c r="AY47" s="1" t="s">
        <v>160</v>
      </c>
      <c r="AZ47" s="1" t="s">
        <v>159</v>
      </c>
      <c r="BA47" s="1" t="s">
        <v>159</v>
      </c>
      <c r="BB47" s="1" t="s">
        <v>222</v>
      </c>
      <c r="BC47" s="1" t="s">
        <v>160</v>
      </c>
      <c r="BD47" s="1" t="s">
        <v>384</v>
      </c>
      <c r="BE47" s="1" t="s">
        <v>385</v>
      </c>
      <c r="BF47" s="1" t="s">
        <v>160</v>
      </c>
    </row>
    <row r="48" spans="1:58" ht="13" x14ac:dyDescent="0.15">
      <c r="A48" s="2">
        <v>44175.488888888889</v>
      </c>
      <c r="B48" s="2">
        <v>44175.490277777775</v>
      </c>
      <c r="C48" s="1" t="s">
        <v>39</v>
      </c>
      <c r="D48" s="1" t="s">
        <v>234</v>
      </c>
      <c r="E48" s="1">
        <v>100</v>
      </c>
      <c r="F48" s="1">
        <v>117</v>
      </c>
      <c r="G48" s="1" t="b">
        <v>1</v>
      </c>
      <c r="H48" s="2">
        <v>44175.490277777775</v>
      </c>
      <c r="I48" s="1" t="s">
        <v>386</v>
      </c>
      <c r="N48" s="1">
        <v>34.048492430000003</v>
      </c>
      <c r="O48" s="1">
        <v>-118.2528992</v>
      </c>
      <c r="P48" s="1" t="s">
        <v>153</v>
      </c>
      <c r="Q48" s="1" t="s">
        <v>154</v>
      </c>
      <c r="R48" s="1" t="s">
        <v>236</v>
      </c>
      <c r="S48" s="1" t="s">
        <v>310</v>
      </c>
      <c r="T48" s="1" t="s">
        <v>176</v>
      </c>
      <c r="U48" s="1" t="s">
        <v>269</v>
      </c>
      <c r="V48" s="1" t="s">
        <v>160</v>
      </c>
      <c r="W48" s="1" t="s">
        <v>160</v>
      </c>
      <c r="X48" s="1" t="s">
        <v>160</v>
      </c>
      <c r="Y48" s="1" t="s">
        <v>160</v>
      </c>
      <c r="Z48" s="1" t="s">
        <v>160</v>
      </c>
      <c r="AA48" s="1" t="s">
        <v>160</v>
      </c>
      <c r="AB48" s="1" t="s">
        <v>160</v>
      </c>
      <c r="AC48" s="1" t="s">
        <v>160</v>
      </c>
      <c r="AD48" s="1" t="s">
        <v>160</v>
      </c>
      <c r="AE48" s="1" t="s">
        <v>160</v>
      </c>
      <c r="AF48" s="1" t="s">
        <v>160</v>
      </c>
      <c r="AG48" s="1" t="s">
        <v>160</v>
      </c>
      <c r="AI48" s="1" t="s">
        <v>160</v>
      </c>
      <c r="AJ48" s="1" t="s">
        <v>192</v>
      </c>
      <c r="AK48" s="1" t="s">
        <v>164</v>
      </c>
      <c r="AL48" s="1" t="s">
        <v>198</v>
      </c>
      <c r="AM48" s="1" t="s">
        <v>198</v>
      </c>
      <c r="AN48" s="1" t="s">
        <v>198</v>
      </c>
      <c r="AO48" s="1" t="s">
        <v>179</v>
      </c>
      <c r="AP48" s="1" t="s">
        <v>165</v>
      </c>
      <c r="AR48" s="1" t="s">
        <v>160</v>
      </c>
      <c r="AS48" s="1" t="s">
        <v>160</v>
      </c>
      <c r="AT48" s="1" t="s">
        <v>387</v>
      </c>
      <c r="AU48" s="1" t="s">
        <v>160</v>
      </c>
      <c r="AV48" s="1" t="s">
        <v>159</v>
      </c>
      <c r="AW48" s="1" t="s">
        <v>160</v>
      </c>
      <c r="AX48" s="1" t="s">
        <v>159</v>
      </c>
      <c r="AY48" s="1" t="s">
        <v>160</v>
      </c>
      <c r="AZ48" s="1" t="s">
        <v>160</v>
      </c>
      <c r="BA48" s="1" t="s">
        <v>159</v>
      </c>
      <c r="BB48" s="1" t="s">
        <v>181</v>
      </c>
      <c r="BC48" s="1" t="s">
        <v>160</v>
      </c>
      <c r="BD48" s="1" t="s">
        <v>388</v>
      </c>
      <c r="BE48" s="1" t="s">
        <v>389</v>
      </c>
      <c r="BF48" s="1" t="s">
        <v>160</v>
      </c>
    </row>
    <row r="49" spans="1:58" ht="13" x14ac:dyDescent="0.15">
      <c r="A49" s="2">
        <v>44175.490277777775</v>
      </c>
      <c r="B49" s="2">
        <v>44175.491666666669</v>
      </c>
      <c r="C49" s="1" t="s">
        <v>39</v>
      </c>
      <c r="D49" s="1" t="s">
        <v>234</v>
      </c>
      <c r="E49" s="1">
        <v>100</v>
      </c>
      <c r="F49" s="1">
        <v>117</v>
      </c>
      <c r="G49" s="1" t="b">
        <v>1</v>
      </c>
      <c r="H49" s="2">
        <v>44175.491666666669</v>
      </c>
      <c r="I49" s="1" t="s">
        <v>390</v>
      </c>
      <c r="N49" s="1">
        <v>34.048492430000003</v>
      </c>
      <c r="O49" s="1">
        <v>-118.2528992</v>
      </c>
      <c r="P49" s="1" t="s">
        <v>153</v>
      </c>
      <c r="Q49" s="1" t="s">
        <v>154</v>
      </c>
      <c r="R49" s="1" t="s">
        <v>236</v>
      </c>
      <c r="S49" s="1" t="s">
        <v>175</v>
      </c>
      <c r="T49" s="1" t="s">
        <v>176</v>
      </c>
      <c r="U49" s="1" t="s">
        <v>391</v>
      </c>
      <c r="V49" s="1" t="s">
        <v>160</v>
      </c>
      <c r="W49" s="1" t="s">
        <v>160</v>
      </c>
      <c r="X49" s="1" t="s">
        <v>160</v>
      </c>
      <c r="Y49" s="1" t="s">
        <v>160</v>
      </c>
      <c r="Z49" s="1" t="s">
        <v>160</v>
      </c>
      <c r="AA49" s="1" t="s">
        <v>160</v>
      </c>
      <c r="AB49" s="1" t="s">
        <v>160</v>
      </c>
      <c r="AC49" s="1" t="s">
        <v>160</v>
      </c>
      <c r="AD49" s="1" t="s">
        <v>160</v>
      </c>
      <c r="AE49" s="1" t="s">
        <v>160</v>
      </c>
      <c r="AF49" s="1" t="s">
        <v>160</v>
      </c>
      <c r="AG49" s="1" t="s">
        <v>160</v>
      </c>
      <c r="AI49" s="1" t="s">
        <v>160</v>
      </c>
      <c r="AJ49" s="1" t="s">
        <v>198</v>
      </c>
      <c r="AK49" s="1" t="s">
        <v>198</v>
      </c>
      <c r="AL49" s="1" t="s">
        <v>164</v>
      </c>
      <c r="AM49" s="1" t="s">
        <v>192</v>
      </c>
      <c r="AN49" s="1" t="s">
        <v>164</v>
      </c>
      <c r="AO49" s="1" t="s">
        <v>179</v>
      </c>
      <c r="AP49" s="1" t="s">
        <v>179</v>
      </c>
      <c r="AR49" s="1" t="s">
        <v>160</v>
      </c>
      <c r="AS49" s="1" t="s">
        <v>160</v>
      </c>
      <c r="AT49" s="1" t="s">
        <v>392</v>
      </c>
      <c r="AU49" s="1" t="s">
        <v>160</v>
      </c>
      <c r="AV49" s="1" t="s">
        <v>159</v>
      </c>
      <c r="AW49" s="1" t="s">
        <v>160</v>
      </c>
      <c r="AX49" s="1" t="s">
        <v>160</v>
      </c>
      <c r="AY49" s="1" t="s">
        <v>160</v>
      </c>
      <c r="AZ49" s="1" t="s">
        <v>160</v>
      </c>
      <c r="BA49" s="1" t="s">
        <v>159</v>
      </c>
      <c r="BB49" s="1" t="s">
        <v>167</v>
      </c>
      <c r="BC49" s="1" t="s">
        <v>160</v>
      </c>
      <c r="BD49" s="1" t="s">
        <v>393</v>
      </c>
      <c r="BE49" s="1" t="s">
        <v>394</v>
      </c>
      <c r="BF49" s="1" t="s">
        <v>160</v>
      </c>
    </row>
    <row r="50" spans="1:58" ht="13" x14ac:dyDescent="0.15">
      <c r="A50" s="2">
        <v>44175.492361111108</v>
      </c>
      <c r="B50" s="2">
        <v>44175.493750000001</v>
      </c>
      <c r="C50" s="1" t="s">
        <v>39</v>
      </c>
      <c r="D50" s="1" t="s">
        <v>234</v>
      </c>
      <c r="E50" s="1">
        <v>100</v>
      </c>
      <c r="F50" s="1">
        <v>117</v>
      </c>
      <c r="G50" s="1" t="b">
        <v>1</v>
      </c>
      <c r="H50" s="2">
        <v>44175.493750000001</v>
      </c>
      <c r="I50" s="1" t="s">
        <v>395</v>
      </c>
      <c r="N50" s="1">
        <v>34.048492430000003</v>
      </c>
      <c r="O50" s="1">
        <v>-118.2528992</v>
      </c>
      <c r="P50" s="1" t="s">
        <v>153</v>
      </c>
      <c r="Q50" s="1" t="s">
        <v>154</v>
      </c>
      <c r="R50" s="1" t="s">
        <v>236</v>
      </c>
      <c r="S50" s="1" t="s">
        <v>226</v>
      </c>
      <c r="T50" s="1" t="s">
        <v>237</v>
      </c>
      <c r="U50" s="1" t="s">
        <v>396</v>
      </c>
      <c r="V50" s="1" t="s">
        <v>160</v>
      </c>
      <c r="W50" s="1" t="s">
        <v>160</v>
      </c>
      <c r="X50" s="1" t="s">
        <v>160</v>
      </c>
      <c r="Y50" s="1" t="s">
        <v>160</v>
      </c>
      <c r="Z50" s="1" t="s">
        <v>160</v>
      </c>
      <c r="AA50" s="1" t="s">
        <v>160</v>
      </c>
      <c r="AB50" s="1" t="s">
        <v>160</v>
      </c>
      <c r="AC50" s="1" t="s">
        <v>160</v>
      </c>
      <c r="AD50" s="1" t="s">
        <v>160</v>
      </c>
      <c r="AE50" s="1" t="s">
        <v>160</v>
      </c>
      <c r="AF50" s="1" t="s">
        <v>160</v>
      </c>
      <c r="AG50" s="1" t="s">
        <v>160</v>
      </c>
      <c r="AI50" s="1" t="s">
        <v>160</v>
      </c>
      <c r="AJ50" s="1" t="s">
        <v>192</v>
      </c>
      <c r="AK50" s="1" t="s">
        <v>163</v>
      </c>
      <c r="AL50" s="1" t="s">
        <v>164</v>
      </c>
      <c r="AM50" s="1" t="s">
        <v>163</v>
      </c>
      <c r="AN50" s="1" t="s">
        <v>198</v>
      </c>
      <c r="AO50" s="1" t="s">
        <v>179</v>
      </c>
      <c r="AP50" s="1" t="s">
        <v>239</v>
      </c>
      <c r="AR50" s="1" t="s">
        <v>160</v>
      </c>
      <c r="AS50" s="1" t="s">
        <v>160</v>
      </c>
      <c r="AT50" s="1" t="s">
        <v>397</v>
      </c>
      <c r="AU50" s="1" t="s">
        <v>159</v>
      </c>
      <c r="AV50" s="1" t="s">
        <v>159</v>
      </c>
      <c r="AW50" s="1" t="s">
        <v>159</v>
      </c>
      <c r="AX50" s="1" t="s">
        <v>160</v>
      </c>
      <c r="AY50" s="1" t="s">
        <v>160</v>
      </c>
      <c r="AZ50" s="1" t="s">
        <v>159</v>
      </c>
      <c r="BA50" s="1" t="s">
        <v>160</v>
      </c>
      <c r="BB50" s="1" t="s">
        <v>167</v>
      </c>
      <c r="BC50" s="1" t="s">
        <v>160</v>
      </c>
      <c r="BD50" s="1" t="s">
        <v>398</v>
      </c>
      <c r="BE50" s="1" t="s">
        <v>399</v>
      </c>
      <c r="BF50" s="1" t="s">
        <v>160</v>
      </c>
    </row>
    <row r="51" spans="1:58" ht="13" x14ac:dyDescent="0.15">
      <c r="A51" s="2">
        <v>44175.493750000001</v>
      </c>
      <c r="B51" s="2">
        <v>44175.495138888888</v>
      </c>
      <c r="C51" s="1" t="s">
        <v>39</v>
      </c>
      <c r="D51" s="1" t="s">
        <v>234</v>
      </c>
      <c r="E51" s="1">
        <v>100</v>
      </c>
      <c r="F51" s="1">
        <v>121</v>
      </c>
      <c r="G51" s="1" t="b">
        <v>1</v>
      </c>
      <c r="H51" s="2">
        <v>44175.495138888888</v>
      </c>
      <c r="I51" s="1" t="s">
        <v>400</v>
      </c>
      <c r="N51" s="1">
        <v>34.048492430000003</v>
      </c>
      <c r="O51" s="1">
        <v>-118.2528992</v>
      </c>
      <c r="P51" s="1" t="s">
        <v>153</v>
      </c>
      <c r="Q51" s="1" t="s">
        <v>154</v>
      </c>
      <c r="R51" s="1" t="s">
        <v>174</v>
      </c>
      <c r="S51" s="1" t="s">
        <v>274</v>
      </c>
      <c r="T51" s="1" t="s">
        <v>245</v>
      </c>
      <c r="U51" s="1" t="s">
        <v>401</v>
      </c>
      <c r="V51" s="1" t="s">
        <v>160</v>
      </c>
      <c r="W51" s="1" t="s">
        <v>160</v>
      </c>
      <c r="X51" s="1" t="s">
        <v>160</v>
      </c>
      <c r="Y51" s="1" t="s">
        <v>160</v>
      </c>
      <c r="Z51" s="1" t="s">
        <v>160</v>
      </c>
      <c r="AA51" s="1" t="s">
        <v>160</v>
      </c>
      <c r="AB51" s="1" t="s">
        <v>160</v>
      </c>
      <c r="AC51" s="1" t="s">
        <v>160</v>
      </c>
      <c r="AD51" s="1" t="s">
        <v>160</v>
      </c>
      <c r="AE51" s="1" t="s">
        <v>160</v>
      </c>
      <c r="AF51" s="1" t="s">
        <v>160</v>
      </c>
      <c r="AG51" s="1" t="s">
        <v>160</v>
      </c>
      <c r="AI51" s="1" t="s">
        <v>160</v>
      </c>
      <c r="AJ51" s="1" t="s">
        <v>198</v>
      </c>
      <c r="AK51" s="1" t="s">
        <v>164</v>
      </c>
      <c r="AL51" s="1" t="s">
        <v>164</v>
      </c>
      <c r="AM51" s="1" t="s">
        <v>164</v>
      </c>
      <c r="AN51" s="1" t="s">
        <v>163</v>
      </c>
      <c r="AO51" s="1" t="s">
        <v>179</v>
      </c>
      <c r="AP51" s="1" t="s">
        <v>179</v>
      </c>
      <c r="AR51" s="1" t="s">
        <v>160</v>
      </c>
      <c r="AS51" s="1" t="s">
        <v>160</v>
      </c>
      <c r="AT51" s="1" t="s">
        <v>402</v>
      </c>
      <c r="AU51" s="1" t="s">
        <v>159</v>
      </c>
      <c r="AV51" s="1" t="s">
        <v>160</v>
      </c>
      <c r="AW51" s="1" t="s">
        <v>159</v>
      </c>
      <c r="AX51" s="1" t="s">
        <v>159</v>
      </c>
      <c r="AY51" s="1" t="s">
        <v>159</v>
      </c>
      <c r="AZ51" s="1" t="s">
        <v>159</v>
      </c>
      <c r="BA51" s="1" t="s">
        <v>159</v>
      </c>
      <c r="BB51" s="1" t="s">
        <v>241</v>
      </c>
      <c r="BC51" s="1" t="s">
        <v>160</v>
      </c>
      <c r="BD51" s="1" t="s">
        <v>403</v>
      </c>
      <c r="BE51" s="1" t="s">
        <v>404</v>
      </c>
      <c r="BF51" s="1" t="s">
        <v>160</v>
      </c>
    </row>
    <row r="52" spans="1:58" ht="13" x14ac:dyDescent="0.15">
      <c r="A52" s="2">
        <v>44175.495138888888</v>
      </c>
      <c r="B52" s="2">
        <v>44175.496527777781</v>
      </c>
      <c r="C52" s="1" t="s">
        <v>39</v>
      </c>
      <c r="D52" s="1" t="s">
        <v>234</v>
      </c>
      <c r="E52" s="1">
        <v>100</v>
      </c>
      <c r="F52" s="1">
        <v>117</v>
      </c>
      <c r="G52" s="1" t="b">
        <v>1</v>
      </c>
      <c r="H52" s="2">
        <v>44175.496527777781</v>
      </c>
      <c r="I52" s="1" t="s">
        <v>405</v>
      </c>
      <c r="N52" s="1">
        <v>34.048492430000003</v>
      </c>
      <c r="O52" s="1">
        <v>-118.2528992</v>
      </c>
      <c r="P52" s="1" t="s">
        <v>153</v>
      </c>
      <c r="Q52" s="1" t="s">
        <v>154</v>
      </c>
      <c r="R52" s="1" t="s">
        <v>174</v>
      </c>
      <c r="S52" s="1" t="s">
        <v>208</v>
      </c>
      <c r="T52" s="1" t="s">
        <v>263</v>
      </c>
      <c r="U52" s="1" t="s">
        <v>406</v>
      </c>
      <c r="V52" s="1" t="s">
        <v>160</v>
      </c>
      <c r="W52" s="1" t="s">
        <v>160</v>
      </c>
      <c r="X52" s="1" t="s">
        <v>160</v>
      </c>
      <c r="Y52" s="1" t="s">
        <v>160</v>
      </c>
      <c r="Z52" s="1" t="s">
        <v>160</v>
      </c>
      <c r="AA52" s="1" t="s">
        <v>160</v>
      </c>
      <c r="AB52" s="1" t="s">
        <v>160</v>
      </c>
      <c r="AC52" s="1" t="s">
        <v>160</v>
      </c>
      <c r="AD52" s="1" t="s">
        <v>160</v>
      </c>
      <c r="AE52" s="1" t="s">
        <v>160</v>
      </c>
      <c r="AF52" s="1" t="s">
        <v>160</v>
      </c>
      <c r="AG52" s="1" t="s">
        <v>160</v>
      </c>
      <c r="AI52" s="1" t="s">
        <v>160</v>
      </c>
      <c r="AJ52" s="1" t="s">
        <v>192</v>
      </c>
      <c r="AK52" s="1" t="s">
        <v>198</v>
      </c>
      <c r="AL52" s="1" t="s">
        <v>192</v>
      </c>
      <c r="AM52" s="1" t="s">
        <v>163</v>
      </c>
      <c r="AN52" s="1" t="s">
        <v>163</v>
      </c>
      <c r="AO52" s="1" t="s">
        <v>179</v>
      </c>
      <c r="AP52" s="1" t="s">
        <v>165</v>
      </c>
      <c r="AR52" s="1" t="s">
        <v>160</v>
      </c>
      <c r="AS52" s="1" t="s">
        <v>160</v>
      </c>
      <c r="AT52" s="1" t="s">
        <v>210</v>
      </c>
      <c r="AU52" s="1" t="s">
        <v>159</v>
      </c>
      <c r="AV52" s="1" t="s">
        <v>160</v>
      </c>
      <c r="AW52" s="1" t="s">
        <v>160</v>
      </c>
      <c r="AX52" s="1" t="s">
        <v>160</v>
      </c>
      <c r="AY52" s="1" t="s">
        <v>160</v>
      </c>
      <c r="AZ52" s="1" t="s">
        <v>159</v>
      </c>
      <c r="BA52" s="1" t="s">
        <v>159</v>
      </c>
      <c r="BB52" s="1" t="s">
        <v>181</v>
      </c>
      <c r="BC52" s="1" t="s">
        <v>160</v>
      </c>
      <c r="BD52" s="1" t="s">
        <v>407</v>
      </c>
      <c r="BE52" s="1" t="s">
        <v>408</v>
      </c>
      <c r="BF52" s="1" t="s">
        <v>160</v>
      </c>
    </row>
    <row r="53" spans="1:58" ht="13" x14ac:dyDescent="0.15">
      <c r="A53" s="2">
        <v>44175.49722222222</v>
      </c>
      <c r="B53" s="2">
        <v>44175.498611111114</v>
      </c>
      <c r="C53" s="1" t="s">
        <v>39</v>
      </c>
      <c r="D53" s="1" t="s">
        <v>234</v>
      </c>
      <c r="E53" s="1">
        <v>100</v>
      </c>
      <c r="F53" s="1">
        <v>117</v>
      </c>
      <c r="G53" s="1" t="b">
        <v>1</v>
      </c>
      <c r="H53" s="2">
        <v>44175.498611111114</v>
      </c>
      <c r="I53" s="1" t="s">
        <v>409</v>
      </c>
      <c r="N53" s="1">
        <v>34.048492430000003</v>
      </c>
      <c r="O53" s="1">
        <v>-118.2528992</v>
      </c>
      <c r="P53" s="1" t="s">
        <v>153</v>
      </c>
      <c r="Q53" s="1" t="s">
        <v>154</v>
      </c>
      <c r="R53" s="1" t="s">
        <v>236</v>
      </c>
      <c r="S53" s="1" t="s">
        <v>175</v>
      </c>
      <c r="T53" s="1" t="s">
        <v>176</v>
      </c>
      <c r="U53" s="1" t="s">
        <v>410</v>
      </c>
      <c r="V53" s="1" t="s">
        <v>160</v>
      </c>
      <c r="W53" s="1" t="s">
        <v>160</v>
      </c>
      <c r="X53" s="1" t="s">
        <v>160</v>
      </c>
      <c r="Y53" s="1" t="s">
        <v>160</v>
      </c>
      <c r="Z53" s="1" t="s">
        <v>160</v>
      </c>
      <c r="AA53" s="1" t="s">
        <v>160</v>
      </c>
      <c r="AB53" s="1" t="s">
        <v>160</v>
      </c>
      <c r="AC53" s="1" t="s">
        <v>160</v>
      </c>
      <c r="AD53" s="1" t="s">
        <v>160</v>
      </c>
      <c r="AE53" s="1" t="s">
        <v>160</v>
      </c>
      <c r="AF53" s="1" t="s">
        <v>160</v>
      </c>
      <c r="AG53" s="1" t="s">
        <v>160</v>
      </c>
      <c r="AI53" s="1" t="s">
        <v>160</v>
      </c>
      <c r="AJ53" s="1" t="s">
        <v>192</v>
      </c>
      <c r="AK53" s="1" t="s">
        <v>163</v>
      </c>
      <c r="AL53" s="1" t="s">
        <v>192</v>
      </c>
      <c r="AM53" s="1" t="s">
        <v>192</v>
      </c>
      <c r="AN53" s="1" t="s">
        <v>163</v>
      </c>
      <c r="AO53" s="1" t="s">
        <v>179</v>
      </c>
      <c r="AP53" s="1" t="s">
        <v>239</v>
      </c>
      <c r="AR53" s="1" t="s">
        <v>160</v>
      </c>
      <c r="AS53" s="1" t="s">
        <v>160</v>
      </c>
      <c r="AT53" s="1" t="s">
        <v>411</v>
      </c>
      <c r="AU53" s="1" t="s">
        <v>159</v>
      </c>
      <c r="AV53" s="1" t="s">
        <v>160</v>
      </c>
      <c r="AW53" s="1" t="s">
        <v>159</v>
      </c>
      <c r="AX53" s="1" t="s">
        <v>160</v>
      </c>
      <c r="AY53" s="1" t="s">
        <v>160</v>
      </c>
      <c r="AZ53" s="1" t="s">
        <v>160</v>
      </c>
      <c r="BA53" s="1" t="s">
        <v>160</v>
      </c>
      <c r="BB53" s="1" t="s">
        <v>181</v>
      </c>
      <c r="BC53" s="1" t="s">
        <v>160</v>
      </c>
      <c r="BD53" s="1" t="s">
        <v>412</v>
      </c>
      <c r="BE53" s="1" t="s">
        <v>413</v>
      </c>
      <c r="BF53" s="1" t="s">
        <v>160</v>
      </c>
    </row>
    <row r="54" spans="1:58" ht="13" x14ac:dyDescent="0.15">
      <c r="A54" s="2">
        <v>44175.498611111114</v>
      </c>
      <c r="B54" s="2">
        <v>44175.5</v>
      </c>
      <c r="C54" s="1" t="s">
        <v>39</v>
      </c>
      <c r="D54" s="1" t="s">
        <v>234</v>
      </c>
      <c r="E54" s="1">
        <v>100</v>
      </c>
      <c r="F54" s="1">
        <v>111</v>
      </c>
      <c r="G54" s="1" t="b">
        <v>1</v>
      </c>
      <c r="H54" s="2">
        <v>44175.5</v>
      </c>
      <c r="I54" s="1" t="s">
        <v>414</v>
      </c>
      <c r="N54" s="1">
        <v>34.048492430000003</v>
      </c>
      <c r="O54" s="1">
        <v>-118.2528992</v>
      </c>
      <c r="P54" s="1" t="s">
        <v>153</v>
      </c>
      <c r="Q54" s="1" t="s">
        <v>154</v>
      </c>
      <c r="R54" s="1" t="s">
        <v>174</v>
      </c>
      <c r="S54" s="1" t="s">
        <v>175</v>
      </c>
      <c r="T54" s="1" t="s">
        <v>263</v>
      </c>
      <c r="U54" s="1" t="s">
        <v>415</v>
      </c>
      <c r="V54" s="1" t="s">
        <v>160</v>
      </c>
      <c r="W54" s="1" t="s">
        <v>159</v>
      </c>
      <c r="AA54" s="1" t="s">
        <v>160</v>
      </c>
      <c r="AB54" s="1" t="s">
        <v>159</v>
      </c>
      <c r="AE54" s="1" t="s">
        <v>159</v>
      </c>
      <c r="AG54" s="1" t="s">
        <v>159</v>
      </c>
      <c r="AJ54" s="1" t="s">
        <v>162</v>
      </c>
      <c r="AK54" s="1" t="s">
        <v>163</v>
      </c>
      <c r="AL54" s="1" t="s">
        <v>163</v>
      </c>
      <c r="AM54" s="1" t="s">
        <v>192</v>
      </c>
    </row>
    <row r="55" spans="1:58" ht="13" x14ac:dyDescent="0.15">
      <c r="A55" s="2">
        <v>44175.498611111114</v>
      </c>
      <c r="B55" s="2">
        <v>44175.501388888886</v>
      </c>
      <c r="C55" s="1" t="s">
        <v>39</v>
      </c>
      <c r="D55" s="1" t="s">
        <v>416</v>
      </c>
      <c r="E55" s="1">
        <v>100</v>
      </c>
      <c r="F55" s="1">
        <v>182</v>
      </c>
      <c r="G55" s="1" t="b">
        <v>1</v>
      </c>
      <c r="H55" s="2">
        <v>44175.501388888886</v>
      </c>
      <c r="I55" s="1" t="s">
        <v>417</v>
      </c>
      <c r="N55" s="1">
        <v>22.333297730000002</v>
      </c>
      <c r="O55" s="1">
        <v>114.1832886</v>
      </c>
      <c r="P55" s="1" t="s">
        <v>305</v>
      </c>
      <c r="Q55" s="1" t="s">
        <v>154</v>
      </c>
      <c r="R55" s="1" t="s">
        <v>174</v>
      </c>
      <c r="S55" s="1" t="s">
        <v>274</v>
      </c>
      <c r="T55" s="1" t="s">
        <v>157</v>
      </c>
      <c r="U55" s="1" t="s">
        <v>418</v>
      </c>
      <c r="V55" s="1" t="s">
        <v>160</v>
      </c>
      <c r="W55" s="1" t="s">
        <v>160</v>
      </c>
      <c r="X55" s="1" t="s">
        <v>160</v>
      </c>
      <c r="Y55" s="1" t="s">
        <v>160</v>
      </c>
      <c r="Z55" s="1" t="s">
        <v>159</v>
      </c>
      <c r="AA55" s="1" t="s">
        <v>160</v>
      </c>
      <c r="AB55" s="1" t="s">
        <v>159</v>
      </c>
      <c r="AC55" s="1" t="s">
        <v>160</v>
      </c>
      <c r="AD55" s="1" t="s">
        <v>159</v>
      </c>
      <c r="AE55" s="1" t="s">
        <v>159</v>
      </c>
      <c r="AF55" s="1" t="s">
        <v>159</v>
      </c>
      <c r="AG55" s="1" t="s">
        <v>160</v>
      </c>
      <c r="AH55" s="1">
        <v>0</v>
      </c>
      <c r="AI55" s="1" t="s">
        <v>160</v>
      </c>
      <c r="AJ55" s="1" t="s">
        <v>192</v>
      </c>
      <c r="AK55" s="1" t="s">
        <v>163</v>
      </c>
      <c r="AL55" s="1" t="s">
        <v>192</v>
      </c>
      <c r="AM55" s="1" t="s">
        <v>163</v>
      </c>
      <c r="AN55" s="1" t="s">
        <v>164</v>
      </c>
      <c r="AO55" s="1" t="s">
        <v>179</v>
      </c>
      <c r="AP55" s="1" t="s">
        <v>179</v>
      </c>
      <c r="AQ55" s="1">
        <v>1996</v>
      </c>
      <c r="AR55" s="1" t="s">
        <v>160</v>
      </c>
      <c r="AS55" s="1" t="s">
        <v>159</v>
      </c>
      <c r="AT55" s="1" t="s">
        <v>180</v>
      </c>
      <c r="AU55" s="1" t="s">
        <v>159</v>
      </c>
      <c r="AV55" s="1" t="s">
        <v>159</v>
      </c>
      <c r="AW55" s="1" t="s">
        <v>160</v>
      </c>
      <c r="AX55" s="1" t="s">
        <v>159</v>
      </c>
      <c r="AY55" s="1" t="s">
        <v>159</v>
      </c>
      <c r="AZ55" s="1" t="s">
        <v>159</v>
      </c>
      <c r="BA55" s="1" t="s">
        <v>159</v>
      </c>
      <c r="BB55" s="1" t="s">
        <v>167</v>
      </c>
      <c r="BC55" s="1" t="s">
        <v>159</v>
      </c>
      <c r="BD55" s="1" t="s">
        <v>419</v>
      </c>
      <c r="BE55" s="1" t="s">
        <v>420</v>
      </c>
      <c r="BF55" s="1" t="s">
        <v>159</v>
      </c>
    </row>
    <row r="56" spans="1:58" ht="13" x14ac:dyDescent="0.15">
      <c r="A56" s="2">
        <v>44175.5</v>
      </c>
      <c r="B56" s="2">
        <v>44175.501388888886</v>
      </c>
      <c r="C56" s="1" t="s">
        <v>39</v>
      </c>
      <c r="D56" s="1" t="s">
        <v>234</v>
      </c>
      <c r="E56" s="1">
        <v>100</v>
      </c>
      <c r="F56" s="1">
        <v>117</v>
      </c>
      <c r="G56" s="1" t="b">
        <v>1</v>
      </c>
      <c r="H56" s="2">
        <v>44175.501388888886</v>
      </c>
      <c r="I56" s="1" t="s">
        <v>421</v>
      </c>
      <c r="N56" s="1">
        <v>34.048492430000003</v>
      </c>
      <c r="O56" s="1">
        <v>-118.2528992</v>
      </c>
      <c r="P56" s="1" t="s">
        <v>153</v>
      </c>
      <c r="Q56" s="1" t="s">
        <v>154</v>
      </c>
      <c r="R56" s="1" t="s">
        <v>236</v>
      </c>
      <c r="S56" s="1" t="s">
        <v>175</v>
      </c>
      <c r="T56" s="1" t="s">
        <v>245</v>
      </c>
      <c r="U56" s="1" t="s">
        <v>422</v>
      </c>
      <c r="V56" s="1" t="s">
        <v>160</v>
      </c>
      <c r="W56" s="1" t="s">
        <v>160</v>
      </c>
      <c r="X56" s="1" t="s">
        <v>160</v>
      </c>
      <c r="Y56" s="1" t="s">
        <v>160</v>
      </c>
      <c r="Z56" s="1" t="s">
        <v>160</v>
      </c>
      <c r="AA56" s="1" t="s">
        <v>160</v>
      </c>
      <c r="AB56" s="1" t="s">
        <v>160</v>
      </c>
      <c r="AC56" s="1" t="s">
        <v>160</v>
      </c>
      <c r="AD56" s="1" t="s">
        <v>160</v>
      </c>
      <c r="AE56" s="1" t="s">
        <v>160</v>
      </c>
      <c r="AF56" s="1" t="s">
        <v>160</v>
      </c>
      <c r="AG56" s="1" t="s">
        <v>160</v>
      </c>
      <c r="AI56" s="1" t="s">
        <v>160</v>
      </c>
      <c r="AJ56" s="1" t="s">
        <v>164</v>
      </c>
      <c r="AK56" s="1" t="s">
        <v>192</v>
      </c>
      <c r="AL56" s="1" t="s">
        <v>164</v>
      </c>
      <c r="AM56" s="1" t="s">
        <v>198</v>
      </c>
      <c r="AN56" s="1" t="s">
        <v>192</v>
      </c>
      <c r="AO56" s="1" t="s">
        <v>179</v>
      </c>
      <c r="AP56" s="1" t="s">
        <v>165</v>
      </c>
      <c r="AR56" s="1" t="s">
        <v>160</v>
      </c>
      <c r="AS56" s="1" t="s">
        <v>160</v>
      </c>
      <c r="AT56" s="1" t="s">
        <v>423</v>
      </c>
      <c r="AU56" s="1" t="s">
        <v>159</v>
      </c>
      <c r="AV56" s="1" t="s">
        <v>160</v>
      </c>
      <c r="AW56" s="1" t="s">
        <v>160</v>
      </c>
      <c r="AX56" s="1" t="s">
        <v>159</v>
      </c>
      <c r="AY56" s="1" t="s">
        <v>159</v>
      </c>
      <c r="AZ56" s="1" t="s">
        <v>159</v>
      </c>
      <c r="BA56" s="1" t="s">
        <v>160</v>
      </c>
      <c r="BB56" s="1" t="s">
        <v>241</v>
      </c>
      <c r="BC56" s="1" t="s">
        <v>160</v>
      </c>
      <c r="BD56" s="1" t="s">
        <v>424</v>
      </c>
      <c r="BE56" s="1" t="s">
        <v>425</v>
      </c>
      <c r="BF56" s="1" t="s">
        <v>160</v>
      </c>
    </row>
    <row r="57" spans="1:58" ht="13" x14ac:dyDescent="0.15">
      <c r="A57" s="2">
        <v>44175.502083333333</v>
      </c>
      <c r="B57" s="2">
        <v>44175.503472222219</v>
      </c>
      <c r="C57" s="1" t="s">
        <v>39</v>
      </c>
      <c r="D57" s="1" t="s">
        <v>234</v>
      </c>
      <c r="E57" s="1">
        <v>100</v>
      </c>
      <c r="F57" s="1">
        <v>116</v>
      </c>
      <c r="G57" s="1" t="b">
        <v>1</v>
      </c>
      <c r="H57" s="2">
        <v>44175.503472222219</v>
      </c>
      <c r="I57" s="1" t="s">
        <v>426</v>
      </c>
      <c r="N57" s="1">
        <v>34.048492430000003</v>
      </c>
      <c r="O57" s="1">
        <v>-118.2528992</v>
      </c>
      <c r="P57" s="1" t="s">
        <v>153</v>
      </c>
      <c r="Q57" s="1" t="s">
        <v>154</v>
      </c>
      <c r="R57" s="1" t="s">
        <v>155</v>
      </c>
      <c r="S57" s="1" t="s">
        <v>208</v>
      </c>
      <c r="T57" s="1" t="s">
        <v>237</v>
      </c>
      <c r="U57" s="1" t="s">
        <v>427</v>
      </c>
      <c r="V57" s="1" t="s">
        <v>160</v>
      </c>
      <c r="W57" s="1" t="s">
        <v>160</v>
      </c>
      <c r="X57" s="1" t="s">
        <v>160</v>
      </c>
      <c r="Y57" s="1" t="s">
        <v>160</v>
      </c>
      <c r="Z57" s="1" t="s">
        <v>160</v>
      </c>
      <c r="AA57" s="1" t="s">
        <v>160</v>
      </c>
      <c r="AB57" s="1" t="s">
        <v>160</v>
      </c>
      <c r="AC57" s="1" t="s">
        <v>160</v>
      </c>
      <c r="AD57" s="1" t="s">
        <v>160</v>
      </c>
      <c r="AE57" s="1" t="s">
        <v>160</v>
      </c>
      <c r="AF57" s="1" t="s">
        <v>160</v>
      </c>
      <c r="AG57" s="1" t="s">
        <v>160</v>
      </c>
      <c r="AI57" s="1" t="s">
        <v>160</v>
      </c>
      <c r="AJ57" s="1" t="s">
        <v>198</v>
      </c>
      <c r="AK57" s="1" t="s">
        <v>192</v>
      </c>
      <c r="AL57" s="1" t="s">
        <v>198</v>
      </c>
      <c r="AM57" s="1" t="s">
        <v>163</v>
      </c>
      <c r="AN57" s="1" t="s">
        <v>163</v>
      </c>
      <c r="AO57" s="1" t="s">
        <v>179</v>
      </c>
      <c r="AP57" s="1" t="s">
        <v>165</v>
      </c>
      <c r="AR57" s="1" t="s">
        <v>160</v>
      </c>
      <c r="AS57" s="1" t="s">
        <v>160</v>
      </c>
      <c r="AT57" s="1" t="s">
        <v>281</v>
      </c>
      <c r="AU57" s="1" t="s">
        <v>159</v>
      </c>
      <c r="AV57" s="1" t="s">
        <v>160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159</v>
      </c>
      <c r="BB57" s="1" t="s">
        <v>222</v>
      </c>
      <c r="BC57" s="1" t="s">
        <v>160</v>
      </c>
      <c r="BD57" s="1" t="s">
        <v>428</v>
      </c>
      <c r="BE57" s="1" t="s">
        <v>429</v>
      </c>
      <c r="BF57" s="1" t="s">
        <v>160</v>
      </c>
    </row>
    <row r="58" spans="1:58" ht="13" x14ac:dyDescent="0.15">
      <c r="A58" s="2">
        <v>44175.503472222219</v>
      </c>
      <c r="B58" s="2">
        <v>44175.504861111112</v>
      </c>
      <c r="C58" s="1" t="s">
        <v>39</v>
      </c>
      <c r="D58" s="1" t="s">
        <v>234</v>
      </c>
      <c r="E58" s="1">
        <v>100</v>
      </c>
      <c r="F58" s="1">
        <v>117</v>
      </c>
      <c r="G58" s="1" t="b">
        <v>1</v>
      </c>
      <c r="H58" s="2">
        <v>44175.504861111112</v>
      </c>
      <c r="I58" s="1" t="s">
        <v>430</v>
      </c>
      <c r="N58" s="1">
        <v>34.048492430000003</v>
      </c>
      <c r="O58" s="1">
        <v>-118.2528992</v>
      </c>
      <c r="P58" s="1" t="s">
        <v>153</v>
      </c>
      <c r="Q58" s="1" t="s">
        <v>154</v>
      </c>
      <c r="R58" s="1" t="s">
        <v>174</v>
      </c>
      <c r="S58" s="1" t="s">
        <v>226</v>
      </c>
      <c r="T58" s="1" t="s">
        <v>176</v>
      </c>
      <c r="U58" s="1" t="s">
        <v>431</v>
      </c>
      <c r="V58" s="1" t="s">
        <v>160</v>
      </c>
      <c r="W58" s="1" t="s">
        <v>160</v>
      </c>
      <c r="X58" s="1" t="s">
        <v>160</v>
      </c>
      <c r="Y58" s="1" t="s">
        <v>160</v>
      </c>
      <c r="Z58" s="1" t="s">
        <v>160</v>
      </c>
      <c r="AA58" s="1" t="s">
        <v>160</v>
      </c>
      <c r="AB58" s="1" t="s">
        <v>160</v>
      </c>
      <c r="AC58" s="1" t="s">
        <v>160</v>
      </c>
      <c r="AD58" s="1" t="s">
        <v>160</v>
      </c>
      <c r="AE58" s="1" t="s">
        <v>160</v>
      </c>
      <c r="AF58" s="1" t="s">
        <v>160</v>
      </c>
      <c r="AG58" s="1" t="s">
        <v>160</v>
      </c>
      <c r="AI58" s="1" t="s">
        <v>160</v>
      </c>
      <c r="AJ58" s="1" t="s">
        <v>163</v>
      </c>
      <c r="AK58" s="1" t="s">
        <v>198</v>
      </c>
      <c r="AL58" s="1" t="s">
        <v>192</v>
      </c>
      <c r="AM58" s="1" t="s">
        <v>198</v>
      </c>
      <c r="AN58" s="1" t="s">
        <v>163</v>
      </c>
      <c r="AO58" s="1" t="s">
        <v>179</v>
      </c>
      <c r="AP58" s="1" t="s">
        <v>179</v>
      </c>
      <c r="AR58" s="1" t="s">
        <v>160</v>
      </c>
      <c r="AS58" s="1" t="s">
        <v>160</v>
      </c>
      <c r="AT58" s="1" t="s">
        <v>432</v>
      </c>
      <c r="AU58" s="1" t="s">
        <v>160</v>
      </c>
      <c r="AV58" s="1" t="s">
        <v>159</v>
      </c>
      <c r="AW58" s="1" t="s">
        <v>160</v>
      </c>
      <c r="AX58" s="1" t="s">
        <v>160</v>
      </c>
      <c r="AY58" s="1" t="s">
        <v>159</v>
      </c>
      <c r="AZ58" s="1" t="s">
        <v>160</v>
      </c>
      <c r="BA58" s="1" t="s">
        <v>160</v>
      </c>
      <c r="BB58" s="1" t="s">
        <v>222</v>
      </c>
      <c r="BC58" s="1" t="s">
        <v>160</v>
      </c>
      <c r="BD58" s="1" t="s">
        <v>433</v>
      </c>
      <c r="BE58" s="1" t="s">
        <v>434</v>
      </c>
      <c r="BF58" s="1" t="s">
        <v>160</v>
      </c>
    </row>
    <row r="59" spans="1:58" ht="13" x14ac:dyDescent="0.15">
      <c r="A59" s="2">
        <v>44175.504861111112</v>
      </c>
      <c r="B59" s="2">
        <v>44175.506249999999</v>
      </c>
      <c r="C59" s="1" t="s">
        <v>39</v>
      </c>
      <c r="D59" s="1" t="s">
        <v>234</v>
      </c>
      <c r="E59" s="1">
        <v>100</v>
      </c>
      <c r="F59" s="1">
        <v>116</v>
      </c>
      <c r="G59" s="1" t="b">
        <v>1</v>
      </c>
      <c r="H59" s="2">
        <v>44175.506249999999</v>
      </c>
      <c r="I59" s="1" t="s">
        <v>435</v>
      </c>
      <c r="N59" s="1">
        <v>34.048492430000003</v>
      </c>
      <c r="O59" s="1">
        <v>-118.2528992</v>
      </c>
      <c r="P59" s="1" t="s">
        <v>153</v>
      </c>
      <c r="Q59" s="1" t="s">
        <v>154</v>
      </c>
      <c r="R59" s="1" t="s">
        <v>155</v>
      </c>
      <c r="S59" s="1" t="s">
        <v>208</v>
      </c>
      <c r="T59" s="1" t="s">
        <v>263</v>
      </c>
      <c r="U59" s="1" t="s">
        <v>436</v>
      </c>
      <c r="V59" s="1" t="s">
        <v>160</v>
      </c>
      <c r="W59" s="1" t="s">
        <v>160</v>
      </c>
      <c r="X59" s="1" t="s">
        <v>160</v>
      </c>
      <c r="Y59" s="1" t="s">
        <v>160</v>
      </c>
      <c r="Z59" s="1" t="s">
        <v>160</v>
      </c>
      <c r="AA59" s="1" t="s">
        <v>160</v>
      </c>
      <c r="AB59" s="1" t="s">
        <v>160</v>
      </c>
      <c r="AC59" s="1" t="s">
        <v>160</v>
      </c>
      <c r="AD59" s="1" t="s">
        <v>160</v>
      </c>
      <c r="AE59" s="1" t="s">
        <v>160</v>
      </c>
      <c r="AF59" s="1" t="s">
        <v>160</v>
      </c>
      <c r="AG59" s="1" t="s">
        <v>160</v>
      </c>
      <c r="AI59" s="1" t="s">
        <v>160</v>
      </c>
      <c r="AJ59" s="1" t="s">
        <v>164</v>
      </c>
      <c r="AK59" s="1" t="s">
        <v>192</v>
      </c>
      <c r="AL59" s="1" t="s">
        <v>164</v>
      </c>
      <c r="AM59" s="1" t="s">
        <v>163</v>
      </c>
      <c r="AN59" s="1" t="s">
        <v>192</v>
      </c>
      <c r="AO59" s="1" t="s">
        <v>179</v>
      </c>
      <c r="AP59" s="1" t="s">
        <v>239</v>
      </c>
      <c r="AR59" s="1" t="s">
        <v>160</v>
      </c>
      <c r="AS59" s="1" t="s">
        <v>160</v>
      </c>
      <c r="AT59" s="1" t="s">
        <v>437</v>
      </c>
      <c r="AU59" s="1" t="s">
        <v>160</v>
      </c>
      <c r="AV59" s="1" t="s">
        <v>160</v>
      </c>
      <c r="AW59" s="1" t="s">
        <v>160</v>
      </c>
      <c r="AX59" s="1" t="s">
        <v>159</v>
      </c>
      <c r="AY59" s="1" t="s">
        <v>160</v>
      </c>
      <c r="AZ59" s="1" t="s">
        <v>159</v>
      </c>
      <c r="BA59" s="1" t="s">
        <v>160</v>
      </c>
      <c r="BB59" s="1" t="s">
        <v>167</v>
      </c>
      <c r="BC59" s="1" t="s">
        <v>160</v>
      </c>
      <c r="BD59" s="1" t="s">
        <v>438</v>
      </c>
      <c r="BE59" s="1" t="s">
        <v>439</v>
      </c>
      <c r="BF59" s="1" t="s">
        <v>160</v>
      </c>
    </row>
    <row r="60" spans="1:58" ht="13" x14ac:dyDescent="0.15">
      <c r="A60" s="2">
        <v>44175.506944444445</v>
      </c>
      <c r="B60" s="2">
        <v>44175.507638888892</v>
      </c>
      <c r="C60" s="1" t="s">
        <v>39</v>
      </c>
      <c r="D60" s="1" t="s">
        <v>234</v>
      </c>
      <c r="E60" s="1">
        <v>100</v>
      </c>
      <c r="F60" s="1">
        <v>116</v>
      </c>
      <c r="G60" s="1" t="b">
        <v>1</v>
      </c>
      <c r="H60" s="2">
        <v>44175.508333333331</v>
      </c>
      <c r="I60" s="1" t="s">
        <v>440</v>
      </c>
      <c r="N60" s="1">
        <v>34.048492430000003</v>
      </c>
      <c r="O60" s="1">
        <v>-118.2528992</v>
      </c>
      <c r="P60" s="1" t="s">
        <v>153</v>
      </c>
      <c r="Q60" s="1" t="s">
        <v>154</v>
      </c>
      <c r="R60" s="1" t="s">
        <v>174</v>
      </c>
      <c r="S60" s="1" t="s">
        <v>226</v>
      </c>
      <c r="T60" s="1" t="s">
        <v>237</v>
      </c>
      <c r="U60" s="1" t="s">
        <v>441</v>
      </c>
      <c r="V60" s="1" t="s">
        <v>160</v>
      </c>
      <c r="W60" s="1" t="s">
        <v>160</v>
      </c>
      <c r="X60" s="1" t="s">
        <v>160</v>
      </c>
      <c r="Y60" s="1" t="s">
        <v>160</v>
      </c>
      <c r="Z60" s="1" t="s">
        <v>160</v>
      </c>
      <c r="AA60" s="1" t="s">
        <v>160</v>
      </c>
      <c r="AB60" s="1" t="s">
        <v>160</v>
      </c>
      <c r="AC60" s="1" t="s">
        <v>160</v>
      </c>
      <c r="AD60" s="1" t="s">
        <v>160</v>
      </c>
      <c r="AE60" s="1" t="s">
        <v>160</v>
      </c>
      <c r="AF60" s="1" t="s">
        <v>160</v>
      </c>
      <c r="AG60" s="1" t="s">
        <v>160</v>
      </c>
      <c r="AI60" s="1" t="s">
        <v>160</v>
      </c>
      <c r="AJ60" s="1" t="s">
        <v>163</v>
      </c>
      <c r="AK60" s="1" t="s">
        <v>192</v>
      </c>
      <c r="AL60" s="1" t="s">
        <v>198</v>
      </c>
      <c r="AM60" s="1" t="s">
        <v>163</v>
      </c>
      <c r="AN60" s="1" t="s">
        <v>198</v>
      </c>
      <c r="AO60" s="1" t="s">
        <v>179</v>
      </c>
      <c r="AP60" s="1" t="s">
        <v>179</v>
      </c>
      <c r="AR60" s="1" t="s">
        <v>160</v>
      </c>
      <c r="AS60" s="1" t="s">
        <v>160</v>
      </c>
      <c r="AT60" s="1" t="s">
        <v>327</v>
      </c>
      <c r="AU60" s="1" t="s">
        <v>159</v>
      </c>
      <c r="AV60" s="1" t="s">
        <v>159</v>
      </c>
      <c r="AW60" s="1" t="s">
        <v>159</v>
      </c>
      <c r="AX60" s="1" t="s">
        <v>160</v>
      </c>
      <c r="AY60" s="1" t="s">
        <v>160</v>
      </c>
      <c r="AZ60" s="1" t="s">
        <v>159</v>
      </c>
      <c r="BA60" s="1" t="s">
        <v>159</v>
      </c>
      <c r="BB60" s="1" t="s">
        <v>241</v>
      </c>
      <c r="BC60" s="1" t="s">
        <v>160</v>
      </c>
      <c r="BD60" s="1" t="s">
        <v>442</v>
      </c>
      <c r="BE60" s="1" t="s">
        <v>443</v>
      </c>
      <c r="BF60" s="1" t="s">
        <v>160</v>
      </c>
    </row>
    <row r="61" spans="1:58" ht="13" x14ac:dyDescent="0.15">
      <c r="A61" s="2">
        <v>44175.508333333331</v>
      </c>
      <c r="B61" s="2">
        <v>44175.509722222225</v>
      </c>
      <c r="C61" s="1" t="s">
        <v>39</v>
      </c>
      <c r="D61" s="1" t="s">
        <v>234</v>
      </c>
      <c r="E61" s="1">
        <v>100</v>
      </c>
      <c r="F61" s="1">
        <v>116</v>
      </c>
      <c r="G61" s="1" t="b">
        <v>1</v>
      </c>
      <c r="H61" s="2">
        <v>44175.509722222225</v>
      </c>
      <c r="I61" s="1" t="s">
        <v>444</v>
      </c>
      <c r="N61" s="1">
        <v>34.048492430000003</v>
      </c>
      <c r="O61" s="1">
        <v>-118.2528992</v>
      </c>
      <c r="P61" s="1" t="s">
        <v>153</v>
      </c>
      <c r="Q61" s="1" t="s">
        <v>154</v>
      </c>
      <c r="R61" s="1" t="s">
        <v>155</v>
      </c>
      <c r="S61" s="1" t="s">
        <v>208</v>
      </c>
      <c r="T61" s="1" t="s">
        <v>245</v>
      </c>
      <c r="U61" s="1" t="s">
        <v>445</v>
      </c>
      <c r="V61" s="1" t="s">
        <v>160</v>
      </c>
      <c r="W61" s="1" t="s">
        <v>160</v>
      </c>
      <c r="X61" s="1" t="s">
        <v>160</v>
      </c>
      <c r="Y61" s="1" t="s">
        <v>160</v>
      </c>
      <c r="Z61" s="1" t="s">
        <v>160</v>
      </c>
      <c r="AA61" s="1" t="s">
        <v>160</v>
      </c>
      <c r="AB61" s="1" t="s">
        <v>160</v>
      </c>
      <c r="AC61" s="1" t="s">
        <v>160</v>
      </c>
      <c r="AD61" s="1" t="s">
        <v>160</v>
      </c>
      <c r="AE61" s="1" t="s">
        <v>160</v>
      </c>
      <c r="AF61" s="1" t="s">
        <v>160</v>
      </c>
      <c r="AG61" s="1" t="s">
        <v>160</v>
      </c>
      <c r="AI61" s="1" t="s">
        <v>160</v>
      </c>
      <c r="AJ61" s="1" t="s">
        <v>164</v>
      </c>
      <c r="AK61" s="1" t="s">
        <v>192</v>
      </c>
      <c r="AL61" s="1" t="s">
        <v>192</v>
      </c>
      <c r="AM61" s="1" t="s">
        <v>163</v>
      </c>
      <c r="AN61" s="1" t="s">
        <v>192</v>
      </c>
      <c r="AO61" s="1" t="s">
        <v>179</v>
      </c>
      <c r="AP61" s="1" t="s">
        <v>165</v>
      </c>
      <c r="AR61" s="1" t="s">
        <v>160</v>
      </c>
      <c r="AS61" s="1" t="s">
        <v>160</v>
      </c>
      <c r="AT61" s="1" t="s">
        <v>166</v>
      </c>
      <c r="AU61" s="1" t="s">
        <v>159</v>
      </c>
      <c r="AV61" s="1" t="s">
        <v>159</v>
      </c>
      <c r="AW61" s="1" t="s">
        <v>160</v>
      </c>
      <c r="AX61" s="1" t="s">
        <v>159</v>
      </c>
      <c r="AY61" s="1" t="s">
        <v>159</v>
      </c>
      <c r="AZ61" s="1" t="s">
        <v>159</v>
      </c>
      <c r="BA61" s="1" t="s">
        <v>160</v>
      </c>
      <c r="BB61" s="1" t="s">
        <v>241</v>
      </c>
      <c r="BC61" s="1" t="s">
        <v>160</v>
      </c>
      <c r="BD61" s="1" t="s">
        <v>446</v>
      </c>
      <c r="BE61" s="1" t="s">
        <v>447</v>
      </c>
      <c r="BF61" s="1" t="s">
        <v>160</v>
      </c>
    </row>
    <row r="62" spans="1:58" ht="13" x14ac:dyDescent="0.15">
      <c r="A62" s="2">
        <v>44175.509722222225</v>
      </c>
      <c r="B62" s="2">
        <v>44175.511111111111</v>
      </c>
      <c r="C62" s="1" t="s">
        <v>39</v>
      </c>
      <c r="D62" s="1" t="s">
        <v>234</v>
      </c>
      <c r="E62" s="1">
        <v>100</v>
      </c>
      <c r="F62" s="1">
        <v>116</v>
      </c>
      <c r="G62" s="1" t="b">
        <v>1</v>
      </c>
      <c r="H62" s="2">
        <v>44175.511111111111</v>
      </c>
      <c r="I62" s="1" t="s">
        <v>448</v>
      </c>
      <c r="N62" s="1">
        <v>34.048492430000003</v>
      </c>
      <c r="O62" s="1">
        <v>-118.2528992</v>
      </c>
      <c r="P62" s="1" t="s">
        <v>153</v>
      </c>
      <c r="Q62" s="1" t="s">
        <v>154</v>
      </c>
      <c r="R62" s="1" t="s">
        <v>155</v>
      </c>
      <c r="S62" s="1" t="s">
        <v>274</v>
      </c>
      <c r="T62" s="1" t="s">
        <v>176</v>
      </c>
      <c r="U62" s="1" t="s">
        <v>449</v>
      </c>
      <c r="V62" s="1" t="s">
        <v>160</v>
      </c>
      <c r="W62" s="1" t="s">
        <v>160</v>
      </c>
      <c r="X62" s="1" t="s">
        <v>160</v>
      </c>
      <c r="Y62" s="1" t="s">
        <v>160</v>
      </c>
      <c r="Z62" s="1" t="s">
        <v>160</v>
      </c>
      <c r="AA62" s="1" t="s">
        <v>160</v>
      </c>
      <c r="AB62" s="1" t="s">
        <v>160</v>
      </c>
      <c r="AC62" s="1" t="s">
        <v>160</v>
      </c>
      <c r="AD62" s="1" t="s">
        <v>160</v>
      </c>
      <c r="AE62" s="1" t="s">
        <v>160</v>
      </c>
      <c r="AF62" s="1" t="s">
        <v>160</v>
      </c>
      <c r="AG62" s="1" t="s">
        <v>160</v>
      </c>
      <c r="AI62" s="1" t="s">
        <v>160</v>
      </c>
      <c r="AJ62" s="1" t="s">
        <v>164</v>
      </c>
      <c r="AK62" s="1" t="s">
        <v>164</v>
      </c>
      <c r="AL62" s="1" t="s">
        <v>164</v>
      </c>
      <c r="AM62" s="1" t="s">
        <v>163</v>
      </c>
      <c r="AN62" s="1" t="s">
        <v>164</v>
      </c>
      <c r="AO62" s="1" t="s">
        <v>179</v>
      </c>
      <c r="AP62" s="1" t="s">
        <v>165</v>
      </c>
      <c r="AR62" s="1" t="s">
        <v>160</v>
      </c>
      <c r="AS62" s="1" t="s">
        <v>160</v>
      </c>
      <c r="AT62" s="1" t="s">
        <v>450</v>
      </c>
      <c r="AU62" s="1" t="s">
        <v>159</v>
      </c>
      <c r="AV62" s="1" t="s">
        <v>159</v>
      </c>
      <c r="AW62" s="1" t="s">
        <v>159</v>
      </c>
      <c r="AX62" s="1" t="s">
        <v>159</v>
      </c>
      <c r="AY62" s="1" t="s">
        <v>160</v>
      </c>
      <c r="AZ62" s="1" t="s">
        <v>159</v>
      </c>
      <c r="BA62" s="1" t="s">
        <v>160</v>
      </c>
      <c r="BB62" s="1" t="s">
        <v>181</v>
      </c>
      <c r="BC62" s="1" t="s">
        <v>160</v>
      </c>
      <c r="BD62" s="1" t="s">
        <v>451</v>
      </c>
      <c r="BE62" s="1" t="s">
        <v>452</v>
      </c>
      <c r="BF62" s="1" t="s">
        <v>160</v>
      </c>
    </row>
    <row r="63" spans="1:58" ht="13" x14ac:dyDescent="0.15">
      <c r="A63" s="2">
        <v>44175.511111111111</v>
      </c>
      <c r="B63" s="2">
        <v>44175.513194444444</v>
      </c>
      <c r="C63" s="1" t="s">
        <v>39</v>
      </c>
      <c r="D63" s="1" t="s">
        <v>234</v>
      </c>
      <c r="E63" s="1">
        <v>100</v>
      </c>
      <c r="F63" s="1">
        <v>156</v>
      </c>
      <c r="G63" s="1" t="b">
        <v>1</v>
      </c>
      <c r="H63" s="2">
        <v>44175.513194444444</v>
      </c>
      <c r="I63" s="1" t="s">
        <v>453</v>
      </c>
      <c r="N63" s="1">
        <v>34.048492430000003</v>
      </c>
      <c r="O63" s="1">
        <v>-118.2528992</v>
      </c>
      <c r="P63" s="1" t="s">
        <v>153</v>
      </c>
      <c r="Q63" s="1" t="s">
        <v>154</v>
      </c>
      <c r="R63" s="1" t="s">
        <v>174</v>
      </c>
      <c r="S63" s="1" t="s">
        <v>226</v>
      </c>
      <c r="T63" s="1" t="s">
        <v>263</v>
      </c>
      <c r="U63" s="1" t="s">
        <v>454</v>
      </c>
      <c r="V63" s="1" t="s">
        <v>160</v>
      </c>
      <c r="W63" s="1" t="s">
        <v>160</v>
      </c>
      <c r="X63" s="1" t="s">
        <v>160</v>
      </c>
      <c r="Y63" s="1" t="s">
        <v>160</v>
      </c>
      <c r="Z63" s="1" t="s">
        <v>160</v>
      </c>
      <c r="AA63" s="1" t="s">
        <v>160</v>
      </c>
      <c r="AB63" s="1" t="s">
        <v>160</v>
      </c>
      <c r="AC63" s="1" t="s">
        <v>160</v>
      </c>
      <c r="AD63" s="1" t="s">
        <v>160</v>
      </c>
      <c r="AE63" s="1" t="s">
        <v>160</v>
      </c>
      <c r="AF63" s="1" t="s">
        <v>160</v>
      </c>
      <c r="AG63" s="1" t="s">
        <v>160</v>
      </c>
      <c r="AI63" s="1" t="s">
        <v>160</v>
      </c>
      <c r="AJ63" s="1" t="s">
        <v>198</v>
      </c>
      <c r="AK63" s="1" t="s">
        <v>164</v>
      </c>
      <c r="AL63" s="1" t="s">
        <v>163</v>
      </c>
      <c r="AM63" s="1" t="s">
        <v>164</v>
      </c>
      <c r="AN63" s="1" t="s">
        <v>192</v>
      </c>
      <c r="AO63" s="1" t="s">
        <v>179</v>
      </c>
      <c r="AP63" s="1" t="s">
        <v>239</v>
      </c>
      <c r="AR63" s="1" t="s">
        <v>160</v>
      </c>
      <c r="AS63" s="1" t="s">
        <v>160</v>
      </c>
      <c r="AT63" s="1" t="s">
        <v>210</v>
      </c>
      <c r="AU63" s="1" t="s">
        <v>159</v>
      </c>
      <c r="AV63" s="1" t="s">
        <v>159</v>
      </c>
      <c r="AW63" s="1" t="s">
        <v>159</v>
      </c>
      <c r="AX63" s="1" t="s">
        <v>159</v>
      </c>
      <c r="AY63" s="1" t="s">
        <v>159</v>
      </c>
      <c r="AZ63" s="1" t="s">
        <v>159</v>
      </c>
      <c r="BA63" s="1" t="s">
        <v>160</v>
      </c>
      <c r="BB63" s="1" t="s">
        <v>241</v>
      </c>
      <c r="BC63" s="1" t="s">
        <v>160</v>
      </c>
      <c r="BD63" s="1" t="s">
        <v>455</v>
      </c>
      <c r="BE63" s="1" t="s">
        <v>456</v>
      </c>
      <c r="BF63" s="1" t="s">
        <v>160</v>
      </c>
    </row>
    <row r="64" spans="1:58" ht="13" x14ac:dyDescent="0.15">
      <c r="A64" s="2">
        <v>44175.513194444444</v>
      </c>
      <c r="B64" s="2">
        <v>44175.51458333333</v>
      </c>
      <c r="C64" s="1" t="s">
        <v>39</v>
      </c>
      <c r="D64" s="1" t="s">
        <v>234</v>
      </c>
      <c r="E64" s="1">
        <v>100</v>
      </c>
      <c r="F64" s="1">
        <v>116</v>
      </c>
      <c r="G64" s="1" t="b">
        <v>1</v>
      </c>
      <c r="H64" s="2">
        <v>44175.51458333333</v>
      </c>
      <c r="I64" s="1" t="s">
        <v>457</v>
      </c>
      <c r="N64" s="1">
        <v>34.048492430000003</v>
      </c>
      <c r="O64" s="1">
        <v>-118.2528992</v>
      </c>
      <c r="P64" s="1" t="s">
        <v>153</v>
      </c>
      <c r="Q64" s="1" t="s">
        <v>154</v>
      </c>
      <c r="R64" s="1" t="s">
        <v>174</v>
      </c>
      <c r="S64" s="1" t="s">
        <v>226</v>
      </c>
      <c r="T64" s="1" t="s">
        <v>245</v>
      </c>
      <c r="U64" s="1" t="s">
        <v>458</v>
      </c>
      <c r="V64" s="1" t="s">
        <v>160</v>
      </c>
      <c r="W64" s="1" t="s">
        <v>160</v>
      </c>
      <c r="X64" s="1" t="s">
        <v>160</v>
      </c>
      <c r="Y64" s="1" t="s">
        <v>160</v>
      </c>
      <c r="Z64" s="1" t="s">
        <v>160</v>
      </c>
      <c r="AA64" s="1" t="s">
        <v>160</v>
      </c>
      <c r="AB64" s="1" t="s">
        <v>160</v>
      </c>
      <c r="AC64" s="1" t="s">
        <v>160</v>
      </c>
      <c r="AD64" s="1" t="s">
        <v>160</v>
      </c>
      <c r="AE64" s="1" t="s">
        <v>160</v>
      </c>
      <c r="AF64" s="1" t="s">
        <v>160</v>
      </c>
      <c r="AG64" s="1" t="s">
        <v>160</v>
      </c>
      <c r="AI64" s="1" t="s">
        <v>160</v>
      </c>
      <c r="AJ64" s="1" t="s">
        <v>198</v>
      </c>
      <c r="AK64" s="1" t="s">
        <v>164</v>
      </c>
      <c r="AL64" s="1" t="s">
        <v>192</v>
      </c>
      <c r="AM64" s="1" t="s">
        <v>198</v>
      </c>
      <c r="AN64" s="1" t="s">
        <v>198</v>
      </c>
      <c r="AO64" s="1" t="s">
        <v>179</v>
      </c>
      <c r="AP64" s="1" t="s">
        <v>239</v>
      </c>
      <c r="AR64" s="1" t="s">
        <v>160</v>
      </c>
      <c r="AS64" s="1" t="s">
        <v>160</v>
      </c>
      <c r="AT64" s="1" t="s">
        <v>459</v>
      </c>
      <c r="AU64" s="1" t="s">
        <v>160</v>
      </c>
      <c r="AV64" s="1" t="s">
        <v>160</v>
      </c>
      <c r="AW64" s="1" t="s">
        <v>159</v>
      </c>
      <c r="AX64" s="1" t="s">
        <v>159</v>
      </c>
      <c r="AY64" s="1" t="s">
        <v>160</v>
      </c>
      <c r="AZ64" s="1" t="s">
        <v>159</v>
      </c>
      <c r="BA64" s="1" t="s">
        <v>160</v>
      </c>
      <c r="BB64" s="1" t="s">
        <v>167</v>
      </c>
      <c r="BC64" s="1" t="s">
        <v>160</v>
      </c>
      <c r="BD64" s="1" t="s">
        <v>460</v>
      </c>
      <c r="BE64" s="1" t="s">
        <v>461</v>
      </c>
      <c r="BF64" s="1" t="s">
        <v>160</v>
      </c>
    </row>
    <row r="65" spans="1:58" ht="13" x14ac:dyDescent="0.15">
      <c r="A65" s="2">
        <v>44175.515277777777</v>
      </c>
      <c r="B65" s="2">
        <v>44175.51666666667</v>
      </c>
      <c r="C65" s="1" t="s">
        <v>39</v>
      </c>
      <c r="D65" s="1" t="s">
        <v>234</v>
      </c>
      <c r="E65" s="1">
        <v>100</v>
      </c>
      <c r="F65" s="1">
        <v>117</v>
      </c>
      <c r="G65" s="1" t="b">
        <v>1</v>
      </c>
      <c r="H65" s="2">
        <v>44175.51666666667</v>
      </c>
      <c r="I65" s="1" t="s">
        <v>462</v>
      </c>
      <c r="N65" s="1">
        <v>34.048492430000003</v>
      </c>
      <c r="O65" s="1">
        <v>-118.2528992</v>
      </c>
      <c r="P65" s="1" t="s">
        <v>153</v>
      </c>
      <c r="Q65" s="1" t="s">
        <v>154</v>
      </c>
      <c r="R65" s="1" t="s">
        <v>236</v>
      </c>
      <c r="S65" s="1" t="s">
        <v>310</v>
      </c>
      <c r="T65" s="1" t="s">
        <v>237</v>
      </c>
      <c r="U65" s="1" t="s">
        <v>463</v>
      </c>
      <c r="V65" s="1" t="s">
        <v>160</v>
      </c>
      <c r="W65" s="1" t="s">
        <v>160</v>
      </c>
      <c r="X65" s="1" t="s">
        <v>160</v>
      </c>
      <c r="Y65" s="1" t="s">
        <v>160</v>
      </c>
      <c r="Z65" s="1" t="s">
        <v>160</v>
      </c>
      <c r="AA65" s="1" t="s">
        <v>160</v>
      </c>
      <c r="AB65" s="1" t="s">
        <v>160</v>
      </c>
      <c r="AC65" s="1" t="s">
        <v>160</v>
      </c>
      <c r="AD65" s="1" t="s">
        <v>160</v>
      </c>
      <c r="AE65" s="1" t="s">
        <v>160</v>
      </c>
      <c r="AF65" s="1" t="s">
        <v>160</v>
      </c>
      <c r="AG65" s="1" t="s">
        <v>160</v>
      </c>
      <c r="AI65" s="1" t="s">
        <v>160</v>
      </c>
      <c r="AJ65" s="1" t="s">
        <v>192</v>
      </c>
      <c r="AK65" s="1" t="s">
        <v>163</v>
      </c>
      <c r="AL65" s="1" t="s">
        <v>163</v>
      </c>
      <c r="AM65" s="1" t="s">
        <v>198</v>
      </c>
      <c r="AN65" s="1" t="s">
        <v>192</v>
      </c>
      <c r="AO65" s="1" t="s">
        <v>179</v>
      </c>
      <c r="AP65" s="1" t="s">
        <v>165</v>
      </c>
      <c r="AR65" s="1" t="s">
        <v>160</v>
      </c>
      <c r="AS65" s="1" t="s">
        <v>160</v>
      </c>
      <c r="AT65" s="1" t="s">
        <v>464</v>
      </c>
      <c r="AU65" s="1" t="s">
        <v>159</v>
      </c>
      <c r="AV65" s="1" t="s">
        <v>160</v>
      </c>
      <c r="AW65" s="1" t="s">
        <v>159</v>
      </c>
      <c r="AX65" s="1" t="s">
        <v>159</v>
      </c>
      <c r="AY65" s="1" t="s">
        <v>160</v>
      </c>
      <c r="AZ65" s="1" t="s">
        <v>159</v>
      </c>
      <c r="BA65" s="1" t="s">
        <v>160</v>
      </c>
      <c r="BB65" s="1" t="s">
        <v>222</v>
      </c>
      <c r="BC65" s="1" t="s">
        <v>160</v>
      </c>
      <c r="BD65" s="1" t="s">
        <v>465</v>
      </c>
      <c r="BE65" s="1" t="s">
        <v>466</v>
      </c>
      <c r="BF65" s="1" t="s">
        <v>160</v>
      </c>
    </row>
    <row r="66" spans="1:58" ht="13" x14ac:dyDescent="0.15">
      <c r="A66" s="2">
        <v>44175.51666666667</v>
      </c>
      <c r="B66" s="2">
        <v>44175.518055555556</v>
      </c>
      <c r="C66" s="1" t="s">
        <v>39</v>
      </c>
      <c r="D66" s="1" t="s">
        <v>234</v>
      </c>
      <c r="E66" s="1">
        <v>100</v>
      </c>
      <c r="F66" s="1">
        <v>116</v>
      </c>
      <c r="G66" s="1" t="b">
        <v>1</v>
      </c>
      <c r="H66" s="2">
        <v>44175.518055555556</v>
      </c>
      <c r="I66" s="1" t="s">
        <v>467</v>
      </c>
      <c r="N66" s="1">
        <v>34.048492430000003</v>
      </c>
      <c r="O66" s="1">
        <v>-118.2528992</v>
      </c>
      <c r="P66" s="1" t="s">
        <v>153</v>
      </c>
      <c r="Q66" s="1" t="s">
        <v>154</v>
      </c>
      <c r="R66" s="1" t="s">
        <v>155</v>
      </c>
      <c r="S66" s="1" t="s">
        <v>226</v>
      </c>
      <c r="T66" s="1" t="s">
        <v>263</v>
      </c>
      <c r="U66" s="1" t="s">
        <v>427</v>
      </c>
      <c r="V66" s="1" t="s">
        <v>160</v>
      </c>
      <c r="W66" s="1" t="s">
        <v>160</v>
      </c>
      <c r="X66" s="1" t="s">
        <v>160</v>
      </c>
      <c r="Y66" s="1" t="s">
        <v>160</v>
      </c>
      <c r="Z66" s="1" t="s">
        <v>160</v>
      </c>
      <c r="AA66" s="1" t="s">
        <v>160</v>
      </c>
      <c r="AB66" s="1" t="s">
        <v>160</v>
      </c>
      <c r="AC66" s="1" t="s">
        <v>160</v>
      </c>
      <c r="AD66" s="1" t="s">
        <v>160</v>
      </c>
      <c r="AE66" s="1" t="s">
        <v>160</v>
      </c>
      <c r="AF66" s="1" t="s">
        <v>160</v>
      </c>
      <c r="AG66" s="1" t="s">
        <v>160</v>
      </c>
      <c r="AI66" s="1" t="s">
        <v>160</v>
      </c>
      <c r="AJ66" s="1" t="s">
        <v>198</v>
      </c>
      <c r="AK66" s="1" t="s">
        <v>192</v>
      </c>
      <c r="AL66" s="1" t="s">
        <v>164</v>
      </c>
      <c r="AM66" s="1" t="s">
        <v>192</v>
      </c>
      <c r="AN66" s="1" t="s">
        <v>164</v>
      </c>
      <c r="AO66" s="1" t="s">
        <v>179</v>
      </c>
      <c r="AP66" s="1" t="s">
        <v>179</v>
      </c>
      <c r="AR66" s="1" t="s">
        <v>160</v>
      </c>
      <c r="AS66" s="1" t="s">
        <v>160</v>
      </c>
      <c r="AT66" s="1" t="s">
        <v>468</v>
      </c>
      <c r="AU66" s="1" t="s">
        <v>159</v>
      </c>
      <c r="AV66" s="1" t="s">
        <v>159</v>
      </c>
      <c r="AW66" s="1" t="s">
        <v>159</v>
      </c>
      <c r="AX66" s="1" t="s">
        <v>159</v>
      </c>
      <c r="AY66" s="1" t="s">
        <v>160</v>
      </c>
      <c r="AZ66" s="1" t="s">
        <v>159</v>
      </c>
      <c r="BA66" s="1" t="s">
        <v>159</v>
      </c>
      <c r="BB66" s="1" t="s">
        <v>241</v>
      </c>
      <c r="BC66" s="1" t="s">
        <v>160</v>
      </c>
      <c r="BD66" s="1" t="s">
        <v>469</v>
      </c>
      <c r="BE66" s="1" t="s">
        <v>470</v>
      </c>
      <c r="BF66" s="1" t="s">
        <v>160</v>
      </c>
    </row>
    <row r="67" spans="1:58" ht="13" x14ac:dyDescent="0.15">
      <c r="A67" s="2">
        <v>44175.518055555556</v>
      </c>
      <c r="B67" s="2">
        <v>44175.519444444442</v>
      </c>
      <c r="C67" s="1" t="s">
        <v>39</v>
      </c>
      <c r="D67" s="1" t="s">
        <v>234</v>
      </c>
      <c r="E67" s="1">
        <v>100</v>
      </c>
      <c r="F67" s="1">
        <v>117</v>
      </c>
      <c r="G67" s="1" t="b">
        <v>1</v>
      </c>
      <c r="H67" s="2">
        <v>44175.519444444442</v>
      </c>
      <c r="I67" s="1" t="s">
        <v>471</v>
      </c>
      <c r="N67" s="1">
        <v>34.048492430000003</v>
      </c>
      <c r="O67" s="1">
        <v>-118.2528992</v>
      </c>
      <c r="P67" s="1" t="s">
        <v>153</v>
      </c>
      <c r="Q67" s="1" t="s">
        <v>154</v>
      </c>
      <c r="R67" s="1" t="s">
        <v>236</v>
      </c>
      <c r="S67" s="1" t="s">
        <v>274</v>
      </c>
      <c r="T67" s="1" t="s">
        <v>237</v>
      </c>
      <c r="U67" s="1" t="s">
        <v>472</v>
      </c>
      <c r="V67" s="1" t="s">
        <v>160</v>
      </c>
      <c r="W67" s="1" t="s">
        <v>160</v>
      </c>
      <c r="X67" s="1" t="s">
        <v>160</v>
      </c>
      <c r="Y67" s="1" t="s">
        <v>160</v>
      </c>
      <c r="Z67" s="1" t="s">
        <v>160</v>
      </c>
      <c r="AA67" s="1" t="s">
        <v>160</v>
      </c>
      <c r="AB67" s="1" t="s">
        <v>160</v>
      </c>
      <c r="AC67" s="1" t="s">
        <v>160</v>
      </c>
      <c r="AD67" s="1" t="s">
        <v>160</v>
      </c>
      <c r="AE67" s="1" t="s">
        <v>160</v>
      </c>
      <c r="AF67" s="1" t="s">
        <v>160</v>
      </c>
      <c r="AG67" s="1" t="s">
        <v>160</v>
      </c>
      <c r="AI67" s="1" t="s">
        <v>160</v>
      </c>
      <c r="AJ67" s="1" t="s">
        <v>198</v>
      </c>
      <c r="AK67" s="1" t="s">
        <v>164</v>
      </c>
      <c r="AL67" s="1" t="s">
        <v>198</v>
      </c>
      <c r="AM67" s="1" t="s">
        <v>163</v>
      </c>
      <c r="AN67" s="1" t="s">
        <v>164</v>
      </c>
      <c r="AO67" s="1" t="s">
        <v>179</v>
      </c>
      <c r="AP67" s="1" t="s">
        <v>239</v>
      </c>
      <c r="AR67" s="1" t="s">
        <v>160</v>
      </c>
      <c r="AS67" s="1" t="s">
        <v>160</v>
      </c>
      <c r="AT67" s="1" t="s">
        <v>473</v>
      </c>
      <c r="AU67" s="1" t="s">
        <v>160</v>
      </c>
      <c r="AV67" s="1" t="s">
        <v>159</v>
      </c>
      <c r="AW67" s="1" t="s">
        <v>160</v>
      </c>
      <c r="AX67" s="1" t="s">
        <v>160</v>
      </c>
      <c r="AY67" s="1" t="s">
        <v>159</v>
      </c>
      <c r="AZ67" s="1" t="s">
        <v>160</v>
      </c>
      <c r="BA67" s="1" t="s">
        <v>159</v>
      </c>
      <c r="BB67" s="1" t="s">
        <v>241</v>
      </c>
      <c r="BC67" s="1" t="s">
        <v>160</v>
      </c>
      <c r="BD67" s="1" t="s">
        <v>474</v>
      </c>
      <c r="BE67" s="1" t="s">
        <v>475</v>
      </c>
      <c r="BF67" s="1" t="s">
        <v>160</v>
      </c>
    </row>
    <row r="68" spans="1:58" ht="13" x14ac:dyDescent="0.15">
      <c r="A68" s="2">
        <v>44175.520138888889</v>
      </c>
      <c r="B68" s="2">
        <v>44175.521527777775</v>
      </c>
      <c r="C68" s="1" t="s">
        <v>39</v>
      </c>
      <c r="D68" s="1" t="s">
        <v>234</v>
      </c>
      <c r="E68" s="1">
        <v>100</v>
      </c>
      <c r="F68" s="1">
        <v>117</v>
      </c>
      <c r="G68" s="1" t="b">
        <v>1</v>
      </c>
      <c r="H68" s="2">
        <v>44175.521527777775</v>
      </c>
      <c r="I68" s="1" t="s">
        <v>476</v>
      </c>
      <c r="N68" s="1">
        <v>34.048492430000003</v>
      </c>
      <c r="O68" s="1">
        <v>-118.2528992</v>
      </c>
      <c r="P68" s="1" t="s">
        <v>153</v>
      </c>
      <c r="Q68" s="1" t="s">
        <v>154</v>
      </c>
      <c r="R68" s="1" t="s">
        <v>236</v>
      </c>
      <c r="S68" s="1" t="s">
        <v>208</v>
      </c>
      <c r="T68" s="1" t="s">
        <v>237</v>
      </c>
      <c r="U68" s="1" t="s">
        <v>246</v>
      </c>
      <c r="V68" s="1" t="s">
        <v>160</v>
      </c>
      <c r="W68" s="1" t="s">
        <v>160</v>
      </c>
      <c r="X68" s="1" t="s">
        <v>160</v>
      </c>
      <c r="Y68" s="1" t="s">
        <v>160</v>
      </c>
      <c r="Z68" s="1" t="s">
        <v>160</v>
      </c>
      <c r="AA68" s="1" t="s">
        <v>160</v>
      </c>
      <c r="AB68" s="1" t="s">
        <v>160</v>
      </c>
      <c r="AC68" s="1" t="s">
        <v>160</v>
      </c>
      <c r="AD68" s="1" t="s">
        <v>160</v>
      </c>
      <c r="AE68" s="1" t="s">
        <v>160</v>
      </c>
      <c r="AF68" s="1" t="s">
        <v>160</v>
      </c>
      <c r="AG68" s="1" t="s">
        <v>160</v>
      </c>
      <c r="AI68" s="1" t="s">
        <v>160</v>
      </c>
      <c r="AJ68" s="1" t="s">
        <v>198</v>
      </c>
      <c r="AK68" s="1" t="s">
        <v>192</v>
      </c>
      <c r="AL68" s="1" t="s">
        <v>192</v>
      </c>
      <c r="AM68" s="1" t="s">
        <v>192</v>
      </c>
      <c r="AN68" s="1" t="s">
        <v>163</v>
      </c>
      <c r="AO68" s="1" t="s">
        <v>179</v>
      </c>
      <c r="AP68" s="1" t="s">
        <v>179</v>
      </c>
      <c r="AR68" s="1" t="s">
        <v>160</v>
      </c>
      <c r="AS68" s="1" t="s">
        <v>160</v>
      </c>
      <c r="AT68" s="1" t="s">
        <v>477</v>
      </c>
      <c r="AU68" s="1" t="s">
        <v>160</v>
      </c>
      <c r="AV68" s="1" t="s">
        <v>159</v>
      </c>
      <c r="AW68" s="1" t="s">
        <v>159</v>
      </c>
      <c r="AX68" s="1" t="s">
        <v>159</v>
      </c>
      <c r="AY68" s="1" t="s">
        <v>160</v>
      </c>
      <c r="AZ68" s="1" t="s">
        <v>159</v>
      </c>
      <c r="BA68" s="1" t="s">
        <v>159</v>
      </c>
      <c r="BB68" s="1" t="s">
        <v>181</v>
      </c>
      <c r="BC68" s="1" t="s">
        <v>160</v>
      </c>
      <c r="BD68" s="1" t="s">
        <v>478</v>
      </c>
      <c r="BE68" s="1" t="s">
        <v>479</v>
      </c>
      <c r="BF68" s="1" t="s">
        <v>160</v>
      </c>
    </row>
    <row r="69" spans="1:58" ht="13" x14ac:dyDescent="0.15">
      <c r="A69" s="2">
        <v>44175.521527777775</v>
      </c>
      <c r="B69" s="2">
        <v>44175.522916666669</v>
      </c>
      <c r="C69" s="1" t="s">
        <v>39</v>
      </c>
      <c r="D69" s="1" t="s">
        <v>234</v>
      </c>
      <c r="E69" s="1">
        <v>100</v>
      </c>
      <c r="F69" s="1">
        <v>116</v>
      </c>
      <c r="G69" s="1" t="b">
        <v>1</v>
      </c>
      <c r="H69" s="2">
        <v>44175.522916666669</v>
      </c>
      <c r="I69" s="1" t="s">
        <v>480</v>
      </c>
      <c r="N69" s="1">
        <v>34.048492430000003</v>
      </c>
      <c r="O69" s="1">
        <v>-118.2528992</v>
      </c>
      <c r="P69" s="1" t="s">
        <v>153</v>
      </c>
      <c r="Q69" s="1" t="s">
        <v>154</v>
      </c>
      <c r="R69" s="1" t="s">
        <v>174</v>
      </c>
      <c r="S69" s="1" t="s">
        <v>310</v>
      </c>
      <c r="T69" s="1" t="s">
        <v>157</v>
      </c>
      <c r="U69" s="1" t="s">
        <v>481</v>
      </c>
      <c r="V69" s="1" t="s">
        <v>160</v>
      </c>
      <c r="W69" s="1" t="s">
        <v>160</v>
      </c>
      <c r="X69" s="1" t="s">
        <v>160</v>
      </c>
      <c r="Y69" s="1" t="s">
        <v>160</v>
      </c>
      <c r="Z69" s="1" t="s">
        <v>160</v>
      </c>
      <c r="AA69" s="1" t="s">
        <v>160</v>
      </c>
      <c r="AB69" s="1" t="s">
        <v>160</v>
      </c>
      <c r="AC69" s="1" t="s">
        <v>160</v>
      </c>
      <c r="AD69" s="1" t="s">
        <v>160</v>
      </c>
      <c r="AE69" s="1" t="s">
        <v>160</v>
      </c>
      <c r="AF69" s="1" t="s">
        <v>160</v>
      </c>
      <c r="AG69" s="1" t="s">
        <v>160</v>
      </c>
      <c r="AI69" s="1" t="s">
        <v>160</v>
      </c>
      <c r="AJ69" s="1" t="s">
        <v>164</v>
      </c>
      <c r="AK69" s="1" t="s">
        <v>164</v>
      </c>
      <c r="AL69" s="1" t="s">
        <v>164</v>
      </c>
      <c r="AM69" s="1" t="s">
        <v>163</v>
      </c>
      <c r="AN69" s="1" t="s">
        <v>164</v>
      </c>
      <c r="AO69" s="1" t="s">
        <v>179</v>
      </c>
      <c r="AP69" s="1" t="s">
        <v>239</v>
      </c>
      <c r="AR69" s="1" t="s">
        <v>160</v>
      </c>
      <c r="AS69" s="1" t="s">
        <v>160</v>
      </c>
      <c r="AT69" s="1" t="s">
        <v>482</v>
      </c>
      <c r="AU69" s="1" t="s">
        <v>160</v>
      </c>
      <c r="AV69" s="1" t="s">
        <v>160</v>
      </c>
      <c r="AW69" s="1" t="s">
        <v>159</v>
      </c>
      <c r="AX69" s="1" t="s">
        <v>159</v>
      </c>
      <c r="AY69" s="1" t="s">
        <v>160</v>
      </c>
      <c r="AZ69" s="1" t="s">
        <v>159</v>
      </c>
      <c r="BA69" s="1" t="s">
        <v>160</v>
      </c>
      <c r="BB69" s="1" t="s">
        <v>181</v>
      </c>
      <c r="BC69" s="1" t="s">
        <v>160</v>
      </c>
      <c r="BD69" s="1" t="s">
        <v>483</v>
      </c>
      <c r="BE69" s="1" t="s">
        <v>484</v>
      </c>
      <c r="BF69" s="1" t="s">
        <v>160</v>
      </c>
    </row>
    <row r="70" spans="1:58" ht="13" x14ac:dyDescent="0.15">
      <c r="A70" s="2">
        <v>44175.522916666669</v>
      </c>
      <c r="B70" s="2">
        <v>44175.524305555555</v>
      </c>
      <c r="C70" s="1" t="s">
        <v>39</v>
      </c>
      <c r="D70" s="1" t="s">
        <v>234</v>
      </c>
      <c r="E70" s="1">
        <v>100</v>
      </c>
      <c r="F70" s="1">
        <v>116</v>
      </c>
      <c r="G70" s="1" t="b">
        <v>1</v>
      </c>
      <c r="H70" s="2">
        <v>44175.524305555555</v>
      </c>
      <c r="I70" s="1" t="s">
        <v>485</v>
      </c>
      <c r="N70" s="1">
        <v>34.048492430000003</v>
      </c>
      <c r="O70" s="1">
        <v>-118.2528992</v>
      </c>
      <c r="P70" s="1" t="s">
        <v>153</v>
      </c>
      <c r="Q70" s="1" t="s">
        <v>154</v>
      </c>
      <c r="R70" s="1" t="s">
        <v>155</v>
      </c>
      <c r="S70" s="1" t="s">
        <v>208</v>
      </c>
      <c r="T70" s="1" t="s">
        <v>237</v>
      </c>
      <c r="U70" s="1" t="s">
        <v>486</v>
      </c>
      <c r="V70" s="1" t="s">
        <v>160</v>
      </c>
      <c r="W70" s="1" t="s">
        <v>160</v>
      </c>
      <c r="X70" s="1" t="s">
        <v>160</v>
      </c>
      <c r="Y70" s="1" t="s">
        <v>160</v>
      </c>
      <c r="Z70" s="1" t="s">
        <v>160</v>
      </c>
      <c r="AA70" s="1" t="s">
        <v>160</v>
      </c>
      <c r="AB70" s="1" t="s">
        <v>160</v>
      </c>
      <c r="AC70" s="1" t="s">
        <v>160</v>
      </c>
      <c r="AD70" s="1" t="s">
        <v>160</v>
      </c>
      <c r="AE70" s="1" t="s">
        <v>160</v>
      </c>
      <c r="AF70" s="1" t="s">
        <v>160</v>
      </c>
      <c r="AG70" s="1" t="s">
        <v>160</v>
      </c>
      <c r="AI70" s="1" t="s">
        <v>160</v>
      </c>
      <c r="AJ70" s="1" t="s">
        <v>164</v>
      </c>
      <c r="AK70" s="1" t="s">
        <v>163</v>
      </c>
      <c r="AL70" s="1" t="s">
        <v>198</v>
      </c>
      <c r="AM70" s="1" t="s">
        <v>198</v>
      </c>
      <c r="AN70" s="1" t="s">
        <v>163</v>
      </c>
      <c r="AO70" s="1" t="s">
        <v>179</v>
      </c>
      <c r="AP70" s="1" t="s">
        <v>165</v>
      </c>
      <c r="AR70" s="1" t="s">
        <v>160</v>
      </c>
      <c r="AS70" s="1" t="s">
        <v>160</v>
      </c>
      <c r="AT70" s="1" t="s">
        <v>487</v>
      </c>
      <c r="AU70" s="1" t="s">
        <v>160</v>
      </c>
      <c r="AV70" s="1" t="s">
        <v>159</v>
      </c>
      <c r="AW70" s="1" t="s">
        <v>160</v>
      </c>
      <c r="AX70" s="1" t="s">
        <v>159</v>
      </c>
      <c r="AY70" s="1" t="s">
        <v>160</v>
      </c>
      <c r="AZ70" s="1" t="s">
        <v>159</v>
      </c>
      <c r="BA70" s="1" t="s">
        <v>160</v>
      </c>
      <c r="BB70" s="1" t="s">
        <v>241</v>
      </c>
      <c r="BC70" s="1" t="s">
        <v>160</v>
      </c>
      <c r="BD70" s="1" t="s">
        <v>488</v>
      </c>
      <c r="BE70" s="1" t="s">
        <v>489</v>
      </c>
      <c r="BF70" s="1" t="s">
        <v>160</v>
      </c>
    </row>
    <row r="71" spans="1:58" ht="13" x14ac:dyDescent="0.15">
      <c r="A71" s="2">
        <v>44175.525000000001</v>
      </c>
      <c r="B71" s="2">
        <v>44175.526388888888</v>
      </c>
      <c r="C71" s="1" t="s">
        <v>39</v>
      </c>
      <c r="D71" s="1" t="s">
        <v>234</v>
      </c>
      <c r="E71" s="1">
        <v>100</v>
      </c>
      <c r="F71" s="1">
        <v>117</v>
      </c>
      <c r="G71" s="1" t="b">
        <v>1</v>
      </c>
      <c r="H71" s="2">
        <v>44175.526388888888</v>
      </c>
      <c r="I71" s="1" t="s">
        <v>490</v>
      </c>
      <c r="N71" s="1">
        <v>34.048492430000003</v>
      </c>
      <c r="O71" s="1">
        <v>-118.2528992</v>
      </c>
      <c r="P71" s="1" t="s">
        <v>153</v>
      </c>
      <c r="Q71" s="1" t="s">
        <v>154</v>
      </c>
      <c r="R71" s="1" t="s">
        <v>174</v>
      </c>
      <c r="S71" s="1" t="s">
        <v>274</v>
      </c>
      <c r="T71" s="1" t="s">
        <v>263</v>
      </c>
      <c r="U71" s="1" t="s">
        <v>491</v>
      </c>
      <c r="V71" s="1" t="s">
        <v>160</v>
      </c>
      <c r="W71" s="1" t="s">
        <v>160</v>
      </c>
      <c r="X71" s="1" t="s">
        <v>160</v>
      </c>
      <c r="Y71" s="1" t="s">
        <v>160</v>
      </c>
      <c r="Z71" s="1" t="s">
        <v>160</v>
      </c>
      <c r="AA71" s="1" t="s">
        <v>160</v>
      </c>
      <c r="AB71" s="1" t="s">
        <v>160</v>
      </c>
      <c r="AC71" s="1" t="s">
        <v>160</v>
      </c>
      <c r="AD71" s="1" t="s">
        <v>160</v>
      </c>
      <c r="AE71" s="1" t="s">
        <v>160</v>
      </c>
      <c r="AF71" s="1" t="s">
        <v>160</v>
      </c>
      <c r="AG71" s="1" t="s">
        <v>160</v>
      </c>
      <c r="AI71" s="1" t="s">
        <v>160</v>
      </c>
      <c r="AJ71" s="1" t="s">
        <v>192</v>
      </c>
      <c r="AK71" s="1" t="s">
        <v>164</v>
      </c>
      <c r="AL71" s="1" t="s">
        <v>192</v>
      </c>
      <c r="AM71" s="1" t="s">
        <v>198</v>
      </c>
      <c r="AN71" s="1" t="s">
        <v>192</v>
      </c>
      <c r="AO71" s="1" t="s">
        <v>179</v>
      </c>
      <c r="AP71" s="1" t="s">
        <v>239</v>
      </c>
      <c r="AR71" s="1" t="s">
        <v>160</v>
      </c>
      <c r="AS71" s="1" t="s">
        <v>160</v>
      </c>
      <c r="AT71" s="1" t="s">
        <v>492</v>
      </c>
      <c r="AU71" s="1" t="s">
        <v>159</v>
      </c>
      <c r="AV71" s="1" t="s">
        <v>159</v>
      </c>
      <c r="AW71" s="1" t="s">
        <v>160</v>
      </c>
      <c r="AX71" s="1" t="s">
        <v>160</v>
      </c>
      <c r="AY71" s="1" t="s">
        <v>160</v>
      </c>
      <c r="AZ71" s="1" t="s">
        <v>160</v>
      </c>
      <c r="BA71" s="1" t="s">
        <v>160</v>
      </c>
      <c r="BB71" s="1" t="s">
        <v>241</v>
      </c>
      <c r="BC71" s="1" t="s">
        <v>160</v>
      </c>
      <c r="BD71" s="1" t="s">
        <v>493</v>
      </c>
      <c r="BE71" s="1" t="s">
        <v>494</v>
      </c>
      <c r="BF71" s="1" t="s">
        <v>160</v>
      </c>
    </row>
    <row r="72" spans="1:58" ht="13" x14ac:dyDescent="0.15">
      <c r="A72" s="2">
        <v>44175.526388888888</v>
      </c>
      <c r="B72" s="2">
        <v>44175.527777777781</v>
      </c>
      <c r="C72" s="1" t="s">
        <v>39</v>
      </c>
      <c r="D72" s="1" t="s">
        <v>234</v>
      </c>
      <c r="E72" s="1">
        <v>100</v>
      </c>
      <c r="F72" s="1">
        <v>122</v>
      </c>
      <c r="G72" s="1" t="b">
        <v>1</v>
      </c>
      <c r="H72" s="2">
        <v>44175.527777777781</v>
      </c>
      <c r="I72" s="1" t="s">
        <v>495</v>
      </c>
      <c r="N72" s="1">
        <v>34.048492430000003</v>
      </c>
      <c r="O72" s="1">
        <v>-118.2528992</v>
      </c>
      <c r="P72" s="1" t="s">
        <v>153</v>
      </c>
      <c r="Q72" s="1" t="s">
        <v>154</v>
      </c>
      <c r="R72" s="1" t="s">
        <v>174</v>
      </c>
      <c r="S72" s="1" t="s">
        <v>175</v>
      </c>
      <c r="T72" s="1" t="s">
        <v>157</v>
      </c>
      <c r="U72" s="1" t="s">
        <v>496</v>
      </c>
      <c r="V72" s="1" t="s">
        <v>160</v>
      </c>
      <c r="W72" s="1" t="s">
        <v>160</v>
      </c>
      <c r="X72" s="1" t="s">
        <v>160</v>
      </c>
      <c r="Y72" s="1" t="s">
        <v>160</v>
      </c>
      <c r="Z72" s="1" t="s">
        <v>160</v>
      </c>
      <c r="AA72" s="1" t="s">
        <v>160</v>
      </c>
      <c r="AB72" s="1" t="s">
        <v>160</v>
      </c>
      <c r="AC72" s="1" t="s">
        <v>160</v>
      </c>
      <c r="AD72" s="1" t="s">
        <v>160</v>
      </c>
      <c r="AE72" s="1" t="s">
        <v>160</v>
      </c>
      <c r="AF72" s="1" t="s">
        <v>160</v>
      </c>
      <c r="AG72" s="1" t="s">
        <v>160</v>
      </c>
      <c r="AI72" s="1" t="s">
        <v>160</v>
      </c>
      <c r="AJ72" s="1" t="s">
        <v>198</v>
      </c>
      <c r="AK72" s="1" t="s">
        <v>164</v>
      </c>
      <c r="AL72" s="1" t="s">
        <v>192</v>
      </c>
      <c r="AM72" s="1" t="s">
        <v>198</v>
      </c>
      <c r="AN72" s="1" t="s">
        <v>198</v>
      </c>
      <c r="AO72" s="1" t="s">
        <v>179</v>
      </c>
      <c r="AP72" s="1" t="s">
        <v>239</v>
      </c>
      <c r="AR72" s="1" t="s">
        <v>160</v>
      </c>
      <c r="AS72" s="1" t="s">
        <v>160</v>
      </c>
      <c r="AT72" s="1" t="s">
        <v>497</v>
      </c>
      <c r="AU72" s="1" t="s">
        <v>160</v>
      </c>
      <c r="AV72" s="1" t="s">
        <v>159</v>
      </c>
      <c r="AW72" s="1" t="s">
        <v>160</v>
      </c>
      <c r="AX72" s="1" t="s">
        <v>159</v>
      </c>
      <c r="AY72" s="1" t="s">
        <v>159</v>
      </c>
      <c r="AZ72" s="1" t="s">
        <v>159</v>
      </c>
      <c r="BA72" s="1" t="s">
        <v>159</v>
      </c>
      <c r="BB72" s="1" t="s">
        <v>241</v>
      </c>
      <c r="BC72" s="1" t="s">
        <v>160</v>
      </c>
      <c r="BD72" s="1" t="s">
        <v>498</v>
      </c>
      <c r="BE72" s="1" t="s">
        <v>499</v>
      </c>
      <c r="BF72" s="1" t="s">
        <v>160</v>
      </c>
    </row>
    <row r="73" spans="1:58" ht="13" x14ac:dyDescent="0.15">
      <c r="A73" s="2">
        <v>44175.527777777781</v>
      </c>
      <c r="B73" s="2">
        <v>44175.529166666667</v>
      </c>
      <c r="C73" s="1" t="s">
        <v>39</v>
      </c>
      <c r="D73" s="1" t="s">
        <v>234</v>
      </c>
      <c r="E73" s="1">
        <v>100</v>
      </c>
      <c r="F73" s="1">
        <v>117</v>
      </c>
      <c r="G73" s="1" t="b">
        <v>1</v>
      </c>
      <c r="H73" s="2">
        <v>44175.529166666667</v>
      </c>
      <c r="I73" s="1" t="s">
        <v>500</v>
      </c>
      <c r="N73" s="1">
        <v>34.048492430000003</v>
      </c>
      <c r="O73" s="1">
        <v>-118.2528992</v>
      </c>
      <c r="P73" s="1" t="s">
        <v>153</v>
      </c>
      <c r="Q73" s="1" t="s">
        <v>154</v>
      </c>
      <c r="R73" s="1" t="s">
        <v>236</v>
      </c>
      <c r="S73" s="1" t="s">
        <v>310</v>
      </c>
      <c r="T73" s="1" t="s">
        <v>157</v>
      </c>
      <c r="U73" s="1" t="s">
        <v>501</v>
      </c>
      <c r="V73" s="1" t="s">
        <v>160</v>
      </c>
      <c r="W73" s="1" t="s">
        <v>160</v>
      </c>
      <c r="X73" s="1" t="s">
        <v>160</v>
      </c>
      <c r="Y73" s="1" t="s">
        <v>160</v>
      </c>
      <c r="Z73" s="1" t="s">
        <v>160</v>
      </c>
      <c r="AA73" s="1" t="s">
        <v>160</v>
      </c>
      <c r="AB73" s="1" t="s">
        <v>160</v>
      </c>
      <c r="AC73" s="1" t="s">
        <v>160</v>
      </c>
      <c r="AD73" s="1" t="s">
        <v>160</v>
      </c>
      <c r="AE73" s="1" t="s">
        <v>160</v>
      </c>
      <c r="AF73" s="1" t="s">
        <v>160</v>
      </c>
      <c r="AG73" s="1" t="s">
        <v>160</v>
      </c>
      <c r="AI73" s="1" t="s">
        <v>160</v>
      </c>
      <c r="AJ73" s="1" t="s">
        <v>163</v>
      </c>
      <c r="AK73" s="1" t="s">
        <v>192</v>
      </c>
      <c r="AL73" s="1" t="s">
        <v>198</v>
      </c>
      <c r="AM73" s="1" t="s">
        <v>192</v>
      </c>
      <c r="AN73" s="1" t="s">
        <v>198</v>
      </c>
      <c r="AO73" s="1" t="s">
        <v>179</v>
      </c>
      <c r="AP73" s="1" t="s">
        <v>165</v>
      </c>
      <c r="AR73" s="1" t="s">
        <v>160</v>
      </c>
      <c r="AS73" s="1" t="s">
        <v>160</v>
      </c>
      <c r="AT73" s="1" t="s">
        <v>180</v>
      </c>
      <c r="AU73" s="1" t="s">
        <v>160</v>
      </c>
      <c r="AV73" s="1" t="s">
        <v>159</v>
      </c>
      <c r="AW73" s="1" t="s">
        <v>160</v>
      </c>
      <c r="AX73" s="1" t="s">
        <v>159</v>
      </c>
      <c r="AY73" s="1" t="s">
        <v>160</v>
      </c>
      <c r="AZ73" s="1" t="s">
        <v>160</v>
      </c>
      <c r="BA73" s="1" t="s">
        <v>160</v>
      </c>
      <c r="BB73" s="1" t="s">
        <v>222</v>
      </c>
      <c r="BC73" s="1" t="s">
        <v>160</v>
      </c>
      <c r="BD73" s="1" t="s">
        <v>502</v>
      </c>
      <c r="BE73" s="1" t="s">
        <v>503</v>
      </c>
      <c r="BF73" s="1" t="s">
        <v>160</v>
      </c>
    </row>
    <row r="74" spans="1:58" ht="13" x14ac:dyDescent="0.15">
      <c r="A74" s="2">
        <v>44175.529861111114</v>
      </c>
      <c r="B74" s="2">
        <v>44175.53125</v>
      </c>
      <c r="C74" s="1" t="s">
        <v>39</v>
      </c>
      <c r="D74" s="1" t="s">
        <v>234</v>
      </c>
      <c r="E74" s="1">
        <v>100</v>
      </c>
      <c r="F74" s="1">
        <v>117</v>
      </c>
      <c r="G74" s="1" t="b">
        <v>1</v>
      </c>
      <c r="H74" s="2">
        <v>44175.53125</v>
      </c>
      <c r="I74" s="1" t="s">
        <v>504</v>
      </c>
      <c r="N74" s="1">
        <v>34.048492430000003</v>
      </c>
      <c r="O74" s="1">
        <v>-118.2528992</v>
      </c>
      <c r="P74" s="1" t="s">
        <v>153</v>
      </c>
      <c r="Q74" s="1" t="s">
        <v>154</v>
      </c>
      <c r="R74" s="1" t="s">
        <v>236</v>
      </c>
      <c r="S74" s="1" t="s">
        <v>175</v>
      </c>
      <c r="T74" s="1" t="s">
        <v>176</v>
      </c>
      <c r="U74" s="1" t="s">
        <v>505</v>
      </c>
      <c r="V74" s="1" t="s">
        <v>160</v>
      </c>
      <c r="W74" s="1" t="s">
        <v>160</v>
      </c>
      <c r="X74" s="1" t="s">
        <v>160</v>
      </c>
      <c r="Y74" s="1" t="s">
        <v>160</v>
      </c>
      <c r="Z74" s="1" t="s">
        <v>160</v>
      </c>
      <c r="AA74" s="1" t="s">
        <v>160</v>
      </c>
      <c r="AB74" s="1" t="s">
        <v>160</v>
      </c>
      <c r="AC74" s="1" t="s">
        <v>160</v>
      </c>
      <c r="AD74" s="1" t="s">
        <v>160</v>
      </c>
      <c r="AE74" s="1" t="s">
        <v>160</v>
      </c>
      <c r="AF74" s="1" t="s">
        <v>160</v>
      </c>
      <c r="AG74" s="1" t="s">
        <v>160</v>
      </c>
      <c r="AI74" s="1" t="s">
        <v>160</v>
      </c>
      <c r="AJ74" s="1" t="s">
        <v>163</v>
      </c>
      <c r="AK74" s="1" t="s">
        <v>163</v>
      </c>
      <c r="AL74" s="1" t="s">
        <v>163</v>
      </c>
      <c r="AM74" s="1" t="s">
        <v>198</v>
      </c>
      <c r="AN74" s="1" t="s">
        <v>163</v>
      </c>
      <c r="AO74" s="1" t="s">
        <v>179</v>
      </c>
      <c r="AP74" s="1" t="s">
        <v>179</v>
      </c>
      <c r="AR74" s="1" t="s">
        <v>160</v>
      </c>
      <c r="AS74" s="1" t="s">
        <v>160</v>
      </c>
      <c r="AT74" s="1" t="s">
        <v>180</v>
      </c>
      <c r="AU74" s="1" t="s">
        <v>160</v>
      </c>
      <c r="AV74" s="1" t="s">
        <v>159</v>
      </c>
      <c r="AW74" s="1" t="s">
        <v>159</v>
      </c>
      <c r="AX74" s="1" t="s">
        <v>160</v>
      </c>
      <c r="AY74" s="1" t="s">
        <v>160</v>
      </c>
      <c r="AZ74" s="1" t="s">
        <v>159</v>
      </c>
      <c r="BA74" s="1" t="s">
        <v>159</v>
      </c>
      <c r="BB74" s="1" t="s">
        <v>222</v>
      </c>
      <c r="BC74" s="1" t="s">
        <v>160</v>
      </c>
      <c r="BD74" s="1" t="s">
        <v>506</v>
      </c>
      <c r="BE74" s="1" t="s">
        <v>507</v>
      </c>
      <c r="BF74" s="1" t="s">
        <v>160</v>
      </c>
    </row>
    <row r="75" spans="1:58" ht="13" x14ac:dyDescent="0.15">
      <c r="A75" s="2">
        <v>44175.53125</v>
      </c>
      <c r="B75" s="2">
        <v>44175.532638888886</v>
      </c>
      <c r="C75" s="1" t="s">
        <v>39</v>
      </c>
      <c r="D75" s="1" t="s">
        <v>234</v>
      </c>
      <c r="E75" s="1">
        <v>100</v>
      </c>
      <c r="F75" s="1">
        <v>116</v>
      </c>
      <c r="G75" s="1" t="b">
        <v>1</v>
      </c>
      <c r="H75" s="2">
        <v>44175.532638888886</v>
      </c>
      <c r="I75" s="1" t="s">
        <v>508</v>
      </c>
      <c r="N75" s="1">
        <v>34.048492430000003</v>
      </c>
      <c r="O75" s="1">
        <v>-118.2528992</v>
      </c>
      <c r="P75" s="1" t="s">
        <v>153</v>
      </c>
      <c r="Q75" s="1" t="s">
        <v>154</v>
      </c>
      <c r="R75" s="1" t="s">
        <v>236</v>
      </c>
      <c r="S75" s="1" t="s">
        <v>226</v>
      </c>
      <c r="T75" s="1" t="s">
        <v>237</v>
      </c>
      <c r="U75" s="1" t="s">
        <v>509</v>
      </c>
      <c r="V75" s="1" t="s">
        <v>160</v>
      </c>
      <c r="W75" s="1" t="s">
        <v>160</v>
      </c>
      <c r="X75" s="1" t="s">
        <v>160</v>
      </c>
      <c r="Y75" s="1" t="s">
        <v>160</v>
      </c>
      <c r="Z75" s="1" t="s">
        <v>160</v>
      </c>
      <c r="AA75" s="1" t="s">
        <v>160</v>
      </c>
      <c r="AB75" s="1" t="s">
        <v>160</v>
      </c>
      <c r="AC75" s="1" t="s">
        <v>160</v>
      </c>
      <c r="AD75" s="1" t="s">
        <v>160</v>
      </c>
      <c r="AE75" s="1" t="s">
        <v>160</v>
      </c>
      <c r="AF75" s="1" t="s">
        <v>160</v>
      </c>
      <c r="AG75" s="1" t="s">
        <v>160</v>
      </c>
      <c r="AI75" s="1" t="s">
        <v>160</v>
      </c>
      <c r="AJ75" s="1" t="s">
        <v>198</v>
      </c>
      <c r="AK75" s="1" t="s">
        <v>163</v>
      </c>
      <c r="AL75" s="1" t="s">
        <v>198</v>
      </c>
      <c r="AM75" s="1" t="s">
        <v>198</v>
      </c>
      <c r="AN75" s="1" t="s">
        <v>164</v>
      </c>
      <c r="AO75" s="1" t="s">
        <v>179</v>
      </c>
      <c r="AP75" s="1" t="s">
        <v>239</v>
      </c>
      <c r="AR75" s="1" t="s">
        <v>160</v>
      </c>
      <c r="AS75" s="1" t="s">
        <v>160</v>
      </c>
      <c r="AT75" s="1" t="s">
        <v>510</v>
      </c>
      <c r="AU75" s="1" t="s">
        <v>159</v>
      </c>
      <c r="AV75" s="1" t="s">
        <v>160</v>
      </c>
      <c r="AW75" s="1" t="s">
        <v>160</v>
      </c>
      <c r="AX75" s="1" t="s">
        <v>159</v>
      </c>
      <c r="AY75" s="1" t="s">
        <v>159</v>
      </c>
      <c r="AZ75" s="1" t="s">
        <v>160</v>
      </c>
      <c r="BA75" s="1" t="s">
        <v>159</v>
      </c>
      <c r="BB75" s="1" t="s">
        <v>167</v>
      </c>
      <c r="BC75" s="1" t="s">
        <v>160</v>
      </c>
      <c r="BD75" s="1" t="s">
        <v>511</v>
      </c>
      <c r="BE75" s="1" t="s">
        <v>512</v>
      </c>
      <c r="BF75" s="1" t="s">
        <v>160</v>
      </c>
    </row>
    <row r="76" spans="1:58" ht="13" x14ac:dyDescent="0.15">
      <c r="A76" s="2">
        <v>44175.532638888886</v>
      </c>
      <c r="B76" s="2">
        <v>44175.53402777778</v>
      </c>
      <c r="C76" s="1" t="s">
        <v>39</v>
      </c>
      <c r="D76" s="1" t="s">
        <v>234</v>
      </c>
      <c r="E76" s="1">
        <v>100</v>
      </c>
      <c r="F76" s="1">
        <v>117</v>
      </c>
      <c r="G76" s="1" t="b">
        <v>1</v>
      </c>
      <c r="H76" s="2">
        <v>44175.53402777778</v>
      </c>
      <c r="I76" s="1" t="s">
        <v>513</v>
      </c>
      <c r="N76" s="1">
        <v>34.048492430000003</v>
      </c>
      <c r="O76" s="1">
        <v>-118.2528992</v>
      </c>
      <c r="P76" s="1" t="s">
        <v>153</v>
      </c>
      <c r="Q76" s="1" t="s">
        <v>154</v>
      </c>
      <c r="R76" s="1" t="s">
        <v>155</v>
      </c>
      <c r="S76" s="1" t="s">
        <v>310</v>
      </c>
      <c r="T76" s="1" t="s">
        <v>237</v>
      </c>
      <c r="U76" s="1" t="s">
        <v>514</v>
      </c>
      <c r="V76" s="1" t="s">
        <v>160</v>
      </c>
      <c r="W76" s="1" t="s">
        <v>160</v>
      </c>
      <c r="X76" s="1" t="s">
        <v>160</v>
      </c>
      <c r="Y76" s="1" t="s">
        <v>160</v>
      </c>
      <c r="Z76" s="1" t="s">
        <v>160</v>
      </c>
      <c r="AA76" s="1" t="s">
        <v>160</v>
      </c>
      <c r="AB76" s="1" t="s">
        <v>160</v>
      </c>
      <c r="AC76" s="1" t="s">
        <v>160</v>
      </c>
      <c r="AD76" s="1" t="s">
        <v>160</v>
      </c>
      <c r="AE76" s="1" t="s">
        <v>160</v>
      </c>
      <c r="AF76" s="1" t="s">
        <v>160</v>
      </c>
      <c r="AG76" s="1" t="s">
        <v>160</v>
      </c>
      <c r="AI76" s="1" t="s">
        <v>160</v>
      </c>
      <c r="AJ76" s="1" t="s">
        <v>164</v>
      </c>
      <c r="AK76" s="1" t="s">
        <v>192</v>
      </c>
      <c r="AL76" s="1" t="s">
        <v>192</v>
      </c>
      <c r="AM76" s="1" t="s">
        <v>163</v>
      </c>
      <c r="AN76" s="1" t="s">
        <v>163</v>
      </c>
      <c r="AO76" s="1" t="s">
        <v>179</v>
      </c>
      <c r="AP76" s="1" t="s">
        <v>239</v>
      </c>
      <c r="AR76" s="1" t="s">
        <v>160</v>
      </c>
      <c r="AS76" s="1" t="s">
        <v>160</v>
      </c>
      <c r="AT76" s="1" t="s">
        <v>515</v>
      </c>
      <c r="AU76" s="1" t="s">
        <v>160</v>
      </c>
      <c r="AV76" s="1" t="s">
        <v>159</v>
      </c>
      <c r="AW76" s="1" t="s">
        <v>159</v>
      </c>
      <c r="AX76" s="1" t="s">
        <v>160</v>
      </c>
      <c r="AY76" s="1" t="s">
        <v>159</v>
      </c>
      <c r="AZ76" s="1" t="s">
        <v>159</v>
      </c>
      <c r="BA76" s="1" t="s">
        <v>160</v>
      </c>
      <c r="BB76" s="1" t="s">
        <v>241</v>
      </c>
      <c r="BC76" s="1" t="s">
        <v>160</v>
      </c>
      <c r="BD76" s="1" t="s">
        <v>516</v>
      </c>
      <c r="BE76" s="1" t="s">
        <v>517</v>
      </c>
      <c r="BF76" s="1" t="s">
        <v>160</v>
      </c>
    </row>
    <row r="77" spans="1:58" ht="13" x14ac:dyDescent="0.15">
      <c r="A77" s="2">
        <v>44175.534722222219</v>
      </c>
      <c r="B77" s="2">
        <v>44175.536111111112</v>
      </c>
      <c r="C77" s="1" t="s">
        <v>39</v>
      </c>
      <c r="D77" s="1" t="s">
        <v>234</v>
      </c>
      <c r="E77" s="1">
        <v>100</v>
      </c>
      <c r="F77" s="1">
        <v>117</v>
      </c>
      <c r="G77" s="1" t="b">
        <v>1</v>
      </c>
      <c r="H77" s="2">
        <v>44175.536111111112</v>
      </c>
      <c r="I77" s="1" t="s">
        <v>518</v>
      </c>
      <c r="N77" s="1">
        <v>34.048492430000003</v>
      </c>
      <c r="O77" s="1">
        <v>-118.2528992</v>
      </c>
      <c r="P77" s="1" t="s">
        <v>153</v>
      </c>
      <c r="Q77" s="1" t="s">
        <v>154</v>
      </c>
      <c r="R77" s="1" t="s">
        <v>236</v>
      </c>
      <c r="S77" s="1" t="s">
        <v>226</v>
      </c>
      <c r="T77" s="1" t="s">
        <v>237</v>
      </c>
      <c r="U77" s="1" t="s">
        <v>519</v>
      </c>
      <c r="V77" s="1" t="s">
        <v>160</v>
      </c>
      <c r="W77" s="1" t="s">
        <v>160</v>
      </c>
      <c r="X77" s="1" t="s">
        <v>160</v>
      </c>
      <c r="Y77" s="1" t="s">
        <v>160</v>
      </c>
      <c r="Z77" s="1" t="s">
        <v>160</v>
      </c>
      <c r="AA77" s="1" t="s">
        <v>160</v>
      </c>
      <c r="AB77" s="1" t="s">
        <v>160</v>
      </c>
      <c r="AC77" s="1" t="s">
        <v>160</v>
      </c>
      <c r="AD77" s="1" t="s">
        <v>160</v>
      </c>
      <c r="AE77" s="1" t="s">
        <v>160</v>
      </c>
      <c r="AF77" s="1" t="s">
        <v>160</v>
      </c>
      <c r="AG77" s="1" t="s">
        <v>160</v>
      </c>
      <c r="AI77" s="1" t="s">
        <v>160</v>
      </c>
      <c r="AJ77" s="1" t="s">
        <v>192</v>
      </c>
      <c r="AK77" s="1" t="s">
        <v>163</v>
      </c>
      <c r="AL77" s="1" t="s">
        <v>163</v>
      </c>
      <c r="AM77" s="1" t="s">
        <v>198</v>
      </c>
      <c r="AN77" s="1" t="s">
        <v>163</v>
      </c>
      <c r="AO77" s="1" t="s">
        <v>179</v>
      </c>
      <c r="AP77" s="1" t="s">
        <v>239</v>
      </c>
      <c r="AR77" s="1" t="s">
        <v>160</v>
      </c>
      <c r="AS77" s="1" t="s">
        <v>160</v>
      </c>
      <c r="AT77" s="1" t="s">
        <v>520</v>
      </c>
      <c r="AU77" s="1" t="s">
        <v>160</v>
      </c>
      <c r="AV77" s="1" t="s">
        <v>159</v>
      </c>
      <c r="AW77" s="1" t="s">
        <v>160</v>
      </c>
      <c r="AX77" s="1" t="s">
        <v>160</v>
      </c>
      <c r="AY77" s="1" t="s">
        <v>159</v>
      </c>
      <c r="AZ77" s="1" t="s">
        <v>160</v>
      </c>
      <c r="BA77" s="1" t="s">
        <v>160</v>
      </c>
      <c r="BB77" s="1" t="s">
        <v>167</v>
      </c>
      <c r="BC77" s="1" t="s">
        <v>160</v>
      </c>
      <c r="BD77" s="1" t="s">
        <v>521</v>
      </c>
      <c r="BE77" s="1" t="s">
        <v>522</v>
      </c>
      <c r="BF77" s="1" t="s">
        <v>160</v>
      </c>
    </row>
    <row r="78" spans="1:58" ht="13" x14ac:dyDescent="0.15">
      <c r="A78" s="2">
        <v>44175.536111111112</v>
      </c>
      <c r="B78" s="2">
        <v>44175.537499999999</v>
      </c>
      <c r="C78" s="1" t="s">
        <v>39</v>
      </c>
      <c r="D78" s="1" t="s">
        <v>234</v>
      </c>
      <c r="E78" s="1">
        <v>100</v>
      </c>
      <c r="F78" s="1">
        <v>117</v>
      </c>
      <c r="G78" s="1" t="b">
        <v>1</v>
      </c>
      <c r="H78" s="2">
        <v>44175.537499999999</v>
      </c>
      <c r="I78" s="1" t="s">
        <v>523</v>
      </c>
      <c r="N78" s="1">
        <v>34.048492430000003</v>
      </c>
      <c r="O78" s="1">
        <v>-118.2528992</v>
      </c>
      <c r="P78" s="1" t="s">
        <v>153</v>
      </c>
      <c r="Q78" s="1" t="s">
        <v>154</v>
      </c>
      <c r="R78" s="1" t="s">
        <v>236</v>
      </c>
      <c r="S78" s="1" t="s">
        <v>310</v>
      </c>
      <c r="T78" s="1" t="s">
        <v>157</v>
      </c>
      <c r="U78" s="1" t="s">
        <v>524</v>
      </c>
      <c r="V78" s="1" t="s">
        <v>160</v>
      </c>
      <c r="W78" s="1" t="s">
        <v>160</v>
      </c>
      <c r="X78" s="1" t="s">
        <v>160</v>
      </c>
      <c r="Y78" s="1" t="s">
        <v>160</v>
      </c>
      <c r="Z78" s="1" t="s">
        <v>160</v>
      </c>
      <c r="AA78" s="1" t="s">
        <v>160</v>
      </c>
      <c r="AB78" s="1" t="s">
        <v>160</v>
      </c>
      <c r="AC78" s="1" t="s">
        <v>160</v>
      </c>
      <c r="AD78" s="1" t="s">
        <v>160</v>
      </c>
      <c r="AE78" s="1" t="s">
        <v>160</v>
      </c>
      <c r="AF78" s="1" t="s">
        <v>160</v>
      </c>
      <c r="AG78" s="1" t="s">
        <v>160</v>
      </c>
      <c r="AI78" s="1" t="s">
        <v>160</v>
      </c>
      <c r="AJ78" s="1" t="s">
        <v>164</v>
      </c>
      <c r="AK78" s="1" t="s">
        <v>163</v>
      </c>
      <c r="AL78" s="1" t="s">
        <v>164</v>
      </c>
      <c r="AM78" s="1" t="s">
        <v>198</v>
      </c>
      <c r="AN78" s="1" t="s">
        <v>164</v>
      </c>
      <c r="AO78" s="1" t="s">
        <v>179</v>
      </c>
      <c r="AP78" s="1" t="s">
        <v>239</v>
      </c>
      <c r="AR78" s="1" t="s">
        <v>160</v>
      </c>
      <c r="AS78" s="1" t="s">
        <v>160</v>
      </c>
      <c r="AT78" s="1" t="s">
        <v>515</v>
      </c>
      <c r="AU78" s="1" t="s">
        <v>160</v>
      </c>
      <c r="AV78" s="1" t="s">
        <v>160</v>
      </c>
      <c r="AW78" s="1" t="s">
        <v>159</v>
      </c>
      <c r="AX78" s="1" t="s">
        <v>160</v>
      </c>
      <c r="AY78" s="1" t="s">
        <v>159</v>
      </c>
      <c r="AZ78" s="1" t="s">
        <v>159</v>
      </c>
      <c r="BA78" s="1" t="s">
        <v>160</v>
      </c>
      <c r="BB78" s="1" t="s">
        <v>222</v>
      </c>
      <c r="BC78" s="1" t="s">
        <v>160</v>
      </c>
      <c r="BD78" s="1" t="s">
        <v>525</v>
      </c>
      <c r="BE78" s="1" t="s">
        <v>526</v>
      </c>
      <c r="BF78" s="1" t="s">
        <v>160</v>
      </c>
    </row>
    <row r="79" spans="1:58" ht="13" x14ac:dyDescent="0.15">
      <c r="A79" s="2">
        <v>44175.537499999999</v>
      </c>
      <c r="B79" s="2">
        <v>44175.538888888892</v>
      </c>
      <c r="C79" s="1" t="s">
        <v>39</v>
      </c>
      <c r="D79" s="1" t="s">
        <v>234</v>
      </c>
      <c r="E79" s="1">
        <v>100</v>
      </c>
      <c r="F79" s="1">
        <v>117</v>
      </c>
      <c r="G79" s="1" t="b">
        <v>1</v>
      </c>
      <c r="H79" s="2">
        <v>44175.538888888892</v>
      </c>
      <c r="I79" s="1" t="s">
        <v>527</v>
      </c>
      <c r="N79" s="1">
        <v>34.048492430000003</v>
      </c>
      <c r="O79" s="1">
        <v>-118.2528992</v>
      </c>
      <c r="P79" s="1" t="s">
        <v>153</v>
      </c>
      <c r="Q79" s="1" t="s">
        <v>154</v>
      </c>
      <c r="R79" s="1" t="s">
        <v>174</v>
      </c>
      <c r="S79" s="1" t="s">
        <v>175</v>
      </c>
      <c r="T79" s="1" t="s">
        <v>245</v>
      </c>
      <c r="U79" s="1" t="s">
        <v>528</v>
      </c>
      <c r="V79" s="1" t="s">
        <v>160</v>
      </c>
      <c r="W79" s="1" t="s">
        <v>160</v>
      </c>
      <c r="X79" s="1" t="s">
        <v>160</v>
      </c>
      <c r="Y79" s="1" t="s">
        <v>160</v>
      </c>
      <c r="Z79" s="1" t="s">
        <v>160</v>
      </c>
      <c r="AA79" s="1" t="s">
        <v>160</v>
      </c>
      <c r="AB79" s="1" t="s">
        <v>160</v>
      </c>
      <c r="AC79" s="1" t="s">
        <v>160</v>
      </c>
      <c r="AD79" s="1" t="s">
        <v>160</v>
      </c>
      <c r="AE79" s="1" t="s">
        <v>160</v>
      </c>
      <c r="AF79" s="1" t="s">
        <v>160</v>
      </c>
      <c r="AG79" s="1" t="s">
        <v>160</v>
      </c>
      <c r="AI79" s="1" t="s">
        <v>160</v>
      </c>
      <c r="AJ79" s="1" t="s">
        <v>163</v>
      </c>
      <c r="AK79" s="1" t="s">
        <v>163</v>
      </c>
      <c r="AL79" s="1" t="s">
        <v>198</v>
      </c>
      <c r="AM79" s="1" t="s">
        <v>192</v>
      </c>
      <c r="AN79" s="1" t="s">
        <v>163</v>
      </c>
      <c r="AO79" s="1" t="s">
        <v>179</v>
      </c>
      <c r="AP79" s="1" t="s">
        <v>179</v>
      </c>
      <c r="AR79" s="1" t="s">
        <v>160</v>
      </c>
      <c r="AS79" s="1" t="s">
        <v>160</v>
      </c>
      <c r="AT79" s="1" t="s">
        <v>529</v>
      </c>
      <c r="AU79" s="1" t="s">
        <v>159</v>
      </c>
      <c r="AV79" s="1" t="s">
        <v>159</v>
      </c>
      <c r="AW79" s="1" t="s">
        <v>159</v>
      </c>
      <c r="AX79" s="1" t="s">
        <v>159</v>
      </c>
      <c r="AY79" s="1" t="s">
        <v>160</v>
      </c>
      <c r="AZ79" s="1" t="s">
        <v>160</v>
      </c>
      <c r="BA79" s="1" t="s">
        <v>159</v>
      </c>
      <c r="BB79" s="1" t="s">
        <v>167</v>
      </c>
      <c r="BC79" s="1" t="s">
        <v>160</v>
      </c>
      <c r="BD79" s="1" t="s">
        <v>530</v>
      </c>
      <c r="BE79" s="1" t="s">
        <v>531</v>
      </c>
      <c r="BF79" s="1" t="s">
        <v>160</v>
      </c>
    </row>
    <row r="80" spans="1:58" ht="13" x14ac:dyDescent="0.15">
      <c r="A80" s="2">
        <v>44175.539583333331</v>
      </c>
      <c r="B80" s="2">
        <v>44175.540277777778</v>
      </c>
      <c r="C80" s="1" t="s">
        <v>39</v>
      </c>
      <c r="D80" s="1" t="s">
        <v>234</v>
      </c>
      <c r="E80" s="1">
        <v>100</v>
      </c>
      <c r="F80" s="1">
        <v>116</v>
      </c>
      <c r="G80" s="1" t="b">
        <v>1</v>
      </c>
      <c r="H80" s="2">
        <v>44175.540277777778</v>
      </c>
      <c r="I80" s="1" t="s">
        <v>532</v>
      </c>
      <c r="N80" s="1">
        <v>34.048492430000003</v>
      </c>
      <c r="O80" s="1">
        <v>-118.2528992</v>
      </c>
      <c r="P80" s="1" t="s">
        <v>153</v>
      </c>
      <c r="Q80" s="1" t="s">
        <v>154</v>
      </c>
      <c r="R80" s="1" t="s">
        <v>236</v>
      </c>
      <c r="S80" s="1" t="s">
        <v>208</v>
      </c>
      <c r="T80" s="1" t="s">
        <v>176</v>
      </c>
      <c r="U80" s="1" t="s">
        <v>533</v>
      </c>
      <c r="V80" s="1" t="s">
        <v>160</v>
      </c>
      <c r="W80" s="1" t="s">
        <v>160</v>
      </c>
      <c r="X80" s="1" t="s">
        <v>160</v>
      </c>
      <c r="Y80" s="1" t="s">
        <v>160</v>
      </c>
      <c r="Z80" s="1" t="s">
        <v>160</v>
      </c>
      <c r="AA80" s="1" t="s">
        <v>160</v>
      </c>
      <c r="AB80" s="1" t="s">
        <v>160</v>
      </c>
      <c r="AC80" s="1" t="s">
        <v>160</v>
      </c>
      <c r="AD80" s="1" t="s">
        <v>160</v>
      </c>
      <c r="AE80" s="1" t="s">
        <v>160</v>
      </c>
      <c r="AF80" s="1" t="s">
        <v>160</v>
      </c>
      <c r="AG80" s="1" t="s">
        <v>160</v>
      </c>
      <c r="AI80" s="1" t="s">
        <v>160</v>
      </c>
      <c r="AJ80" s="1" t="s">
        <v>164</v>
      </c>
      <c r="AK80" s="1" t="s">
        <v>198</v>
      </c>
      <c r="AL80" s="1" t="s">
        <v>163</v>
      </c>
      <c r="AM80" s="1" t="s">
        <v>198</v>
      </c>
      <c r="AN80" s="1" t="s">
        <v>163</v>
      </c>
      <c r="AO80" s="1" t="s">
        <v>179</v>
      </c>
      <c r="AP80" s="1" t="s">
        <v>239</v>
      </c>
      <c r="AR80" s="1" t="s">
        <v>160</v>
      </c>
      <c r="AS80" s="1" t="s">
        <v>160</v>
      </c>
      <c r="AT80" s="1" t="s">
        <v>534</v>
      </c>
      <c r="AU80" s="1" t="s">
        <v>160</v>
      </c>
      <c r="AV80" s="1" t="s">
        <v>159</v>
      </c>
      <c r="AW80" s="1" t="s">
        <v>159</v>
      </c>
      <c r="AX80" s="1" t="s">
        <v>160</v>
      </c>
      <c r="AY80" s="1" t="s">
        <v>159</v>
      </c>
      <c r="AZ80" s="1" t="s">
        <v>160</v>
      </c>
      <c r="BA80" s="1" t="s">
        <v>160</v>
      </c>
      <c r="BB80" s="1" t="s">
        <v>167</v>
      </c>
      <c r="BC80" s="1" t="s">
        <v>160</v>
      </c>
      <c r="BD80" s="1" t="s">
        <v>535</v>
      </c>
      <c r="BE80" s="1" t="s">
        <v>536</v>
      </c>
      <c r="BF80" s="1" t="s">
        <v>160</v>
      </c>
    </row>
    <row r="81" spans="1:58" ht="13" x14ac:dyDescent="0.15">
      <c r="A81" s="2">
        <v>44175.540972222225</v>
      </c>
      <c r="B81" s="2">
        <v>44175.542361111111</v>
      </c>
      <c r="C81" s="1" t="s">
        <v>39</v>
      </c>
      <c r="D81" s="1" t="s">
        <v>234</v>
      </c>
      <c r="E81" s="1">
        <v>100</v>
      </c>
      <c r="F81" s="1">
        <v>116</v>
      </c>
      <c r="G81" s="1" t="b">
        <v>1</v>
      </c>
      <c r="H81" s="2">
        <v>44175.542361111111</v>
      </c>
      <c r="I81" s="1" t="s">
        <v>537</v>
      </c>
      <c r="N81" s="1">
        <v>34.048492430000003</v>
      </c>
      <c r="O81" s="1">
        <v>-118.2528992</v>
      </c>
      <c r="P81" s="1" t="s">
        <v>153</v>
      </c>
      <c r="Q81" s="1" t="s">
        <v>154</v>
      </c>
      <c r="R81" s="1" t="s">
        <v>236</v>
      </c>
      <c r="S81" s="1" t="s">
        <v>274</v>
      </c>
      <c r="T81" s="1" t="s">
        <v>157</v>
      </c>
      <c r="U81" s="1" t="s">
        <v>538</v>
      </c>
      <c r="V81" s="1" t="s">
        <v>160</v>
      </c>
      <c r="W81" s="1" t="s">
        <v>160</v>
      </c>
      <c r="X81" s="1" t="s">
        <v>160</v>
      </c>
      <c r="Y81" s="1" t="s">
        <v>160</v>
      </c>
      <c r="Z81" s="1" t="s">
        <v>160</v>
      </c>
      <c r="AA81" s="1" t="s">
        <v>160</v>
      </c>
      <c r="AB81" s="1" t="s">
        <v>160</v>
      </c>
      <c r="AC81" s="1" t="s">
        <v>160</v>
      </c>
      <c r="AD81" s="1" t="s">
        <v>160</v>
      </c>
      <c r="AE81" s="1" t="s">
        <v>160</v>
      </c>
      <c r="AF81" s="1" t="s">
        <v>160</v>
      </c>
      <c r="AG81" s="1" t="s">
        <v>160</v>
      </c>
      <c r="AI81" s="1" t="s">
        <v>160</v>
      </c>
      <c r="AJ81" s="1" t="s">
        <v>192</v>
      </c>
      <c r="AK81" s="1" t="s">
        <v>198</v>
      </c>
      <c r="AL81" s="1" t="s">
        <v>163</v>
      </c>
      <c r="AM81" s="1" t="s">
        <v>198</v>
      </c>
      <c r="AN81" s="1" t="s">
        <v>192</v>
      </c>
      <c r="AO81" s="1" t="s">
        <v>179</v>
      </c>
      <c r="AP81" s="1" t="s">
        <v>239</v>
      </c>
      <c r="AR81" s="1" t="s">
        <v>160</v>
      </c>
      <c r="AS81" s="1" t="s">
        <v>160</v>
      </c>
      <c r="AT81" s="1" t="s">
        <v>539</v>
      </c>
      <c r="AU81" s="1" t="s">
        <v>160</v>
      </c>
      <c r="AV81" s="1" t="s">
        <v>160</v>
      </c>
      <c r="AW81" s="1" t="s">
        <v>160</v>
      </c>
      <c r="AX81" s="1" t="s">
        <v>160</v>
      </c>
      <c r="AY81" s="1" t="s">
        <v>160</v>
      </c>
      <c r="AZ81" s="1" t="s">
        <v>159</v>
      </c>
      <c r="BA81" s="1" t="s">
        <v>159</v>
      </c>
      <c r="BB81" s="1" t="s">
        <v>181</v>
      </c>
      <c r="BC81" s="1" t="s">
        <v>160</v>
      </c>
      <c r="BD81" s="1" t="s">
        <v>540</v>
      </c>
      <c r="BE81" s="1" t="s">
        <v>541</v>
      </c>
      <c r="BF81" s="1" t="s">
        <v>160</v>
      </c>
    </row>
    <row r="82" spans="1:58" ht="13" x14ac:dyDescent="0.15">
      <c r="A82" s="2">
        <v>44175.542361111111</v>
      </c>
      <c r="B82" s="2">
        <v>44175.543749999997</v>
      </c>
      <c r="C82" s="1" t="s">
        <v>39</v>
      </c>
      <c r="D82" s="1" t="s">
        <v>234</v>
      </c>
      <c r="E82" s="1">
        <v>100</v>
      </c>
      <c r="F82" s="1">
        <v>116</v>
      </c>
      <c r="G82" s="1" t="b">
        <v>1</v>
      </c>
      <c r="H82" s="2">
        <v>44175.543749999997</v>
      </c>
      <c r="I82" s="1" t="s">
        <v>542</v>
      </c>
      <c r="N82" s="1">
        <v>34.048492430000003</v>
      </c>
      <c r="O82" s="1">
        <v>-118.2528992</v>
      </c>
      <c r="P82" s="1" t="s">
        <v>153</v>
      </c>
      <c r="Q82" s="1" t="s">
        <v>154</v>
      </c>
      <c r="R82" s="1" t="s">
        <v>155</v>
      </c>
      <c r="S82" s="1" t="s">
        <v>310</v>
      </c>
      <c r="T82" s="1" t="s">
        <v>176</v>
      </c>
      <c r="U82" s="1" t="s">
        <v>543</v>
      </c>
      <c r="V82" s="1" t="s">
        <v>160</v>
      </c>
      <c r="W82" s="1" t="s">
        <v>160</v>
      </c>
      <c r="X82" s="1" t="s">
        <v>160</v>
      </c>
      <c r="Y82" s="1" t="s">
        <v>160</v>
      </c>
      <c r="Z82" s="1" t="s">
        <v>160</v>
      </c>
      <c r="AA82" s="1" t="s">
        <v>160</v>
      </c>
      <c r="AB82" s="1" t="s">
        <v>160</v>
      </c>
      <c r="AC82" s="1" t="s">
        <v>160</v>
      </c>
      <c r="AD82" s="1" t="s">
        <v>160</v>
      </c>
      <c r="AE82" s="1" t="s">
        <v>160</v>
      </c>
      <c r="AF82" s="1" t="s">
        <v>160</v>
      </c>
      <c r="AG82" s="1" t="s">
        <v>160</v>
      </c>
      <c r="AI82" s="1" t="s">
        <v>160</v>
      </c>
      <c r="AJ82" s="1" t="s">
        <v>192</v>
      </c>
      <c r="AK82" s="1" t="s">
        <v>163</v>
      </c>
      <c r="AL82" s="1" t="s">
        <v>198</v>
      </c>
      <c r="AM82" s="1" t="s">
        <v>163</v>
      </c>
      <c r="AN82" s="1" t="s">
        <v>198</v>
      </c>
      <c r="AO82" s="1" t="s">
        <v>179</v>
      </c>
      <c r="AP82" s="1" t="s">
        <v>165</v>
      </c>
      <c r="AR82" s="1" t="s">
        <v>160</v>
      </c>
      <c r="AS82" s="1" t="s">
        <v>160</v>
      </c>
      <c r="AT82" s="1" t="s">
        <v>203</v>
      </c>
      <c r="AU82" s="1" t="s">
        <v>160</v>
      </c>
      <c r="AV82" s="1" t="s">
        <v>160</v>
      </c>
      <c r="AW82" s="1" t="s">
        <v>160</v>
      </c>
      <c r="AX82" s="1" t="s">
        <v>160</v>
      </c>
      <c r="AY82" s="1" t="s">
        <v>159</v>
      </c>
      <c r="AZ82" s="1" t="s">
        <v>159</v>
      </c>
      <c r="BA82" s="1" t="s">
        <v>159</v>
      </c>
      <c r="BB82" s="1" t="s">
        <v>241</v>
      </c>
      <c r="BC82" s="1" t="s">
        <v>160</v>
      </c>
      <c r="BD82" s="1" t="s">
        <v>544</v>
      </c>
      <c r="BE82" s="1" t="s">
        <v>545</v>
      </c>
      <c r="BF82" s="1" t="s">
        <v>160</v>
      </c>
    </row>
    <row r="83" spans="1:58" ht="13" x14ac:dyDescent="0.15">
      <c r="A83" s="2">
        <v>44175.543749999997</v>
      </c>
      <c r="B83" s="2">
        <v>44175.545138888891</v>
      </c>
      <c r="C83" s="1" t="s">
        <v>39</v>
      </c>
      <c r="D83" s="1" t="s">
        <v>234</v>
      </c>
      <c r="E83" s="1">
        <v>100</v>
      </c>
      <c r="F83" s="1">
        <v>117</v>
      </c>
      <c r="G83" s="1" t="b">
        <v>1</v>
      </c>
      <c r="H83" s="2">
        <v>44175.545138888891</v>
      </c>
      <c r="I83" s="1" t="s">
        <v>546</v>
      </c>
      <c r="N83" s="1">
        <v>34.048492430000003</v>
      </c>
      <c r="O83" s="1">
        <v>-118.2528992</v>
      </c>
      <c r="P83" s="1" t="s">
        <v>153</v>
      </c>
      <c r="Q83" s="1" t="s">
        <v>154</v>
      </c>
      <c r="R83" s="1" t="s">
        <v>174</v>
      </c>
      <c r="S83" s="1" t="s">
        <v>175</v>
      </c>
      <c r="T83" s="1" t="s">
        <v>176</v>
      </c>
      <c r="U83" s="1" t="s">
        <v>547</v>
      </c>
      <c r="V83" s="1" t="s">
        <v>160</v>
      </c>
      <c r="W83" s="1" t="s">
        <v>160</v>
      </c>
      <c r="X83" s="1" t="s">
        <v>160</v>
      </c>
      <c r="Y83" s="1" t="s">
        <v>160</v>
      </c>
      <c r="Z83" s="1" t="s">
        <v>160</v>
      </c>
      <c r="AA83" s="1" t="s">
        <v>160</v>
      </c>
      <c r="AB83" s="1" t="s">
        <v>160</v>
      </c>
      <c r="AC83" s="1" t="s">
        <v>160</v>
      </c>
      <c r="AD83" s="1" t="s">
        <v>160</v>
      </c>
      <c r="AE83" s="1" t="s">
        <v>160</v>
      </c>
      <c r="AF83" s="1" t="s">
        <v>160</v>
      </c>
      <c r="AG83" s="1" t="s">
        <v>160</v>
      </c>
      <c r="AI83" s="1" t="s">
        <v>160</v>
      </c>
      <c r="AJ83" s="1" t="s">
        <v>164</v>
      </c>
      <c r="AK83" s="1" t="s">
        <v>164</v>
      </c>
      <c r="AL83" s="1" t="s">
        <v>198</v>
      </c>
      <c r="AM83" s="1" t="s">
        <v>164</v>
      </c>
      <c r="AN83" s="1" t="s">
        <v>198</v>
      </c>
      <c r="AO83" s="1" t="s">
        <v>179</v>
      </c>
      <c r="AP83" s="1" t="s">
        <v>179</v>
      </c>
      <c r="AR83" s="1" t="s">
        <v>160</v>
      </c>
      <c r="AS83" s="1" t="s">
        <v>160</v>
      </c>
      <c r="AT83" s="1" t="s">
        <v>548</v>
      </c>
      <c r="AU83" s="1" t="s">
        <v>160</v>
      </c>
      <c r="AV83" s="1" t="s">
        <v>160</v>
      </c>
      <c r="AW83" s="1" t="s">
        <v>160</v>
      </c>
      <c r="AX83" s="1" t="s">
        <v>159</v>
      </c>
      <c r="AY83" s="1" t="s">
        <v>160</v>
      </c>
      <c r="AZ83" s="1" t="s">
        <v>160</v>
      </c>
      <c r="BA83" s="1" t="s">
        <v>159</v>
      </c>
      <c r="BB83" s="1" t="s">
        <v>241</v>
      </c>
      <c r="BC83" s="1" t="s">
        <v>160</v>
      </c>
      <c r="BD83" s="1" t="s">
        <v>549</v>
      </c>
      <c r="BE83" s="1" t="s">
        <v>550</v>
      </c>
      <c r="BF83" s="1" t="s">
        <v>160</v>
      </c>
    </row>
    <row r="84" spans="1:58" ht="13" x14ac:dyDescent="0.15">
      <c r="A84" s="2">
        <v>44175.54583333333</v>
      </c>
      <c r="B84" s="2">
        <v>44175.547222222223</v>
      </c>
      <c r="C84" s="1" t="s">
        <v>39</v>
      </c>
      <c r="D84" s="1" t="s">
        <v>234</v>
      </c>
      <c r="E84" s="1">
        <v>100</v>
      </c>
      <c r="F84" s="1">
        <v>117</v>
      </c>
      <c r="G84" s="1" t="b">
        <v>1</v>
      </c>
      <c r="H84" s="2">
        <v>44175.547222222223</v>
      </c>
      <c r="I84" s="1" t="s">
        <v>551</v>
      </c>
      <c r="N84" s="1">
        <v>34.048492430000003</v>
      </c>
      <c r="O84" s="1">
        <v>-118.2528992</v>
      </c>
      <c r="P84" s="1" t="s">
        <v>153</v>
      </c>
      <c r="Q84" s="1" t="s">
        <v>154</v>
      </c>
      <c r="R84" s="1" t="s">
        <v>236</v>
      </c>
      <c r="S84" s="1" t="s">
        <v>310</v>
      </c>
      <c r="T84" s="1" t="s">
        <v>245</v>
      </c>
      <c r="U84" s="1" t="s">
        <v>552</v>
      </c>
      <c r="V84" s="1" t="s">
        <v>160</v>
      </c>
      <c r="W84" s="1" t="s">
        <v>160</v>
      </c>
      <c r="X84" s="1" t="s">
        <v>160</v>
      </c>
      <c r="Y84" s="1" t="s">
        <v>160</v>
      </c>
      <c r="Z84" s="1" t="s">
        <v>160</v>
      </c>
      <c r="AA84" s="1" t="s">
        <v>160</v>
      </c>
      <c r="AB84" s="1" t="s">
        <v>160</v>
      </c>
      <c r="AC84" s="1" t="s">
        <v>160</v>
      </c>
      <c r="AD84" s="1" t="s">
        <v>160</v>
      </c>
      <c r="AE84" s="1" t="s">
        <v>160</v>
      </c>
      <c r="AF84" s="1" t="s">
        <v>160</v>
      </c>
      <c r="AG84" s="1" t="s">
        <v>160</v>
      </c>
      <c r="AI84" s="1" t="s">
        <v>160</v>
      </c>
      <c r="AJ84" s="1" t="s">
        <v>192</v>
      </c>
      <c r="AK84" s="1" t="s">
        <v>164</v>
      </c>
      <c r="AL84" s="1" t="s">
        <v>198</v>
      </c>
      <c r="AM84" s="1" t="s">
        <v>198</v>
      </c>
      <c r="AN84" s="1" t="s">
        <v>198</v>
      </c>
      <c r="AO84" s="1" t="s">
        <v>179</v>
      </c>
      <c r="AP84" s="1" t="s">
        <v>239</v>
      </c>
      <c r="AR84" s="1" t="s">
        <v>160</v>
      </c>
      <c r="AS84" s="1" t="s">
        <v>160</v>
      </c>
      <c r="AT84" s="1" t="s">
        <v>553</v>
      </c>
      <c r="AU84" s="1" t="s">
        <v>159</v>
      </c>
      <c r="AV84" s="1" t="s">
        <v>159</v>
      </c>
      <c r="AW84" s="1" t="s">
        <v>160</v>
      </c>
      <c r="AX84" s="1" t="s">
        <v>159</v>
      </c>
      <c r="AY84" s="1" t="s">
        <v>159</v>
      </c>
      <c r="AZ84" s="1" t="s">
        <v>159</v>
      </c>
      <c r="BA84" s="1" t="s">
        <v>160</v>
      </c>
      <c r="BB84" s="1" t="s">
        <v>222</v>
      </c>
      <c r="BC84" s="1" t="s">
        <v>160</v>
      </c>
      <c r="BD84" s="1" t="s">
        <v>554</v>
      </c>
      <c r="BE84" s="1" t="s">
        <v>555</v>
      </c>
      <c r="BF84" s="1" t="s">
        <v>160</v>
      </c>
    </row>
    <row r="85" spans="1:58" ht="13" x14ac:dyDescent="0.15">
      <c r="A85" s="2">
        <v>44175.547222222223</v>
      </c>
      <c r="B85" s="2">
        <v>44175.548611111109</v>
      </c>
      <c r="C85" s="1" t="s">
        <v>39</v>
      </c>
      <c r="D85" s="1" t="s">
        <v>234</v>
      </c>
      <c r="E85" s="1">
        <v>100</v>
      </c>
      <c r="F85" s="1">
        <v>121</v>
      </c>
      <c r="G85" s="1" t="b">
        <v>1</v>
      </c>
      <c r="H85" s="2">
        <v>44175.548611111109</v>
      </c>
      <c r="I85" s="1" t="s">
        <v>556</v>
      </c>
      <c r="N85" s="1">
        <v>34.048492430000003</v>
      </c>
      <c r="O85" s="1">
        <v>-118.2528992</v>
      </c>
      <c r="P85" s="1" t="s">
        <v>153</v>
      </c>
      <c r="Q85" s="1" t="s">
        <v>154</v>
      </c>
      <c r="R85" s="1" t="s">
        <v>174</v>
      </c>
      <c r="S85" s="1" t="s">
        <v>208</v>
      </c>
      <c r="T85" s="1" t="s">
        <v>263</v>
      </c>
      <c r="U85" s="1" t="s">
        <v>557</v>
      </c>
      <c r="V85" s="1" t="s">
        <v>160</v>
      </c>
      <c r="W85" s="1" t="s">
        <v>160</v>
      </c>
      <c r="X85" s="1" t="s">
        <v>160</v>
      </c>
      <c r="Y85" s="1" t="s">
        <v>160</v>
      </c>
      <c r="Z85" s="1" t="s">
        <v>160</v>
      </c>
      <c r="AA85" s="1" t="s">
        <v>160</v>
      </c>
      <c r="AB85" s="1" t="s">
        <v>160</v>
      </c>
      <c r="AC85" s="1" t="s">
        <v>160</v>
      </c>
      <c r="AD85" s="1" t="s">
        <v>160</v>
      </c>
      <c r="AE85" s="1" t="s">
        <v>160</v>
      </c>
      <c r="AF85" s="1" t="s">
        <v>160</v>
      </c>
      <c r="AG85" s="1" t="s">
        <v>160</v>
      </c>
      <c r="AI85" s="1" t="s">
        <v>160</v>
      </c>
      <c r="AJ85" s="1" t="s">
        <v>192</v>
      </c>
      <c r="AK85" s="1" t="s">
        <v>164</v>
      </c>
      <c r="AL85" s="1" t="s">
        <v>192</v>
      </c>
      <c r="AM85" s="1" t="s">
        <v>164</v>
      </c>
      <c r="AN85" s="1" t="s">
        <v>192</v>
      </c>
      <c r="AO85" s="1" t="s">
        <v>179</v>
      </c>
      <c r="AP85" s="1" t="s">
        <v>179</v>
      </c>
      <c r="AR85" s="1" t="s">
        <v>160</v>
      </c>
      <c r="AS85" s="1" t="s">
        <v>160</v>
      </c>
      <c r="AT85" s="1" t="s">
        <v>558</v>
      </c>
      <c r="AU85" s="1" t="s">
        <v>159</v>
      </c>
      <c r="AV85" s="1" t="s">
        <v>159</v>
      </c>
      <c r="AW85" s="1" t="s">
        <v>160</v>
      </c>
      <c r="AX85" s="1" t="s">
        <v>159</v>
      </c>
      <c r="AY85" s="1" t="s">
        <v>160</v>
      </c>
      <c r="AZ85" s="1" t="s">
        <v>160</v>
      </c>
      <c r="BA85" s="1" t="s">
        <v>159</v>
      </c>
      <c r="BB85" s="1" t="s">
        <v>222</v>
      </c>
      <c r="BC85" s="1" t="s">
        <v>160</v>
      </c>
      <c r="BD85" s="1" t="s">
        <v>559</v>
      </c>
      <c r="BE85" s="1" t="s">
        <v>560</v>
      </c>
      <c r="BF85" s="1" t="s">
        <v>160</v>
      </c>
    </row>
    <row r="86" spans="1:58" ht="13" x14ac:dyDescent="0.15">
      <c r="A86" s="2">
        <v>44175.548611111109</v>
      </c>
      <c r="B86" s="2">
        <v>44175.55</v>
      </c>
      <c r="C86" s="1" t="s">
        <v>39</v>
      </c>
      <c r="D86" s="1" t="s">
        <v>234</v>
      </c>
      <c r="E86" s="1">
        <v>100</v>
      </c>
      <c r="F86" s="1">
        <v>116</v>
      </c>
      <c r="G86" s="1" t="b">
        <v>1</v>
      </c>
      <c r="H86" s="2">
        <v>44175.55</v>
      </c>
      <c r="I86" s="1" t="s">
        <v>561</v>
      </c>
      <c r="N86" s="1">
        <v>34.048492430000003</v>
      </c>
      <c r="O86" s="1">
        <v>-118.2528992</v>
      </c>
      <c r="P86" s="1" t="s">
        <v>153</v>
      </c>
      <c r="Q86" s="1" t="s">
        <v>154</v>
      </c>
      <c r="R86" s="1" t="s">
        <v>174</v>
      </c>
      <c r="S86" s="1" t="s">
        <v>310</v>
      </c>
      <c r="T86" s="1" t="s">
        <v>263</v>
      </c>
      <c r="U86" s="1" t="s">
        <v>562</v>
      </c>
      <c r="V86" s="1" t="s">
        <v>160</v>
      </c>
      <c r="W86" s="1" t="s">
        <v>160</v>
      </c>
      <c r="X86" s="1" t="s">
        <v>160</v>
      </c>
      <c r="Y86" s="1" t="s">
        <v>160</v>
      </c>
      <c r="Z86" s="1" t="s">
        <v>160</v>
      </c>
      <c r="AA86" s="1" t="s">
        <v>160</v>
      </c>
      <c r="AB86" s="1" t="s">
        <v>160</v>
      </c>
      <c r="AC86" s="1" t="s">
        <v>160</v>
      </c>
      <c r="AD86" s="1" t="s">
        <v>160</v>
      </c>
      <c r="AE86" s="1" t="s">
        <v>160</v>
      </c>
      <c r="AF86" s="1" t="s">
        <v>160</v>
      </c>
      <c r="AG86" s="1" t="s">
        <v>160</v>
      </c>
      <c r="AI86" s="1" t="s">
        <v>160</v>
      </c>
      <c r="AJ86" s="1" t="s">
        <v>198</v>
      </c>
      <c r="AK86" s="1" t="s">
        <v>163</v>
      </c>
      <c r="AL86" s="1" t="s">
        <v>164</v>
      </c>
      <c r="AM86" s="1" t="s">
        <v>163</v>
      </c>
      <c r="AN86" s="1" t="s">
        <v>164</v>
      </c>
      <c r="AO86" s="1" t="s">
        <v>179</v>
      </c>
      <c r="AP86" s="1" t="s">
        <v>179</v>
      </c>
      <c r="AR86" s="1" t="s">
        <v>160</v>
      </c>
      <c r="AS86" s="1" t="s">
        <v>160</v>
      </c>
      <c r="AT86" s="1" t="s">
        <v>563</v>
      </c>
      <c r="AU86" s="1" t="s">
        <v>159</v>
      </c>
      <c r="AV86" s="1" t="s">
        <v>160</v>
      </c>
      <c r="AW86" s="1" t="s">
        <v>159</v>
      </c>
      <c r="AX86" s="1" t="s">
        <v>160</v>
      </c>
      <c r="AY86" s="1" t="s">
        <v>159</v>
      </c>
      <c r="AZ86" s="1" t="s">
        <v>160</v>
      </c>
      <c r="BA86" s="1" t="s">
        <v>160</v>
      </c>
      <c r="BB86" s="1" t="s">
        <v>181</v>
      </c>
      <c r="BC86" s="1" t="s">
        <v>160</v>
      </c>
      <c r="BD86" s="1" t="s">
        <v>564</v>
      </c>
      <c r="BE86" s="1" t="s">
        <v>565</v>
      </c>
      <c r="BF86" s="1" t="s">
        <v>160</v>
      </c>
    </row>
    <row r="87" spans="1:58" ht="13" x14ac:dyDescent="0.15">
      <c r="A87" s="2">
        <v>44175.550694444442</v>
      </c>
      <c r="B87" s="2">
        <v>44175.552083333336</v>
      </c>
      <c r="C87" s="1" t="s">
        <v>39</v>
      </c>
      <c r="D87" s="1" t="s">
        <v>234</v>
      </c>
      <c r="E87" s="1">
        <v>100</v>
      </c>
      <c r="F87" s="1">
        <v>116</v>
      </c>
      <c r="G87" s="1" t="b">
        <v>1</v>
      </c>
      <c r="H87" s="2">
        <v>44175.552083333336</v>
      </c>
      <c r="I87" s="1" t="s">
        <v>566</v>
      </c>
      <c r="N87" s="1">
        <v>34.048492430000003</v>
      </c>
      <c r="O87" s="1">
        <v>-118.2528992</v>
      </c>
      <c r="P87" s="1" t="s">
        <v>153</v>
      </c>
      <c r="Q87" s="1" t="s">
        <v>154</v>
      </c>
      <c r="R87" s="1" t="s">
        <v>155</v>
      </c>
      <c r="S87" s="1" t="s">
        <v>274</v>
      </c>
      <c r="T87" s="1" t="s">
        <v>157</v>
      </c>
      <c r="U87" s="1" t="s">
        <v>264</v>
      </c>
      <c r="V87" s="1" t="s">
        <v>160</v>
      </c>
      <c r="W87" s="1" t="s">
        <v>160</v>
      </c>
      <c r="X87" s="1" t="s">
        <v>160</v>
      </c>
      <c r="Y87" s="1" t="s">
        <v>160</v>
      </c>
      <c r="Z87" s="1" t="s">
        <v>160</v>
      </c>
      <c r="AA87" s="1" t="s">
        <v>160</v>
      </c>
      <c r="AB87" s="1" t="s">
        <v>160</v>
      </c>
      <c r="AC87" s="1" t="s">
        <v>160</v>
      </c>
      <c r="AD87" s="1" t="s">
        <v>160</v>
      </c>
      <c r="AE87" s="1" t="s">
        <v>160</v>
      </c>
      <c r="AF87" s="1" t="s">
        <v>160</v>
      </c>
      <c r="AG87" s="1" t="s">
        <v>160</v>
      </c>
      <c r="AI87" s="1" t="s">
        <v>160</v>
      </c>
      <c r="AJ87" s="1" t="s">
        <v>198</v>
      </c>
      <c r="AK87" s="1" t="s">
        <v>164</v>
      </c>
      <c r="AL87" s="1" t="s">
        <v>198</v>
      </c>
      <c r="AM87" s="1" t="s">
        <v>192</v>
      </c>
      <c r="AN87" s="1" t="s">
        <v>164</v>
      </c>
      <c r="AO87" s="1" t="s">
        <v>179</v>
      </c>
      <c r="AP87" s="1" t="s">
        <v>165</v>
      </c>
      <c r="AR87" s="1" t="s">
        <v>160</v>
      </c>
      <c r="AS87" s="1" t="s">
        <v>160</v>
      </c>
      <c r="AT87" s="1" t="s">
        <v>450</v>
      </c>
      <c r="AU87" s="1" t="s">
        <v>159</v>
      </c>
      <c r="AV87" s="1" t="s">
        <v>159</v>
      </c>
      <c r="AW87" s="1" t="s">
        <v>159</v>
      </c>
      <c r="AX87" s="1" t="s">
        <v>159</v>
      </c>
      <c r="AY87" s="1" t="s">
        <v>159</v>
      </c>
      <c r="AZ87" s="1" t="s">
        <v>160</v>
      </c>
      <c r="BA87" s="1" t="s">
        <v>160</v>
      </c>
      <c r="BB87" s="1" t="s">
        <v>222</v>
      </c>
      <c r="BC87" s="1" t="s">
        <v>160</v>
      </c>
      <c r="BD87" s="1" t="s">
        <v>567</v>
      </c>
      <c r="BE87" s="1" t="s">
        <v>568</v>
      </c>
      <c r="BF87" s="1" t="s">
        <v>160</v>
      </c>
    </row>
    <row r="88" spans="1:58" ht="13" x14ac:dyDescent="0.15">
      <c r="A88" s="2">
        <v>44175.552083333336</v>
      </c>
      <c r="B88" s="2">
        <v>44175.553472222222</v>
      </c>
      <c r="C88" s="1" t="s">
        <v>39</v>
      </c>
      <c r="D88" s="1" t="s">
        <v>234</v>
      </c>
      <c r="E88" s="1">
        <v>100</v>
      </c>
      <c r="F88" s="1">
        <v>116</v>
      </c>
      <c r="G88" s="1" t="b">
        <v>1</v>
      </c>
      <c r="H88" s="2">
        <v>44175.553472222222</v>
      </c>
      <c r="I88" s="1" t="s">
        <v>569</v>
      </c>
      <c r="N88" s="1">
        <v>34.048492430000003</v>
      </c>
      <c r="O88" s="1">
        <v>-118.2528992</v>
      </c>
      <c r="P88" s="1" t="s">
        <v>153</v>
      </c>
      <c r="Q88" s="1" t="s">
        <v>154</v>
      </c>
      <c r="R88" s="1" t="s">
        <v>174</v>
      </c>
      <c r="S88" s="1" t="s">
        <v>175</v>
      </c>
      <c r="T88" s="1" t="s">
        <v>245</v>
      </c>
      <c r="U88" s="1" t="s">
        <v>570</v>
      </c>
      <c r="V88" s="1" t="s">
        <v>160</v>
      </c>
      <c r="W88" s="1" t="s">
        <v>160</v>
      </c>
      <c r="X88" s="1" t="s">
        <v>160</v>
      </c>
      <c r="Y88" s="1" t="s">
        <v>160</v>
      </c>
      <c r="Z88" s="1" t="s">
        <v>160</v>
      </c>
      <c r="AA88" s="1" t="s">
        <v>160</v>
      </c>
      <c r="AB88" s="1" t="s">
        <v>160</v>
      </c>
      <c r="AC88" s="1" t="s">
        <v>160</v>
      </c>
      <c r="AD88" s="1" t="s">
        <v>160</v>
      </c>
      <c r="AE88" s="1" t="s">
        <v>160</v>
      </c>
      <c r="AF88" s="1" t="s">
        <v>160</v>
      </c>
      <c r="AG88" s="1" t="s">
        <v>160</v>
      </c>
      <c r="AI88" s="1" t="s">
        <v>160</v>
      </c>
      <c r="AJ88" s="1" t="s">
        <v>164</v>
      </c>
      <c r="AK88" s="1" t="s">
        <v>164</v>
      </c>
      <c r="AL88" s="1" t="s">
        <v>192</v>
      </c>
      <c r="AM88" s="1" t="s">
        <v>192</v>
      </c>
      <c r="AN88" s="1" t="s">
        <v>198</v>
      </c>
      <c r="AO88" s="1" t="s">
        <v>179</v>
      </c>
      <c r="AP88" s="1" t="s">
        <v>165</v>
      </c>
      <c r="AR88" s="1" t="s">
        <v>160</v>
      </c>
      <c r="AS88" s="1" t="s">
        <v>160</v>
      </c>
      <c r="AT88" s="1" t="s">
        <v>571</v>
      </c>
      <c r="AU88" s="1" t="s">
        <v>159</v>
      </c>
      <c r="AV88" s="1" t="s">
        <v>159</v>
      </c>
      <c r="AW88" s="1" t="s">
        <v>159</v>
      </c>
      <c r="AX88" s="1" t="s">
        <v>159</v>
      </c>
      <c r="AY88" s="1" t="s">
        <v>159</v>
      </c>
      <c r="AZ88" s="1" t="s">
        <v>160</v>
      </c>
      <c r="BA88" s="1" t="s">
        <v>159</v>
      </c>
      <c r="BB88" s="1" t="s">
        <v>222</v>
      </c>
      <c r="BC88" s="1" t="s">
        <v>160</v>
      </c>
      <c r="BD88" s="1" t="s">
        <v>446</v>
      </c>
      <c r="BE88" s="1" t="s">
        <v>572</v>
      </c>
      <c r="BF88" s="1" t="s">
        <v>160</v>
      </c>
    </row>
    <row r="89" spans="1:58" ht="13" x14ac:dyDescent="0.15">
      <c r="A89" s="2">
        <v>44175.553472222222</v>
      </c>
      <c r="B89" s="2">
        <v>44175.554861111108</v>
      </c>
      <c r="C89" s="1" t="s">
        <v>39</v>
      </c>
      <c r="D89" s="1" t="s">
        <v>234</v>
      </c>
      <c r="E89" s="1">
        <v>100</v>
      </c>
      <c r="F89" s="1">
        <v>116</v>
      </c>
      <c r="G89" s="1" t="b">
        <v>1</v>
      </c>
      <c r="H89" s="2">
        <v>44175.554861111108</v>
      </c>
      <c r="I89" s="1" t="s">
        <v>573</v>
      </c>
      <c r="N89" s="1">
        <v>34.048492430000003</v>
      </c>
      <c r="O89" s="1">
        <v>-118.2528992</v>
      </c>
      <c r="P89" s="1" t="s">
        <v>153</v>
      </c>
      <c r="Q89" s="1" t="s">
        <v>154</v>
      </c>
      <c r="R89" s="1" t="s">
        <v>155</v>
      </c>
      <c r="S89" s="1" t="s">
        <v>274</v>
      </c>
      <c r="T89" s="1" t="s">
        <v>237</v>
      </c>
      <c r="U89" s="1" t="s">
        <v>436</v>
      </c>
      <c r="V89" s="1" t="s">
        <v>160</v>
      </c>
      <c r="W89" s="1" t="s">
        <v>160</v>
      </c>
      <c r="X89" s="1" t="s">
        <v>160</v>
      </c>
      <c r="Y89" s="1" t="s">
        <v>160</v>
      </c>
      <c r="Z89" s="1" t="s">
        <v>160</v>
      </c>
      <c r="AA89" s="1" t="s">
        <v>160</v>
      </c>
      <c r="AB89" s="1" t="s">
        <v>160</v>
      </c>
      <c r="AC89" s="1" t="s">
        <v>160</v>
      </c>
      <c r="AD89" s="1" t="s">
        <v>160</v>
      </c>
      <c r="AE89" s="1" t="s">
        <v>160</v>
      </c>
      <c r="AF89" s="1" t="s">
        <v>160</v>
      </c>
      <c r="AG89" s="1" t="s">
        <v>160</v>
      </c>
      <c r="AI89" s="1" t="s">
        <v>160</v>
      </c>
      <c r="AJ89" s="1" t="s">
        <v>192</v>
      </c>
      <c r="AK89" s="1" t="s">
        <v>192</v>
      </c>
      <c r="AL89" s="1" t="s">
        <v>192</v>
      </c>
      <c r="AM89" s="1" t="s">
        <v>164</v>
      </c>
      <c r="AN89" s="1" t="s">
        <v>192</v>
      </c>
      <c r="AO89" s="1" t="s">
        <v>179</v>
      </c>
      <c r="AP89" s="1" t="s">
        <v>239</v>
      </c>
      <c r="AR89" s="1" t="s">
        <v>160</v>
      </c>
      <c r="AS89" s="1" t="s">
        <v>160</v>
      </c>
      <c r="AT89" s="1" t="s">
        <v>276</v>
      </c>
      <c r="AU89" s="1" t="s">
        <v>160</v>
      </c>
      <c r="AV89" s="1" t="s">
        <v>160</v>
      </c>
      <c r="AW89" s="1" t="s">
        <v>160</v>
      </c>
      <c r="AX89" s="1" t="s">
        <v>160</v>
      </c>
      <c r="AY89" s="1" t="s">
        <v>159</v>
      </c>
      <c r="AZ89" s="1" t="s">
        <v>159</v>
      </c>
      <c r="BA89" s="1" t="s">
        <v>159</v>
      </c>
      <c r="BB89" s="1" t="s">
        <v>181</v>
      </c>
      <c r="BC89" s="1" t="s">
        <v>160</v>
      </c>
      <c r="BD89" s="1" t="s">
        <v>574</v>
      </c>
      <c r="BE89" s="1" t="s">
        <v>575</v>
      </c>
      <c r="BF89" s="1" t="s">
        <v>160</v>
      </c>
    </row>
    <row r="90" spans="1:58" ht="13" x14ac:dyDescent="0.15">
      <c r="A90" s="2">
        <v>44175.555555555555</v>
      </c>
      <c r="B90" s="2">
        <v>44175.556944444441</v>
      </c>
      <c r="C90" s="1" t="s">
        <v>39</v>
      </c>
      <c r="D90" s="1" t="s">
        <v>234</v>
      </c>
      <c r="E90" s="1">
        <v>100</v>
      </c>
      <c r="F90" s="1">
        <v>116</v>
      </c>
      <c r="G90" s="1" t="b">
        <v>1</v>
      </c>
      <c r="H90" s="2">
        <v>44175.556944444441</v>
      </c>
      <c r="I90" s="1" t="s">
        <v>576</v>
      </c>
      <c r="N90" s="1">
        <v>34.048492430000003</v>
      </c>
      <c r="O90" s="1">
        <v>-118.2528992</v>
      </c>
      <c r="P90" s="1" t="s">
        <v>153</v>
      </c>
      <c r="Q90" s="1" t="s">
        <v>154</v>
      </c>
      <c r="R90" s="1" t="s">
        <v>236</v>
      </c>
      <c r="S90" s="1" t="s">
        <v>226</v>
      </c>
      <c r="T90" s="1" t="s">
        <v>157</v>
      </c>
      <c r="U90" s="1" t="s">
        <v>577</v>
      </c>
      <c r="V90" s="1" t="s">
        <v>160</v>
      </c>
      <c r="W90" s="1" t="s">
        <v>160</v>
      </c>
      <c r="X90" s="1" t="s">
        <v>160</v>
      </c>
      <c r="Y90" s="1" t="s">
        <v>160</v>
      </c>
      <c r="Z90" s="1" t="s">
        <v>160</v>
      </c>
      <c r="AA90" s="1" t="s">
        <v>160</v>
      </c>
      <c r="AB90" s="1" t="s">
        <v>160</v>
      </c>
      <c r="AC90" s="1" t="s">
        <v>160</v>
      </c>
      <c r="AD90" s="1" t="s">
        <v>160</v>
      </c>
      <c r="AE90" s="1" t="s">
        <v>160</v>
      </c>
      <c r="AF90" s="1" t="s">
        <v>160</v>
      </c>
      <c r="AG90" s="1" t="s">
        <v>160</v>
      </c>
      <c r="AI90" s="1" t="s">
        <v>160</v>
      </c>
      <c r="AJ90" s="1" t="s">
        <v>164</v>
      </c>
      <c r="AK90" s="1" t="s">
        <v>192</v>
      </c>
      <c r="AL90" s="1" t="s">
        <v>164</v>
      </c>
      <c r="AM90" s="1" t="s">
        <v>198</v>
      </c>
      <c r="AN90" s="1" t="s">
        <v>163</v>
      </c>
      <c r="AO90" s="1" t="s">
        <v>179</v>
      </c>
      <c r="AP90" s="1" t="s">
        <v>165</v>
      </c>
      <c r="AR90" s="1" t="s">
        <v>160</v>
      </c>
      <c r="AS90" s="1" t="s">
        <v>160</v>
      </c>
      <c r="AT90" s="1" t="s">
        <v>578</v>
      </c>
      <c r="AU90" s="1" t="s">
        <v>160</v>
      </c>
      <c r="AV90" s="1" t="s">
        <v>159</v>
      </c>
      <c r="AW90" s="1" t="s">
        <v>160</v>
      </c>
      <c r="AX90" s="1" t="s">
        <v>160</v>
      </c>
      <c r="AY90" s="1" t="s">
        <v>159</v>
      </c>
      <c r="AZ90" s="1" t="s">
        <v>159</v>
      </c>
      <c r="BA90" s="1" t="s">
        <v>160</v>
      </c>
      <c r="BB90" s="1" t="s">
        <v>241</v>
      </c>
      <c r="BC90" s="1" t="s">
        <v>160</v>
      </c>
      <c r="BD90" s="1" t="s">
        <v>579</v>
      </c>
      <c r="BE90" s="1" t="s">
        <v>580</v>
      </c>
      <c r="BF90" s="1" t="s">
        <v>160</v>
      </c>
    </row>
    <row r="91" spans="1:58" ht="13" x14ac:dyDescent="0.15">
      <c r="A91" s="2">
        <v>44175.556944444441</v>
      </c>
      <c r="B91" s="2">
        <v>44175.558333333334</v>
      </c>
      <c r="C91" s="1" t="s">
        <v>39</v>
      </c>
      <c r="D91" s="1" t="s">
        <v>234</v>
      </c>
      <c r="E91" s="1">
        <v>100</v>
      </c>
      <c r="F91" s="1">
        <v>117</v>
      </c>
      <c r="G91" s="1" t="b">
        <v>1</v>
      </c>
      <c r="H91" s="2">
        <v>44175.558333333334</v>
      </c>
      <c r="I91" s="1" t="s">
        <v>581</v>
      </c>
      <c r="N91" s="1">
        <v>34.048492430000003</v>
      </c>
      <c r="O91" s="1">
        <v>-118.2528992</v>
      </c>
      <c r="P91" s="1" t="s">
        <v>153</v>
      </c>
      <c r="Q91" s="1" t="s">
        <v>154</v>
      </c>
      <c r="R91" s="1" t="s">
        <v>236</v>
      </c>
      <c r="S91" s="1" t="s">
        <v>274</v>
      </c>
      <c r="T91" s="1" t="s">
        <v>157</v>
      </c>
      <c r="U91" s="1" t="s">
        <v>582</v>
      </c>
      <c r="V91" s="1" t="s">
        <v>160</v>
      </c>
      <c r="W91" s="1" t="s">
        <v>160</v>
      </c>
      <c r="X91" s="1" t="s">
        <v>160</v>
      </c>
      <c r="Y91" s="1" t="s">
        <v>160</v>
      </c>
      <c r="Z91" s="1" t="s">
        <v>160</v>
      </c>
      <c r="AA91" s="1" t="s">
        <v>160</v>
      </c>
      <c r="AB91" s="1" t="s">
        <v>160</v>
      </c>
      <c r="AC91" s="1" t="s">
        <v>160</v>
      </c>
      <c r="AD91" s="1" t="s">
        <v>160</v>
      </c>
      <c r="AE91" s="1" t="s">
        <v>160</v>
      </c>
      <c r="AF91" s="1" t="s">
        <v>160</v>
      </c>
      <c r="AG91" s="1" t="s">
        <v>160</v>
      </c>
      <c r="AI91" s="1" t="s">
        <v>160</v>
      </c>
      <c r="AJ91" s="1" t="s">
        <v>198</v>
      </c>
      <c r="AK91" s="1" t="s">
        <v>192</v>
      </c>
      <c r="AL91" s="1" t="s">
        <v>198</v>
      </c>
      <c r="AM91" s="1" t="s">
        <v>164</v>
      </c>
      <c r="AN91" s="1" t="s">
        <v>164</v>
      </c>
      <c r="AO91" s="1" t="s">
        <v>179</v>
      </c>
      <c r="AP91" s="1" t="s">
        <v>179</v>
      </c>
      <c r="AR91" s="1" t="s">
        <v>160</v>
      </c>
      <c r="AS91" s="1" t="s">
        <v>160</v>
      </c>
      <c r="AT91" s="1" t="s">
        <v>360</v>
      </c>
      <c r="AU91" s="1" t="s">
        <v>160</v>
      </c>
      <c r="AV91" s="1" t="s">
        <v>160</v>
      </c>
      <c r="AW91" s="1" t="s">
        <v>160</v>
      </c>
      <c r="AX91" s="1" t="s">
        <v>160</v>
      </c>
      <c r="AY91" s="1" t="s">
        <v>159</v>
      </c>
      <c r="AZ91" s="1" t="s">
        <v>159</v>
      </c>
      <c r="BA91" s="1" t="s">
        <v>160</v>
      </c>
      <c r="BB91" s="1" t="s">
        <v>167</v>
      </c>
      <c r="BC91" s="1" t="s">
        <v>160</v>
      </c>
      <c r="BD91" s="1" t="s">
        <v>583</v>
      </c>
      <c r="BE91" s="1" t="s">
        <v>584</v>
      </c>
      <c r="BF91" s="1" t="s">
        <v>160</v>
      </c>
    </row>
    <row r="92" spans="1:58" ht="13" x14ac:dyDescent="0.15">
      <c r="A92" s="2">
        <v>44175.558333333334</v>
      </c>
      <c r="B92" s="2">
        <v>44175.55972222222</v>
      </c>
      <c r="C92" s="1" t="s">
        <v>39</v>
      </c>
      <c r="D92" s="1" t="s">
        <v>234</v>
      </c>
      <c r="E92" s="1">
        <v>100</v>
      </c>
      <c r="F92" s="1">
        <v>117</v>
      </c>
      <c r="G92" s="1" t="b">
        <v>1</v>
      </c>
      <c r="H92" s="2">
        <v>44175.55972222222</v>
      </c>
      <c r="I92" s="1" t="s">
        <v>585</v>
      </c>
      <c r="N92" s="1">
        <v>34.048492430000003</v>
      </c>
      <c r="O92" s="1">
        <v>-118.2528992</v>
      </c>
      <c r="P92" s="1" t="s">
        <v>153</v>
      </c>
      <c r="Q92" s="1" t="s">
        <v>154</v>
      </c>
      <c r="R92" s="1" t="s">
        <v>236</v>
      </c>
      <c r="S92" s="1" t="s">
        <v>226</v>
      </c>
      <c r="T92" s="1" t="s">
        <v>245</v>
      </c>
      <c r="U92" s="1" t="s">
        <v>586</v>
      </c>
      <c r="V92" s="1" t="s">
        <v>160</v>
      </c>
      <c r="W92" s="1" t="s">
        <v>160</v>
      </c>
      <c r="X92" s="1" t="s">
        <v>160</v>
      </c>
      <c r="Y92" s="1" t="s">
        <v>160</v>
      </c>
      <c r="Z92" s="1" t="s">
        <v>160</v>
      </c>
      <c r="AA92" s="1" t="s">
        <v>160</v>
      </c>
      <c r="AB92" s="1" t="s">
        <v>160</v>
      </c>
      <c r="AC92" s="1" t="s">
        <v>160</v>
      </c>
      <c r="AD92" s="1" t="s">
        <v>160</v>
      </c>
      <c r="AE92" s="1" t="s">
        <v>160</v>
      </c>
      <c r="AF92" s="1" t="s">
        <v>160</v>
      </c>
      <c r="AG92" s="1" t="s">
        <v>160</v>
      </c>
      <c r="AI92" s="1" t="s">
        <v>160</v>
      </c>
      <c r="AJ92" s="1" t="s">
        <v>198</v>
      </c>
      <c r="AK92" s="1" t="s">
        <v>164</v>
      </c>
      <c r="AL92" s="1" t="s">
        <v>192</v>
      </c>
      <c r="AM92" s="1" t="s">
        <v>198</v>
      </c>
      <c r="AN92" s="1" t="s">
        <v>163</v>
      </c>
      <c r="AO92" s="1" t="s">
        <v>179</v>
      </c>
      <c r="AP92" s="1" t="s">
        <v>239</v>
      </c>
      <c r="AR92" s="1" t="s">
        <v>160</v>
      </c>
      <c r="AS92" s="1" t="s">
        <v>160</v>
      </c>
      <c r="AT92" s="1" t="s">
        <v>587</v>
      </c>
      <c r="AU92" s="1" t="s">
        <v>160</v>
      </c>
      <c r="AV92" s="1" t="s">
        <v>159</v>
      </c>
      <c r="AW92" s="1" t="s">
        <v>160</v>
      </c>
      <c r="AX92" s="1" t="s">
        <v>159</v>
      </c>
      <c r="AY92" s="1" t="s">
        <v>160</v>
      </c>
      <c r="AZ92" s="1" t="s">
        <v>159</v>
      </c>
      <c r="BA92" s="1" t="s">
        <v>160</v>
      </c>
      <c r="BB92" s="1" t="s">
        <v>167</v>
      </c>
      <c r="BC92" s="1" t="s">
        <v>160</v>
      </c>
      <c r="BD92" s="1" t="s">
        <v>588</v>
      </c>
      <c r="BE92" s="1" t="s">
        <v>589</v>
      </c>
      <c r="BF92" s="1" t="s">
        <v>160</v>
      </c>
    </row>
    <row r="93" spans="1:58" ht="13" x14ac:dyDescent="0.15">
      <c r="A93" s="2">
        <v>44175.560416666667</v>
      </c>
      <c r="B93" s="2">
        <v>44175.561805555553</v>
      </c>
      <c r="C93" s="1" t="s">
        <v>39</v>
      </c>
      <c r="D93" s="1" t="s">
        <v>234</v>
      </c>
      <c r="E93" s="1">
        <v>100</v>
      </c>
      <c r="F93" s="1">
        <v>116</v>
      </c>
      <c r="G93" s="1" t="b">
        <v>1</v>
      </c>
      <c r="H93" s="2">
        <v>44175.561805555553</v>
      </c>
      <c r="I93" s="1" t="s">
        <v>590</v>
      </c>
      <c r="N93" s="1">
        <v>34.048492430000003</v>
      </c>
      <c r="O93" s="1">
        <v>-118.2528992</v>
      </c>
      <c r="P93" s="1" t="s">
        <v>153</v>
      </c>
      <c r="Q93" s="1" t="s">
        <v>154</v>
      </c>
      <c r="R93" s="1" t="s">
        <v>155</v>
      </c>
      <c r="S93" s="1" t="s">
        <v>175</v>
      </c>
      <c r="T93" s="1" t="s">
        <v>176</v>
      </c>
      <c r="U93" s="1" t="s">
        <v>591</v>
      </c>
      <c r="V93" s="1" t="s">
        <v>160</v>
      </c>
      <c r="W93" s="1" t="s">
        <v>160</v>
      </c>
      <c r="X93" s="1" t="s">
        <v>160</v>
      </c>
      <c r="Y93" s="1" t="s">
        <v>160</v>
      </c>
      <c r="Z93" s="1" t="s">
        <v>160</v>
      </c>
      <c r="AA93" s="1" t="s">
        <v>160</v>
      </c>
      <c r="AB93" s="1" t="s">
        <v>160</v>
      </c>
      <c r="AC93" s="1" t="s">
        <v>160</v>
      </c>
      <c r="AD93" s="1" t="s">
        <v>160</v>
      </c>
      <c r="AE93" s="1" t="s">
        <v>160</v>
      </c>
      <c r="AF93" s="1" t="s">
        <v>160</v>
      </c>
      <c r="AG93" s="1" t="s">
        <v>160</v>
      </c>
      <c r="AI93" s="1" t="s">
        <v>160</v>
      </c>
      <c r="AJ93" s="1" t="s">
        <v>163</v>
      </c>
      <c r="AK93" s="1" t="s">
        <v>163</v>
      </c>
      <c r="AL93" s="1" t="s">
        <v>163</v>
      </c>
      <c r="AM93" s="1" t="s">
        <v>198</v>
      </c>
      <c r="AN93" s="1" t="s">
        <v>198</v>
      </c>
      <c r="AO93" s="1" t="s">
        <v>179</v>
      </c>
      <c r="AP93" s="1" t="s">
        <v>179</v>
      </c>
      <c r="AR93" s="1" t="s">
        <v>160</v>
      </c>
      <c r="AS93" s="1" t="s">
        <v>160</v>
      </c>
      <c r="AT93" s="1" t="s">
        <v>592</v>
      </c>
      <c r="AU93" s="1" t="s">
        <v>159</v>
      </c>
      <c r="AV93" s="1" t="s">
        <v>160</v>
      </c>
      <c r="AW93" s="1" t="s">
        <v>160</v>
      </c>
      <c r="AX93" s="1" t="s">
        <v>160</v>
      </c>
      <c r="AY93" s="1" t="s">
        <v>160</v>
      </c>
      <c r="AZ93" s="1" t="s">
        <v>159</v>
      </c>
      <c r="BA93" s="1" t="s">
        <v>160</v>
      </c>
      <c r="BB93" s="1" t="s">
        <v>167</v>
      </c>
      <c r="BC93" s="1" t="s">
        <v>160</v>
      </c>
      <c r="BD93" s="1" t="s">
        <v>593</v>
      </c>
      <c r="BE93" s="1" t="s">
        <v>594</v>
      </c>
      <c r="BF93" s="1" t="s">
        <v>160</v>
      </c>
    </row>
    <row r="94" spans="1:58" ht="13" x14ac:dyDescent="0.15">
      <c r="A94" s="2">
        <v>44175.561805555553</v>
      </c>
      <c r="B94" s="2">
        <v>44175.563194444447</v>
      </c>
      <c r="C94" s="1" t="s">
        <v>39</v>
      </c>
      <c r="D94" s="1" t="s">
        <v>234</v>
      </c>
      <c r="E94" s="1">
        <v>100</v>
      </c>
      <c r="F94" s="1">
        <v>116</v>
      </c>
      <c r="G94" s="1" t="b">
        <v>1</v>
      </c>
      <c r="H94" s="2">
        <v>44175.563194444447</v>
      </c>
      <c r="I94" s="1" t="s">
        <v>595</v>
      </c>
      <c r="N94" s="1">
        <v>34.048492430000003</v>
      </c>
      <c r="O94" s="1">
        <v>-118.2528992</v>
      </c>
      <c r="P94" s="1" t="s">
        <v>153</v>
      </c>
      <c r="Q94" s="1" t="s">
        <v>154</v>
      </c>
      <c r="R94" s="1" t="s">
        <v>155</v>
      </c>
      <c r="S94" s="1" t="s">
        <v>175</v>
      </c>
      <c r="T94" s="1" t="s">
        <v>245</v>
      </c>
      <c r="U94" s="1" t="s">
        <v>596</v>
      </c>
      <c r="V94" s="1" t="s">
        <v>160</v>
      </c>
      <c r="W94" s="1" t="s">
        <v>160</v>
      </c>
      <c r="X94" s="1" t="s">
        <v>160</v>
      </c>
      <c r="Y94" s="1" t="s">
        <v>160</v>
      </c>
      <c r="Z94" s="1" t="s">
        <v>160</v>
      </c>
      <c r="AA94" s="1" t="s">
        <v>160</v>
      </c>
      <c r="AB94" s="1" t="s">
        <v>160</v>
      </c>
      <c r="AC94" s="1" t="s">
        <v>160</v>
      </c>
      <c r="AD94" s="1" t="s">
        <v>160</v>
      </c>
      <c r="AE94" s="1" t="s">
        <v>160</v>
      </c>
      <c r="AF94" s="1" t="s">
        <v>160</v>
      </c>
      <c r="AG94" s="1" t="s">
        <v>160</v>
      </c>
      <c r="AI94" s="1" t="s">
        <v>160</v>
      </c>
      <c r="AJ94" s="1" t="s">
        <v>164</v>
      </c>
      <c r="AK94" s="1" t="s">
        <v>198</v>
      </c>
      <c r="AL94" s="1" t="s">
        <v>163</v>
      </c>
      <c r="AM94" s="1" t="s">
        <v>163</v>
      </c>
      <c r="AN94" s="1" t="s">
        <v>198</v>
      </c>
      <c r="AO94" s="1" t="s">
        <v>179</v>
      </c>
      <c r="AP94" s="1" t="s">
        <v>179</v>
      </c>
      <c r="AR94" s="1" t="s">
        <v>160</v>
      </c>
      <c r="AS94" s="1" t="s">
        <v>160</v>
      </c>
      <c r="AT94" s="1" t="s">
        <v>553</v>
      </c>
      <c r="AU94" s="1" t="s">
        <v>159</v>
      </c>
      <c r="AV94" s="1" t="s">
        <v>160</v>
      </c>
      <c r="AW94" s="1" t="s">
        <v>159</v>
      </c>
      <c r="AX94" s="1" t="s">
        <v>159</v>
      </c>
      <c r="AY94" s="1" t="s">
        <v>160</v>
      </c>
      <c r="AZ94" s="1" t="s">
        <v>160</v>
      </c>
      <c r="BA94" s="1" t="s">
        <v>159</v>
      </c>
      <c r="BB94" s="1" t="s">
        <v>241</v>
      </c>
      <c r="BC94" s="1" t="s">
        <v>160</v>
      </c>
      <c r="BD94" s="1" t="s">
        <v>597</v>
      </c>
      <c r="BE94" s="1" t="s">
        <v>598</v>
      </c>
      <c r="BF94" s="1" t="s">
        <v>160</v>
      </c>
    </row>
    <row r="95" spans="1:58" ht="13" x14ac:dyDescent="0.15">
      <c r="A95" s="2">
        <v>44175.563194444447</v>
      </c>
      <c r="B95" s="2">
        <v>44175.564583333333</v>
      </c>
      <c r="C95" s="1" t="s">
        <v>39</v>
      </c>
      <c r="D95" s="1" t="s">
        <v>234</v>
      </c>
      <c r="E95" s="1">
        <v>100</v>
      </c>
      <c r="F95" s="1">
        <v>116</v>
      </c>
      <c r="G95" s="1" t="b">
        <v>1</v>
      </c>
      <c r="H95" s="2">
        <v>44175.564583333333</v>
      </c>
      <c r="I95" s="1" t="s">
        <v>599</v>
      </c>
      <c r="N95" s="1">
        <v>34.048492430000003</v>
      </c>
      <c r="O95" s="1">
        <v>-118.2528992</v>
      </c>
      <c r="P95" s="1" t="s">
        <v>153</v>
      </c>
      <c r="Q95" s="1" t="s">
        <v>154</v>
      </c>
      <c r="R95" s="1" t="s">
        <v>174</v>
      </c>
      <c r="S95" s="1" t="s">
        <v>310</v>
      </c>
      <c r="T95" s="1" t="s">
        <v>245</v>
      </c>
      <c r="U95" s="1" t="s">
        <v>600</v>
      </c>
      <c r="V95" s="1" t="s">
        <v>160</v>
      </c>
      <c r="W95" s="1" t="s">
        <v>160</v>
      </c>
      <c r="X95" s="1" t="s">
        <v>160</v>
      </c>
      <c r="Y95" s="1" t="s">
        <v>160</v>
      </c>
      <c r="Z95" s="1" t="s">
        <v>160</v>
      </c>
      <c r="AA95" s="1" t="s">
        <v>160</v>
      </c>
      <c r="AB95" s="1" t="s">
        <v>160</v>
      </c>
      <c r="AC95" s="1" t="s">
        <v>160</v>
      </c>
      <c r="AD95" s="1" t="s">
        <v>160</v>
      </c>
      <c r="AE95" s="1" t="s">
        <v>160</v>
      </c>
      <c r="AF95" s="1" t="s">
        <v>160</v>
      </c>
      <c r="AG95" s="1" t="s">
        <v>160</v>
      </c>
      <c r="AI95" s="1" t="s">
        <v>160</v>
      </c>
      <c r="AJ95" s="1" t="s">
        <v>164</v>
      </c>
      <c r="AK95" s="1" t="s">
        <v>163</v>
      </c>
      <c r="AL95" s="1" t="s">
        <v>164</v>
      </c>
      <c r="AM95" s="1" t="s">
        <v>192</v>
      </c>
      <c r="AN95" s="1" t="s">
        <v>198</v>
      </c>
      <c r="AO95" s="1" t="s">
        <v>179</v>
      </c>
      <c r="AP95" s="1" t="s">
        <v>239</v>
      </c>
      <c r="AR95" s="1" t="s">
        <v>160</v>
      </c>
      <c r="AS95" s="1" t="s">
        <v>160</v>
      </c>
      <c r="AT95" s="1" t="s">
        <v>180</v>
      </c>
      <c r="AU95" s="1" t="s">
        <v>159</v>
      </c>
      <c r="AV95" s="1" t="s">
        <v>160</v>
      </c>
      <c r="AW95" s="1" t="s">
        <v>159</v>
      </c>
      <c r="AX95" s="1" t="s">
        <v>160</v>
      </c>
      <c r="AY95" s="1" t="s">
        <v>160</v>
      </c>
      <c r="AZ95" s="1" t="s">
        <v>160</v>
      </c>
      <c r="BA95" s="1" t="s">
        <v>160</v>
      </c>
      <c r="BB95" s="1" t="s">
        <v>241</v>
      </c>
      <c r="BC95" s="1" t="s">
        <v>160</v>
      </c>
      <c r="BD95" s="1" t="s">
        <v>601</v>
      </c>
      <c r="BE95" s="1" t="s">
        <v>602</v>
      </c>
      <c r="BF95" s="1" t="s">
        <v>160</v>
      </c>
    </row>
    <row r="96" spans="1:58" ht="13" x14ac:dyDescent="0.15">
      <c r="A96" s="2">
        <v>44175.564583333333</v>
      </c>
      <c r="B96" s="2">
        <v>44175.565972222219</v>
      </c>
      <c r="C96" s="1" t="s">
        <v>39</v>
      </c>
      <c r="D96" s="1" t="s">
        <v>234</v>
      </c>
      <c r="E96" s="1">
        <v>100</v>
      </c>
      <c r="F96" s="1">
        <v>116</v>
      </c>
      <c r="G96" s="1" t="b">
        <v>1</v>
      </c>
      <c r="H96" s="2">
        <v>44175.565972222219</v>
      </c>
      <c r="I96" s="1" t="s">
        <v>603</v>
      </c>
      <c r="N96" s="1">
        <v>34.048492430000003</v>
      </c>
      <c r="O96" s="1">
        <v>-118.2528992</v>
      </c>
      <c r="P96" s="1" t="s">
        <v>153</v>
      </c>
      <c r="Q96" s="1" t="s">
        <v>154</v>
      </c>
      <c r="R96" s="1" t="s">
        <v>155</v>
      </c>
      <c r="S96" s="1" t="s">
        <v>310</v>
      </c>
      <c r="T96" s="1" t="s">
        <v>176</v>
      </c>
      <c r="U96" s="1" t="s">
        <v>604</v>
      </c>
      <c r="V96" s="1" t="s">
        <v>160</v>
      </c>
      <c r="W96" s="1" t="s">
        <v>160</v>
      </c>
      <c r="X96" s="1" t="s">
        <v>160</v>
      </c>
      <c r="Y96" s="1" t="s">
        <v>160</v>
      </c>
      <c r="Z96" s="1" t="s">
        <v>160</v>
      </c>
      <c r="AA96" s="1" t="s">
        <v>160</v>
      </c>
      <c r="AB96" s="1" t="s">
        <v>160</v>
      </c>
      <c r="AC96" s="1" t="s">
        <v>160</v>
      </c>
      <c r="AD96" s="1" t="s">
        <v>160</v>
      </c>
      <c r="AE96" s="1" t="s">
        <v>160</v>
      </c>
      <c r="AF96" s="1" t="s">
        <v>160</v>
      </c>
      <c r="AG96" s="1" t="s">
        <v>160</v>
      </c>
      <c r="AI96" s="1" t="s">
        <v>160</v>
      </c>
      <c r="AJ96" s="1" t="s">
        <v>164</v>
      </c>
      <c r="AK96" s="1" t="s">
        <v>198</v>
      </c>
      <c r="AL96" s="1" t="s">
        <v>198</v>
      </c>
      <c r="AM96" s="1" t="s">
        <v>192</v>
      </c>
      <c r="AN96" s="1" t="s">
        <v>163</v>
      </c>
      <c r="AO96" s="1" t="s">
        <v>179</v>
      </c>
      <c r="AP96" s="1" t="s">
        <v>179</v>
      </c>
      <c r="AR96" s="1" t="s">
        <v>160</v>
      </c>
      <c r="AS96" s="1" t="s">
        <v>160</v>
      </c>
      <c r="AT96" s="1" t="s">
        <v>605</v>
      </c>
      <c r="AU96" s="1" t="s">
        <v>160</v>
      </c>
      <c r="AV96" s="1" t="s">
        <v>159</v>
      </c>
      <c r="AW96" s="1" t="s">
        <v>160</v>
      </c>
      <c r="AX96" s="1" t="s">
        <v>160</v>
      </c>
      <c r="AY96" s="1" t="s">
        <v>159</v>
      </c>
      <c r="AZ96" s="1" t="s">
        <v>160</v>
      </c>
      <c r="BA96" s="1" t="s">
        <v>160</v>
      </c>
      <c r="BB96" s="1" t="s">
        <v>241</v>
      </c>
      <c r="BC96" s="1" t="s">
        <v>160</v>
      </c>
      <c r="BD96" s="1" t="s">
        <v>606</v>
      </c>
      <c r="BE96" s="1" t="s">
        <v>607</v>
      </c>
      <c r="BF96" s="1" t="s">
        <v>160</v>
      </c>
    </row>
    <row r="97" spans="1:58" ht="13" x14ac:dyDescent="0.15">
      <c r="A97" s="2">
        <v>44175.566666666666</v>
      </c>
      <c r="B97" s="2">
        <v>44175.568055555559</v>
      </c>
      <c r="C97" s="1" t="s">
        <v>39</v>
      </c>
      <c r="D97" s="1" t="s">
        <v>234</v>
      </c>
      <c r="E97" s="1">
        <v>100</v>
      </c>
      <c r="F97" s="1">
        <v>117</v>
      </c>
      <c r="G97" s="1" t="b">
        <v>1</v>
      </c>
      <c r="H97" s="2">
        <v>44175.568055555559</v>
      </c>
      <c r="I97" s="1" t="s">
        <v>608</v>
      </c>
      <c r="N97" s="1">
        <v>34.048492430000003</v>
      </c>
      <c r="O97" s="1">
        <v>-118.2528992</v>
      </c>
      <c r="P97" s="1" t="s">
        <v>153</v>
      </c>
      <c r="Q97" s="1" t="s">
        <v>154</v>
      </c>
      <c r="R97" s="1" t="s">
        <v>174</v>
      </c>
      <c r="S97" s="1" t="s">
        <v>208</v>
      </c>
      <c r="T97" s="1" t="s">
        <v>245</v>
      </c>
      <c r="U97" s="1" t="s">
        <v>609</v>
      </c>
      <c r="V97" s="1" t="s">
        <v>160</v>
      </c>
      <c r="W97" s="1" t="s">
        <v>160</v>
      </c>
      <c r="X97" s="1" t="s">
        <v>160</v>
      </c>
      <c r="Y97" s="1" t="s">
        <v>160</v>
      </c>
      <c r="Z97" s="1" t="s">
        <v>160</v>
      </c>
      <c r="AA97" s="1" t="s">
        <v>160</v>
      </c>
      <c r="AB97" s="1" t="s">
        <v>160</v>
      </c>
      <c r="AC97" s="1" t="s">
        <v>160</v>
      </c>
      <c r="AD97" s="1" t="s">
        <v>160</v>
      </c>
      <c r="AE97" s="1" t="s">
        <v>160</v>
      </c>
      <c r="AF97" s="1" t="s">
        <v>160</v>
      </c>
      <c r="AG97" s="1" t="s">
        <v>160</v>
      </c>
      <c r="AI97" s="1" t="s">
        <v>160</v>
      </c>
      <c r="AJ97" s="1" t="s">
        <v>164</v>
      </c>
      <c r="AK97" s="1" t="s">
        <v>198</v>
      </c>
      <c r="AL97" s="1" t="s">
        <v>163</v>
      </c>
      <c r="AM97" s="1" t="s">
        <v>163</v>
      </c>
      <c r="AN97" s="1" t="s">
        <v>163</v>
      </c>
      <c r="AO97" s="1" t="s">
        <v>179</v>
      </c>
      <c r="AP97" s="1" t="s">
        <v>239</v>
      </c>
      <c r="AR97" s="1" t="s">
        <v>160</v>
      </c>
      <c r="AS97" s="1" t="s">
        <v>160</v>
      </c>
      <c r="AT97" s="1" t="s">
        <v>383</v>
      </c>
      <c r="AU97" s="1" t="s">
        <v>160</v>
      </c>
      <c r="AV97" s="1" t="s">
        <v>159</v>
      </c>
      <c r="AW97" s="1" t="s">
        <v>159</v>
      </c>
      <c r="AX97" s="1" t="s">
        <v>160</v>
      </c>
      <c r="AY97" s="1" t="s">
        <v>160</v>
      </c>
      <c r="AZ97" s="1" t="s">
        <v>159</v>
      </c>
      <c r="BA97" s="1" t="s">
        <v>159</v>
      </c>
      <c r="BB97" s="1" t="s">
        <v>222</v>
      </c>
      <c r="BC97" s="1" t="s">
        <v>160</v>
      </c>
      <c r="BD97" s="1" t="s">
        <v>610</v>
      </c>
      <c r="BE97" s="1" t="s">
        <v>611</v>
      </c>
      <c r="BF97" s="1" t="s">
        <v>160</v>
      </c>
    </row>
    <row r="98" spans="1:58" ht="13" x14ac:dyDescent="0.15">
      <c r="A98" s="2">
        <v>44175.568055555559</v>
      </c>
      <c r="B98" s="2">
        <v>44175.569444444445</v>
      </c>
      <c r="C98" s="1" t="s">
        <v>39</v>
      </c>
      <c r="D98" s="1" t="s">
        <v>234</v>
      </c>
      <c r="E98" s="1">
        <v>100</v>
      </c>
      <c r="F98" s="1">
        <v>115</v>
      </c>
      <c r="G98" s="1" t="b">
        <v>1</v>
      </c>
      <c r="H98" s="2">
        <v>44175.569444444445</v>
      </c>
      <c r="I98" s="1" t="s">
        <v>612</v>
      </c>
      <c r="N98" s="1">
        <v>34.048492430000003</v>
      </c>
      <c r="O98" s="1">
        <v>-118.2528992</v>
      </c>
      <c r="P98" s="1" t="s">
        <v>153</v>
      </c>
      <c r="Q98" s="1" t="s">
        <v>154</v>
      </c>
      <c r="R98" s="1" t="s">
        <v>155</v>
      </c>
      <c r="S98" s="1" t="s">
        <v>310</v>
      </c>
      <c r="T98" s="1" t="s">
        <v>263</v>
      </c>
      <c r="U98" s="1" t="s">
        <v>613</v>
      </c>
      <c r="V98" s="1" t="s">
        <v>160</v>
      </c>
      <c r="W98" s="1" t="s">
        <v>160</v>
      </c>
      <c r="X98" s="1" t="s">
        <v>160</v>
      </c>
      <c r="Y98" s="1" t="s">
        <v>160</v>
      </c>
      <c r="Z98" s="1" t="s">
        <v>160</v>
      </c>
      <c r="AA98" s="1" t="s">
        <v>160</v>
      </c>
      <c r="AB98" s="1" t="s">
        <v>160</v>
      </c>
      <c r="AC98" s="1" t="s">
        <v>160</v>
      </c>
      <c r="AD98" s="1" t="s">
        <v>160</v>
      </c>
      <c r="AE98" s="1" t="s">
        <v>160</v>
      </c>
      <c r="AF98" s="1" t="s">
        <v>160</v>
      </c>
      <c r="AG98" s="1" t="s">
        <v>160</v>
      </c>
      <c r="AI98" s="1" t="s">
        <v>160</v>
      </c>
      <c r="AJ98" s="1" t="s">
        <v>192</v>
      </c>
      <c r="AK98" s="1" t="s">
        <v>198</v>
      </c>
      <c r="AL98" s="1" t="s">
        <v>192</v>
      </c>
      <c r="AM98" s="1" t="s">
        <v>198</v>
      </c>
      <c r="AN98" s="1" t="s">
        <v>198</v>
      </c>
      <c r="AO98" s="1" t="s">
        <v>179</v>
      </c>
      <c r="AP98" s="1" t="s">
        <v>165</v>
      </c>
      <c r="AR98" s="1" t="s">
        <v>160</v>
      </c>
      <c r="AS98" s="1" t="s">
        <v>160</v>
      </c>
      <c r="AT98" s="1" t="s">
        <v>614</v>
      </c>
      <c r="AU98" s="1" t="s">
        <v>159</v>
      </c>
      <c r="AV98" s="1" t="s">
        <v>160</v>
      </c>
      <c r="AW98" s="1" t="s">
        <v>159</v>
      </c>
      <c r="AX98" s="1" t="s">
        <v>159</v>
      </c>
      <c r="AY98" s="1" t="s">
        <v>159</v>
      </c>
      <c r="AZ98" s="1" t="s">
        <v>160</v>
      </c>
      <c r="BA98" s="1" t="s">
        <v>160</v>
      </c>
      <c r="BB98" s="1" t="s">
        <v>222</v>
      </c>
      <c r="BC98" s="1" t="s">
        <v>160</v>
      </c>
      <c r="BD98" s="1" t="s">
        <v>615</v>
      </c>
      <c r="BE98" s="1" t="s">
        <v>616</v>
      </c>
      <c r="BF98" s="1" t="s">
        <v>160</v>
      </c>
    </row>
    <row r="99" spans="1:58" ht="13" x14ac:dyDescent="0.15">
      <c r="A99" s="2">
        <v>44175.569444444445</v>
      </c>
      <c r="B99" s="2">
        <v>44175.570833333331</v>
      </c>
      <c r="C99" s="1" t="s">
        <v>39</v>
      </c>
      <c r="D99" s="1" t="s">
        <v>234</v>
      </c>
      <c r="E99" s="1">
        <v>100</v>
      </c>
      <c r="F99" s="1">
        <v>117</v>
      </c>
      <c r="G99" s="1" t="b">
        <v>1</v>
      </c>
      <c r="H99" s="2">
        <v>44175.570833333331</v>
      </c>
      <c r="I99" s="1" t="s">
        <v>617</v>
      </c>
      <c r="N99" s="1">
        <v>34.048492430000003</v>
      </c>
      <c r="O99" s="1">
        <v>-118.2528992</v>
      </c>
      <c r="P99" s="1" t="s">
        <v>153</v>
      </c>
      <c r="Q99" s="1" t="s">
        <v>154</v>
      </c>
      <c r="R99" s="1" t="s">
        <v>155</v>
      </c>
      <c r="S99" s="1" t="s">
        <v>310</v>
      </c>
      <c r="T99" s="1" t="s">
        <v>263</v>
      </c>
      <c r="U99" s="1" t="s">
        <v>618</v>
      </c>
      <c r="V99" s="1" t="s">
        <v>160</v>
      </c>
      <c r="W99" s="1" t="s">
        <v>160</v>
      </c>
      <c r="X99" s="1" t="s">
        <v>160</v>
      </c>
      <c r="Y99" s="1" t="s">
        <v>160</v>
      </c>
      <c r="Z99" s="1" t="s">
        <v>160</v>
      </c>
      <c r="AA99" s="1" t="s">
        <v>160</v>
      </c>
      <c r="AB99" s="1" t="s">
        <v>160</v>
      </c>
      <c r="AC99" s="1" t="s">
        <v>160</v>
      </c>
      <c r="AD99" s="1" t="s">
        <v>160</v>
      </c>
      <c r="AE99" s="1" t="s">
        <v>160</v>
      </c>
      <c r="AF99" s="1" t="s">
        <v>160</v>
      </c>
      <c r="AG99" s="1" t="s">
        <v>160</v>
      </c>
      <c r="AI99" s="1" t="s">
        <v>160</v>
      </c>
      <c r="AJ99" s="1" t="s">
        <v>192</v>
      </c>
      <c r="AK99" s="1" t="s">
        <v>163</v>
      </c>
      <c r="AL99" s="1" t="s">
        <v>192</v>
      </c>
      <c r="AM99" s="1" t="s">
        <v>192</v>
      </c>
      <c r="AN99" s="1" t="s">
        <v>164</v>
      </c>
      <c r="AO99" s="1" t="s">
        <v>179</v>
      </c>
      <c r="AP99" s="1" t="s">
        <v>179</v>
      </c>
      <c r="AR99" s="1" t="s">
        <v>160</v>
      </c>
      <c r="AS99" s="1" t="s">
        <v>160</v>
      </c>
      <c r="AT99" s="1" t="s">
        <v>619</v>
      </c>
      <c r="AU99" s="1" t="s">
        <v>160</v>
      </c>
      <c r="AV99" s="1" t="s">
        <v>159</v>
      </c>
      <c r="AW99" s="1" t="s">
        <v>159</v>
      </c>
      <c r="AX99" s="1" t="s">
        <v>159</v>
      </c>
      <c r="AY99" s="1" t="s">
        <v>159</v>
      </c>
      <c r="AZ99" s="1" t="s">
        <v>159</v>
      </c>
      <c r="BA99" s="1" t="s">
        <v>160</v>
      </c>
      <c r="BB99" s="1" t="s">
        <v>181</v>
      </c>
      <c r="BC99" s="1" t="s">
        <v>160</v>
      </c>
      <c r="BD99" s="1" t="s">
        <v>620</v>
      </c>
      <c r="BE99" s="1" t="s">
        <v>621</v>
      </c>
      <c r="BF99" s="1" t="s">
        <v>160</v>
      </c>
    </row>
    <row r="100" spans="1:58" ht="13" x14ac:dyDescent="0.15">
      <c r="A100" s="2">
        <v>44175.571527777778</v>
      </c>
      <c r="B100" s="2">
        <v>44175.572916666664</v>
      </c>
      <c r="C100" s="1" t="s">
        <v>39</v>
      </c>
      <c r="D100" s="1" t="s">
        <v>234</v>
      </c>
      <c r="E100" s="1">
        <v>100</v>
      </c>
      <c r="F100" s="1">
        <v>117</v>
      </c>
      <c r="G100" s="1" t="b">
        <v>1</v>
      </c>
      <c r="H100" s="2">
        <v>44175.572916666664</v>
      </c>
      <c r="I100" s="1" t="s">
        <v>622</v>
      </c>
      <c r="N100" s="1">
        <v>34.048492430000003</v>
      </c>
      <c r="O100" s="1">
        <v>-118.2528992</v>
      </c>
      <c r="P100" s="1" t="s">
        <v>153</v>
      </c>
      <c r="Q100" s="1" t="s">
        <v>154</v>
      </c>
      <c r="R100" s="1" t="s">
        <v>174</v>
      </c>
      <c r="S100" s="1" t="s">
        <v>310</v>
      </c>
      <c r="T100" s="1" t="s">
        <v>263</v>
      </c>
      <c r="U100" s="1" t="s">
        <v>623</v>
      </c>
      <c r="V100" s="1" t="s">
        <v>160</v>
      </c>
      <c r="W100" s="1" t="s">
        <v>160</v>
      </c>
      <c r="X100" s="1" t="s">
        <v>160</v>
      </c>
      <c r="Y100" s="1" t="s">
        <v>160</v>
      </c>
      <c r="Z100" s="1" t="s">
        <v>160</v>
      </c>
      <c r="AA100" s="1" t="s">
        <v>160</v>
      </c>
      <c r="AB100" s="1" t="s">
        <v>160</v>
      </c>
      <c r="AC100" s="1" t="s">
        <v>160</v>
      </c>
      <c r="AD100" s="1" t="s">
        <v>160</v>
      </c>
      <c r="AE100" s="1" t="s">
        <v>160</v>
      </c>
      <c r="AF100" s="1" t="s">
        <v>160</v>
      </c>
      <c r="AG100" s="1" t="s">
        <v>160</v>
      </c>
      <c r="AI100" s="1" t="s">
        <v>160</v>
      </c>
      <c r="AJ100" s="1" t="s">
        <v>192</v>
      </c>
      <c r="AK100" s="1" t="s">
        <v>164</v>
      </c>
      <c r="AL100" s="1" t="s">
        <v>164</v>
      </c>
      <c r="AM100" s="1" t="s">
        <v>164</v>
      </c>
      <c r="AN100" s="1" t="s">
        <v>164</v>
      </c>
      <c r="AO100" s="1" t="s">
        <v>179</v>
      </c>
      <c r="AP100" s="1" t="s">
        <v>165</v>
      </c>
      <c r="AR100" s="1" t="s">
        <v>160</v>
      </c>
      <c r="AS100" s="1" t="s">
        <v>160</v>
      </c>
      <c r="AT100" s="1" t="s">
        <v>468</v>
      </c>
      <c r="AU100" s="1" t="s">
        <v>160</v>
      </c>
      <c r="AV100" s="1" t="s">
        <v>160</v>
      </c>
      <c r="AW100" s="1" t="s">
        <v>159</v>
      </c>
      <c r="AX100" s="1" t="s">
        <v>160</v>
      </c>
      <c r="AY100" s="1" t="s">
        <v>160</v>
      </c>
      <c r="AZ100" s="1" t="s">
        <v>159</v>
      </c>
      <c r="BA100" s="1" t="s">
        <v>160</v>
      </c>
      <c r="BB100" s="1" t="s">
        <v>222</v>
      </c>
      <c r="BC100" s="1" t="s">
        <v>160</v>
      </c>
      <c r="BD100" s="1" t="s">
        <v>624</v>
      </c>
      <c r="BE100" s="1" t="s">
        <v>625</v>
      </c>
      <c r="BF100" s="1" t="s">
        <v>160</v>
      </c>
    </row>
    <row r="101" spans="1:58" ht="13" x14ac:dyDescent="0.15">
      <c r="A101" s="2">
        <v>44175.572916666664</v>
      </c>
      <c r="B101" s="2">
        <v>44175.574305555558</v>
      </c>
      <c r="C101" s="1" t="s">
        <v>39</v>
      </c>
      <c r="D101" s="1" t="s">
        <v>234</v>
      </c>
      <c r="E101" s="1">
        <v>100</v>
      </c>
      <c r="F101" s="1">
        <v>118</v>
      </c>
      <c r="G101" s="1" t="b">
        <v>1</v>
      </c>
      <c r="H101" s="2">
        <v>44175.574305555558</v>
      </c>
      <c r="I101" s="1" t="s">
        <v>626</v>
      </c>
      <c r="N101" s="1">
        <v>34.048492430000003</v>
      </c>
      <c r="O101" s="1">
        <v>-118.2528992</v>
      </c>
      <c r="P101" s="1" t="s">
        <v>153</v>
      </c>
      <c r="Q101" s="1" t="s">
        <v>154</v>
      </c>
      <c r="R101" s="1" t="s">
        <v>236</v>
      </c>
      <c r="S101" s="1" t="s">
        <v>310</v>
      </c>
      <c r="T101" s="1" t="s">
        <v>263</v>
      </c>
      <c r="U101" s="1" t="s">
        <v>627</v>
      </c>
      <c r="V101" s="1" t="s">
        <v>160</v>
      </c>
      <c r="W101" s="1" t="s">
        <v>160</v>
      </c>
      <c r="X101" s="1" t="s">
        <v>160</v>
      </c>
      <c r="Y101" s="1" t="s">
        <v>160</v>
      </c>
      <c r="Z101" s="1" t="s">
        <v>160</v>
      </c>
      <c r="AA101" s="1" t="s">
        <v>160</v>
      </c>
      <c r="AB101" s="1" t="s">
        <v>160</v>
      </c>
      <c r="AC101" s="1" t="s">
        <v>160</v>
      </c>
      <c r="AD101" s="1" t="s">
        <v>160</v>
      </c>
      <c r="AE101" s="1" t="s">
        <v>160</v>
      </c>
      <c r="AF101" s="1" t="s">
        <v>160</v>
      </c>
      <c r="AG101" s="1" t="s">
        <v>160</v>
      </c>
      <c r="AI101" s="1" t="s">
        <v>160</v>
      </c>
      <c r="AJ101" s="1" t="s">
        <v>198</v>
      </c>
      <c r="AK101" s="1" t="s">
        <v>198</v>
      </c>
      <c r="AL101" s="1" t="s">
        <v>164</v>
      </c>
      <c r="AM101" s="1" t="s">
        <v>198</v>
      </c>
      <c r="AN101" s="1" t="s">
        <v>198</v>
      </c>
      <c r="AO101" s="1" t="s">
        <v>179</v>
      </c>
      <c r="AP101" s="1" t="s">
        <v>165</v>
      </c>
      <c r="AR101" s="1" t="s">
        <v>160</v>
      </c>
      <c r="AS101" s="1" t="s">
        <v>160</v>
      </c>
      <c r="AT101" s="1" t="s">
        <v>628</v>
      </c>
      <c r="AU101" s="1" t="s">
        <v>159</v>
      </c>
      <c r="AV101" s="1" t="s">
        <v>159</v>
      </c>
      <c r="AW101" s="1" t="s">
        <v>159</v>
      </c>
      <c r="AX101" s="1" t="s">
        <v>159</v>
      </c>
      <c r="AY101" s="1" t="s">
        <v>159</v>
      </c>
      <c r="AZ101" s="1" t="s">
        <v>159</v>
      </c>
      <c r="BA101" s="1" t="s">
        <v>159</v>
      </c>
      <c r="BB101" s="1" t="s">
        <v>167</v>
      </c>
      <c r="BC101" s="1" t="s">
        <v>160</v>
      </c>
      <c r="BD101" s="1" t="s">
        <v>629</v>
      </c>
      <c r="BE101" s="1" t="s">
        <v>630</v>
      </c>
      <c r="BF101" s="1" t="s">
        <v>160</v>
      </c>
    </row>
    <row r="102" spans="1:58" ht="13" x14ac:dyDescent="0.15">
      <c r="A102" s="2">
        <v>44175.574305555558</v>
      </c>
      <c r="B102" s="2">
        <v>44175.575694444444</v>
      </c>
      <c r="C102" s="1" t="s">
        <v>39</v>
      </c>
      <c r="D102" s="1" t="s">
        <v>234</v>
      </c>
      <c r="E102" s="1">
        <v>100</v>
      </c>
      <c r="F102" s="1">
        <v>117</v>
      </c>
      <c r="G102" s="1" t="b">
        <v>1</v>
      </c>
      <c r="H102" s="2">
        <v>44175.575694444444</v>
      </c>
      <c r="I102" s="1" t="s">
        <v>631</v>
      </c>
      <c r="N102" s="1">
        <v>34.048492430000003</v>
      </c>
      <c r="O102" s="1">
        <v>-118.2528992</v>
      </c>
      <c r="P102" s="1" t="s">
        <v>153</v>
      </c>
      <c r="Q102" s="1" t="s">
        <v>154</v>
      </c>
      <c r="R102" s="1" t="s">
        <v>174</v>
      </c>
      <c r="S102" s="1" t="s">
        <v>226</v>
      </c>
      <c r="T102" s="1" t="s">
        <v>245</v>
      </c>
      <c r="U102" s="1" t="s">
        <v>632</v>
      </c>
      <c r="V102" s="1" t="s">
        <v>160</v>
      </c>
      <c r="W102" s="1" t="s">
        <v>160</v>
      </c>
      <c r="X102" s="1" t="s">
        <v>160</v>
      </c>
      <c r="Y102" s="1" t="s">
        <v>160</v>
      </c>
      <c r="Z102" s="1" t="s">
        <v>160</v>
      </c>
      <c r="AA102" s="1" t="s">
        <v>160</v>
      </c>
      <c r="AB102" s="1" t="s">
        <v>160</v>
      </c>
      <c r="AC102" s="1" t="s">
        <v>160</v>
      </c>
      <c r="AD102" s="1" t="s">
        <v>160</v>
      </c>
      <c r="AE102" s="1" t="s">
        <v>160</v>
      </c>
      <c r="AF102" s="1" t="s">
        <v>160</v>
      </c>
      <c r="AG102" s="1" t="s">
        <v>160</v>
      </c>
      <c r="AI102" s="1" t="s">
        <v>160</v>
      </c>
      <c r="AJ102" s="1" t="s">
        <v>163</v>
      </c>
      <c r="AK102" s="1" t="s">
        <v>164</v>
      </c>
      <c r="AL102" s="1" t="s">
        <v>163</v>
      </c>
      <c r="AM102" s="1" t="s">
        <v>198</v>
      </c>
      <c r="AN102" s="1" t="s">
        <v>192</v>
      </c>
      <c r="AO102" s="1" t="s">
        <v>179</v>
      </c>
      <c r="AP102" s="1" t="s">
        <v>239</v>
      </c>
      <c r="AR102" s="1" t="s">
        <v>160</v>
      </c>
      <c r="AS102" s="1" t="s">
        <v>160</v>
      </c>
      <c r="AT102" s="1" t="s">
        <v>633</v>
      </c>
      <c r="AU102" s="1" t="s">
        <v>159</v>
      </c>
      <c r="AV102" s="1" t="s">
        <v>160</v>
      </c>
      <c r="AW102" s="1" t="s">
        <v>159</v>
      </c>
      <c r="AX102" s="1" t="s">
        <v>159</v>
      </c>
      <c r="AY102" s="1" t="s">
        <v>159</v>
      </c>
      <c r="AZ102" s="1" t="s">
        <v>160</v>
      </c>
      <c r="BA102" s="1" t="s">
        <v>160</v>
      </c>
      <c r="BB102" s="1" t="s">
        <v>241</v>
      </c>
      <c r="BC102" s="1" t="s">
        <v>160</v>
      </c>
      <c r="BD102" s="1" t="s">
        <v>634</v>
      </c>
      <c r="BE102" s="1" t="s">
        <v>635</v>
      </c>
      <c r="BF102" s="1" t="s">
        <v>160</v>
      </c>
    </row>
    <row r="103" spans="1:58" ht="13" x14ac:dyDescent="0.15">
      <c r="A103" s="2">
        <v>44175.576388888891</v>
      </c>
      <c r="B103" s="2">
        <v>44175.577777777777</v>
      </c>
      <c r="C103" s="1" t="s">
        <v>39</v>
      </c>
      <c r="D103" s="1" t="s">
        <v>234</v>
      </c>
      <c r="E103" s="1">
        <v>100</v>
      </c>
      <c r="F103" s="1">
        <v>116</v>
      </c>
      <c r="G103" s="1" t="b">
        <v>1</v>
      </c>
      <c r="H103" s="2">
        <v>44175.577777777777</v>
      </c>
      <c r="I103" s="1" t="s">
        <v>636</v>
      </c>
      <c r="N103" s="1">
        <v>34.048492430000003</v>
      </c>
      <c r="O103" s="1">
        <v>-118.2528992</v>
      </c>
      <c r="P103" s="1" t="s">
        <v>153</v>
      </c>
      <c r="Q103" s="1" t="s">
        <v>154</v>
      </c>
      <c r="R103" s="1" t="s">
        <v>236</v>
      </c>
      <c r="S103" s="1" t="s">
        <v>175</v>
      </c>
      <c r="T103" s="1" t="s">
        <v>157</v>
      </c>
      <c r="U103" s="1" t="s">
        <v>637</v>
      </c>
      <c r="V103" s="1" t="s">
        <v>160</v>
      </c>
      <c r="W103" s="1" t="s">
        <v>160</v>
      </c>
      <c r="X103" s="1" t="s">
        <v>160</v>
      </c>
      <c r="Y103" s="1" t="s">
        <v>160</v>
      </c>
      <c r="Z103" s="1" t="s">
        <v>160</v>
      </c>
      <c r="AA103" s="1" t="s">
        <v>160</v>
      </c>
      <c r="AB103" s="1" t="s">
        <v>160</v>
      </c>
      <c r="AC103" s="1" t="s">
        <v>160</v>
      </c>
      <c r="AD103" s="1" t="s">
        <v>160</v>
      </c>
      <c r="AE103" s="1" t="s">
        <v>160</v>
      </c>
      <c r="AF103" s="1" t="s">
        <v>160</v>
      </c>
      <c r="AG103" s="1" t="s">
        <v>160</v>
      </c>
      <c r="AI103" s="1" t="s">
        <v>160</v>
      </c>
      <c r="AJ103" s="1" t="s">
        <v>164</v>
      </c>
      <c r="AK103" s="1" t="s">
        <v>198</v>
      </c>
      <c r="AL103" s="1" t="s">
        <v>192</v>
      </c>
      <c r="AM103" s="1" t="s">
        <v>164</v>
      </c>
      <c r="AN103" s="1" t="s">
        <v>164</v>
      </c>
      <c r="AO103" s="1" t="s">
        <v>179</v>
      </c>
      <c r="AP103" s="1" t="s">
        <v>165</v>
      </c>
      <c r="AR103" s="1" t="s">
        <v>160</v>
      </c>
      <c r="AS103" s="1" t="s">
        <v>160</v>
      </c>
      <c r="AT103" s="1" t="s">
        <v>638</v>
      </c>
      <c r="AU103" s="1" t="s">
        <v>159</v>
      </c>
      <c r="AV103" s="1" t="s">
        <v>159</v>
      </c>
      <c r="AW103" s="1" t="s">
        <v>160</v>
      </c>
      <c r="AX103" s="1" t="s">
        <v>159</v>
      </c>
      <c r="AY103" s="1" t="s">
        <v>159</v>
      </c>
      <c r="AZ103" s="1" t="s">
        <v>160</v>
      </c>
      <c r="BA103" s="1" t="s">
        <v>159</v>
      </c>
      <c r="BB103" s="1" t="s">
        <v>241</v>
      </c>
      <c r="BC103" s="1" t="s">
        <v>160</v>
      </c>
      <c r="BD103" s="1" t="s">
        <v>639</v>
      </c>
      <c r="BE103" s="1" t="s">
        <v>640</v>
      </c>
      <c r="BF103" s="1" t="s">
        <v>160</v>
      </c>
    </row>
    <row r="104" spans="1:58" ht="13" x14ac:dyDescent="0.15">
      <c r="A104" s="2">
        <v>44175.577777777777</v>
      </c>
      <c r="B104" s="2">
        <v>44175.57916666667</v>
      </c>
      <c r="C104" s="1" t="s">
        <v>39</v>
      </c>
      <c r="D104" s="1" t="s">
        <v>234</v>
      </c>
      <c r="E104" s="1">
        <v>100</v>
      </c>
      <c r="F104" s="1">
        <v>117</v>
      </c>
      <c r="G104" s="1" t="b">
        <v>1</v>
      </c>
      <c r="H104" s="2">
        <v>44175.57916666667</v>
      </c>
      <c r="I104" s="1" t="s">
        <v>641</v>
      </c>
      <c r="N104" s="1">
        <v>34.048492430000003</v>
      </c>
      <c r="O104" s="1">
        <v>-118.2528992</v>
      </c>
      <c r="P104" s="1" t="s">
        <v>153</v>
      </c>
      <c r="Q104" s="1" t="s">
        <v>154</v>
      </c>
      <c r="R104" s="1" t="s">
        <v>174</v>
      </c>
      <c r="S104" s="1" t="s">
        <v>208</v>
      </c>
      <c r="T104" s="1" t="s">
        <v>176</v>
      </c>
      <c r="U104" s="1" t="s">
        <v>642</v>
      </c>
      <c r="V104" s="1" t="s">
        <v>160</v>
      </c>
      <c r="W104" s="1" t="s">
        <v>160</v>
      </c>
      <c r="X104" s="1" t="s">
        <v>160</v>
      </c>
      <c r="Y104" s="1" t="s">
        <v>160</v>
      </c>
      <c r="Z104" s="1" t="s">
        <v>160</v>
      </c>
      <c r="AA104" s="1" t="s">
        <v>160</v>
      </c>
      <c r="AB104" s="1" t="s">
        <v>160</v>
      </c>
      <c r="AC104" s="1" t="s">
        <v>160</v>
      </c>
      <c r="AD104" s="1" t="s">
        <v>160</v>
      </c>
      <c r="AE104" s="1" t="s">
        <v>160</v>
      </c>
      <c r="AF104" s="1" t="s">
        <v>160</v>
      </c>
      <c r="AG104" s="1" t="s">
        <v>160</v>
      </c>
      <c r="AI104" s="1" t="s">
        <v>160</v>
      </c>
      <c r="AJ104" s="1" t="s">
        <v>198</v>
      </c>
      <c r="AK104" s="1" t="s">
        <v>192</v>
      </c>
      <c r="AL104" s="1" t="s">
        <v>164</v>
      </c>
      <c r="AM104" s="1" t="s">
        <v>164</v>
      </c>
      <c r="AN104" s="1" t="s">
        <v>164</v>
      </c>
      <c r="AO104" s="1" t="s">
        <v>179</v>
      </c>
      <c r="AP104" s="1" t="s">
        <v>239</v>
      </c>
      <c r="AR104" s="1" t="s">
        <v>160</v>
      </c>
      <c r="AS104" s="1" t="s">
        <v>160</v>
      </c>
      <c r="AT104" s="1" t="s">
        <v>327</v>
      </c>
      <c r="AU104" s="1" t="s">
        <v>159</v>
      </c>
      <c r="AV104" s="1" t="s">
        <v>159</v>
      </c>
      <c r="AW104" s="1" t="s">
        <v>159</v>
      </c>
      <c r="AX104" s="1" t="s">
        <v>160</v>
      </c>
      <c r="AY104" s="1" t="s">
        <v>159</v>
      </c>
      <c r="AZ104" s="1" t="s">
        <v>160</v>
      </c>
      <c r="BA104" s="1" t="s">
        <v>160</v>
      </c>
      <c r="BB104" s="1" t="s">
        <v>181</v>
      </c>
      <c r="BC104" s="1" t="s">
        <v>160</v>
      </c>
      <c r="BD104" s="1" t="s">
        <v>643</v>
      </c>
      <c r="BE104" s="1" t="s">
        <v>644</v>
      </c>
      <c r="BF104" s="1" t="s">
        <v>160</v>
      </c>
    </row>
    <row r="105" spans="1:58" ht="13" x14ac:dyDescent="0.15">
      <c r="A105" s="2">
        <v>44175.57916666667</v>
      </c>
      <c r="B105" s="2">
        <v>44175.580555555556</v>
      </c>
      <c r="C105" s="1" t="s">
        <v>39</v>
      </c>
      <c r="D105" s="1" t="s">
        <v>234</v>
      </c>
      <c r="E105" s="1">
        <v>100</v>
      </c>
      <c r="F105" s="1">
        <v>116</v>
      </c>
      <c r="G105" s="1" t="b">
        <v>1</v>
      </c>
      <c r="H105" s="2">
        <v>44175.580555555556</v>
      </c>
      <c r="I105" s="1" t="s">
        <v>645</v>
      </c>
      <c r="N105" s="1">
        <v>34.048492430000003</v>
      </c>
      <c r="O105" s="1">
        <v>-118.2528992</v>
      </c>
      <c r="P105" s="1" t="s">
        <v>153</v>
      </c>
      <c r="Q105" s="1" t="s">
        <v>154</v>
      </c>
      <c r="R105" s="1" t="s">
        <v>174</v>
      </c>
      <c r="S105" s="1" t="s">
        <v>310</v>
      </c>
      <c r="T105" s="1" t="s">
        <v>176</v>
      </c>
      <c r="U105" s="1" t="s">
        <v>646</v>
      </c>
      <c r="V105" s="1" t="s">
        <v>160</v>
      </c>
      <c r="W105" s="1" t="s">
        <v>160</v>
      </c>
      <c r="X105" s="1" t="s">
        <v>160</v>
      </c>
      <c r="Y105" s="1" t="s">
        <v>160</v>
      </c>
      <c r="Z105" s="1" t="s">
        <v>160</v>
      </c>
      <c r="AA105" s="1" t="s">
        <v>160</v>
      </c>
      <c r="AB105" s="1" t="s">
        <v>160</v>
      </c>
      <c r="AC105" s="1" t="s">
        <v>160</v>
      </c>
      <c r="AD105" s="1" t="s">
        <v>160</v>
      </c>
      <c r="AE105" s="1" t="s">
        <v>160</v>
      </c>
      <c r="AF105" s="1" t="s">
        <v>160</v>
      </c>
      <c r="AG105" s="1" t="s">
        <v>160</v>
      </c>
      <c r="AI105" s="1" t="s">
        <v>160</v>
      </c>
      <c r="AJ105" s="1" t="s">
        <v>192</v>
      </c>
      <c r="AK105" s="1" t="s">
        <v>192</v>
      </c>
      <c r="AL105" s="1" t="s">
        <v>198</v>
      </c>
      <c r="AM105" s="1" t="s">
        <v>164</v>
      </c>
      <c r="AN105" s="1" t="s">
        <v>198</v>
      </c>
      <c r="AO105" s="1" t="s">
        <v>179</v>
      </c>
      <c r="AP105" s="1" t="s">
        <v>165</v>
      </c>
      <c r="AR105" s="1" t="s">
        <v>160</v>
      </c>
      <c r="AS105" s="1" t="s">
        <v>160</v>
      </c>
      <c r="AT105" s="1" t="s">
        <v>647</v>
      </c>
      <c r="AU105" s="1" t="s">
        <v>160</v>
      </c>
      <c r="AV105" s="1" t="s">
        <v>159</v>
      </c>
      <c r="AW105" s="1" t="s">
        <v>159</v>
      </c>
      <c r="AX105" s="1" t="s">
        <v>160</v>
      </c>
      <c r="AY105" s="1" t="s">
        <v>159</v>
      </c>
      <c r="AZ105" s="1" t="s">
        <v>160</v>
      </c>
      <c r="BA105" s="1" t="s">
        <v>160</v>
      </c>
      <c r="BB105" s="1" t="s">
        <v>222</v>
      </c>
      <c r="BC105" s="1" t="s">
        <v>160</v>
      </c>
      <c r="BD105" s="1" t="s">
        <v>648</v>
      </c>
      <c r="BE105" s="1" t="s">
        <v>649</v>
      </c>
      <c r="BF105" s="1" t="s">
        <v>160</v>
      </c>
    </row>
    <row r="106" spans="1:58" ht="13" x14ac:dyDescent="0.15">
      <c r="A106" s="2">
        <v>44175.581250000003</v>
      </c>
      <c r="B106" s="2">
        <v>44175.582638888889</v>
      </c>
      <c r="C106" s="1" t="s">
        <v>39</v>
      </c>
      <c r="D106" s="1" t="s">
        <v>234</v>
      </c>
      <c r="E106" s="1">
        <v>100</v>
      </c>
      <c r="F106" s="1">
        <v>121</v>
      </c>
      <c r="G106" s="1" t="b">
        <v>1</v>
      </c>
      <c r="H106" s="2">
        <v>44175.582638888889</v>
      </c>
      <c r="I106" s="1" t="s">
        <v>650</v>
      </c>
      <c r="N106" s="1">
        <v>34.048492430000003</v>
      </c>
      <c r="O106" s="1">
        <v>-118.2528992</v>
      </c>
      <c r="P106" s="1" t="s">
        <v>153</v>
      </c>
      <c r="Q106" s="1" t="s">
        <v>154</v>
      </c>
      <c r="R106" s="1" t="s">
        <v>174</v>
      </c>
      <c r="S106" s="1" t="s">
        <v>208</v>
      </c>
      <c r="T106" s="1" t="s">
        <v>176</v>
      </c>
      <c r="U106" s="1" t="s">
        <v>651</v>
      </c>
      <c r="V106" s="1" t="s">
        <v>160</v>
      </c>
      <c r="W106" s="1" t="s">
        <v>160</v>
      </c>
      <c r="X106" s="1" t="s">
        <v>160</v>
      </c>
      <c r="Y106" s="1" t="s">
        <v>160</v>
      </c>
      <c r="Z106" s="1" t="s">
        <v>160</v>
      </c>
      <c r="AA106" s="1" t="s">
        <v>160</v>
      </c>
      <c r="AB106" s="1" t="s">
        <v>160</v>
      </c>
      <c r="AC106" s="1" t="s">
        <v>160</v>
      </c>
      <c r="AD106" s="1" t="s">
        <v>160</v>
      </c>
      <c r="AE106" s="1" t="s">
        <v>160</v>
      </c>
      <c r="AF106" s="1" t="s">
        <v>160</v>
      </c>
      <c r="AG106" s="1" t="s">
        <v>160</v>
      </c>
      <c r="AI106" s="1" t="s">
        <v>160</v>
      </c>
      <c r="AJ106" s="1" t="s">
        <v>198</v>
      </c>
      <c r="AK106" s="1" t="s">
        <v>164</v>
      </c>
      <c r="AL106" s="1" t="s">
        <v>164</v>
      </c>
      <c r="AM106" s="1" t="s">
        <v>164</v>
      </c>
      <c r="AN106" s="1" t="s">
        <v>198</v>
      </c>
      <c r="AO106" s="1" t="s">
        <v>179</v>
      </c>
      <c r="AP106" s="1" t="s">
        <v>165</v>
      </c>
      <c r="AR106" s="1" t="s">
        <v>160</v>
      </c>
      <c r="AS106" s="1" t="s">
        <v>160</v>
      </c>
      <c r="AT106" s="1" t="s">
        <v>652</v>
      </c>
      <c r="AU106" s="1" t="s">
        <v>160</v>
      </c>
      <c r="AV106" s="1" t="s">
        <v>160</v>
      </c>
      <c r="AW106" s="1" t="s">
        <v>160</v>
      </c>
      <c r="AX106" s="1" t="s">
        <v>159</v>
      </c>
      <c r="AY106" s="1" t="s">
        <v>159</v>
      </c>
      <c r="AZ106" s="1" t="s">
        <v>160</v>
      </c>
      <c r="BA106" s="1" t="s">
        <v>159</v>
      </c>
      <c r="BB106" s="1" t="s">
        <v>181</v>
      </c>
      <c r="BC106" s="1" t="s">
        <v>160</v>
      </c>
      <c r="BD106" s="1" t="s">
        <v>653</v>
      </c>
      <c r="BE106" s="1" t="s">
        <v>654</v>
      </c>
      <c r="BF106" s="1" t="s">
        <v>160</v>
      </c>
    </row>
    <row r="107" spans="1:58" ht="13" x14ac:dyDescent="0.15">
      <c r="A107" s="2">
        <v>44175.582638888889</v>
      </c>
      <c r="B107" s="2">
        <v>44175.584027777775</v>
      </c>
      <c r="C107" s="1" t="s">
        <v>39</v>
      </c>
      <c r="D107" s="1" t="s">
        <v>234</v>
      </c>
      <c r="E107" s="1">
        <v>100</v>
      </c>
      <c r="F107" s="1">
        <v>117</v>
      </c>
      <c r="G107" s="1" t="b">
        <v>1</v>
      </c>
      <c r="H107" s="2">
        <v>44175.584027777775</v>
      </c>
      <c r="I107" s="1" t="s">
        <v>655</v>
      </c>
      <c r="N107" s="1">
        <v>34.048492430000003</v>
      </c>
      <c r="O107" s="1">
        <v>-118.2528992</v>
      </c>
      <c r="P107" s="1" t="s">
        <v>153</v>
      </c>
      <c r="Q107" s="1" t="s">
        <v>154</v>
      </c>
      <c r="R107" s="1" t="s">
        <v>174</v>
      </c>
      <c r="S107" s="1" t="s">
        <v>310</v>
      </c>
      <c r="T107" s="1" t="s">
        <v>245</v>
      </c>
      <c r="U107" s="1" t="s">
        <v>656</v>
      </c>
      <c r="V107" s="1" t="s">
        <v>160</v>
      </c>
      <c r="W107" s="1" t="s">
        <v>160</v>
      </c>
      <c r="X107" s="1" t="s">
        <v>160</v>
      </c>
      <c r="Y107" s="1" t="s">
        <v>160</v>
      </c>
      <c r="Z107" s="1" t="s">
        <v>160</v>
      </c>
      <c r="AA107" s="1" t="s">
        <v>160</v>
      </c>
      <c r="AB107" s="1" t="s">
        <v>160</v>
      </c>
      <c r="AC107" s="1" t="s">
        <v>160</v>
      </c>
      <c r="AD107" s="1" t="s">
        <v>160</v>
      </c>
      <c r="AE107" s="1" t="s">
        <v>160</v>
      </c>
      <c r="AF107" s="1" t="s">
        <v>160</v>
      </c>
      <c r="AG107" s="1" t="s">
        <v>160</v>
      </c>
      <c r="AI107" s="1" t="s">
        <v>160</v>
      </c>
      <c r="AJ107" s="1" t="s">
        <v>163</v>
      </c>
      <c r="AK107" s="1" t="s">
        <v>164</v>
      </c>
      <c r="AL107" s="1" t="s">
        <v>198</v>
      </c>
      <c r="AM107" s="1" t="s">
        <v>164</v>
      </c>
      <c r="AN107" s="1" t="s">
        <v>192</v>
      </c>
      <c r="AO107" s="1" t="s">
        <v>179</v>
      </c>
      <c r="AP107" s="1" t="s">
        <v>239</v>
      </c>
      <c r="AR107" s="1" t="s">
        <v>160</v>
      </c>
      <c r="AS107" s="1" t="s">
        <v>160</v>
      </c>
      <c r="AT107" s="1" t="s">
        <v>657</v>
      </c>
      <c r="AU107" s="1" t="s">
        <v>159</v>
      </c>
      <c r="AV107" s="1" t="s">
        <v>160</v>
      </c>
      <c r="AW107" s="1" t="s">
        <v>160</v>
      </c>
      <c r="AX107" s="1" t="s">
        <v>160</v>
      </c>
      <c r="AY107" s="1" t="s">
        <v>160</v>
      </c>
      <c r="AZ107" s="1" t="s">
        <v>160</v>
      </c>
      <c r="BA107" s="1" t="s">
        <v>159</v>
      </c>
      <c r="BB107" s="1" t="s">
        <v>181</v>
      </c>
      <c r="BC107" s="1" t="s">
        <v>160</v>
      </c>
      <c r="BD107" s="1" t="s">
        <v>658</v>
      </c>
      <c r="BE107" s="1" t="s">
        <v>659</v>
      </c>
      <c r="BF107" s="1" t="s">
        <v>160</v>
      </c>
    </row>
    <row r="108" spans="1:58" ht="13" x14ac:dyDescent="0.15">
      <c r="A108" s="2">
        <v>44175.584027777775</v>
      </c>
      <c r="B108" s="2">
        <v>44175.585416666669</v>
      </c>
      <c r="C108" s="1" t="s">
        <v>39</v>
      </c>
      <c r="D108" s="1" t="s">
        <v>234</v>
      </c>
      <c r="E108" s="1">
        <v>100</v>
      </c>
      <c r="F108" s="1">
        <v>116</v>
      </c>
      <c r="G108" s="1" t="b">
        <v>1</v>
      </c>
      <c r="H108" s="2">
        <v>44175.585416666669</v>
      </c>
      <c r="I108" s="1" t="s">
        <v>660</v>
      </c>
      <c r="N108" s="1">
        <v>34.048492430000003</v>
      </c>
      <c r="O108" s="1">
        <v>-118.2528992</v>
      </c>
      <c r="P108" s="1" t="s">
        <v>153</v>
      </c>
      <c r="Q108" s="1" t="s">
        <v>154</v>
      </c>
      <c r="R108" s="1" t="s">
        <v>155</v>
      </c>
      <c r="S108" s="1" t="s">
        <v>274</v>
      </c>
      <c r="T108" s="1" t="s">
        <v>237</v>
      </c>
      <c r="U108" s="1" t="s">
        <v>661</v>
      </c>
      <c r="V108" s="1" t="s">
        <v>160</v>
      </c>
      <c r="W108" s="1" t="s">
        <v>160</v>
      </c>
      <c r="X108" s="1" t="s">
        <v>160</v>
      </c>
      <c r="Y108" s="1" t="s">
        <v>160</v>
      </c>
      <c r="Z108" s="1" t="s">
        <v>160</v>
      </c>
      <c r="AA108" s="1" t="s">
        <v>160</v>
      </c>
      <c r="AB108" s="1" t="s">
        <v>160</v>
      </c>
      <c r="AC108" s="1" t="s">
        <v>160</v>
      </c>
      <c r="AD108" s="1" t="s">
        <v>160</v>
      </c>
      <c r="AE108" s="1" t="s">
        <v>160</v>
      </c>
      <c r="AF108" s="1" t="s">
        <v>160</v>
      </c>
      <c r="AG108" s="1" t="s">
        <v>160</v>
      </c>
      <c r="AI108" s="1" t="s">
        <v>160</v>
      </c>
      <c r="AJ108" s="1" t="s">
        <v>192</v>
      </c>
      <c r="AK108" s="1" t="s">
        <v>192</v>
      </c>
      <c r="AL108" s="1" t="s">
        <v>164</v>
      </c>
      <c r="AM108" s="1" t="s">
        <v>163</v>
      </c>
      <c r="AN108" s="1" t="s">
        <v>164</v>
      </c>
      <c r="AO108" s="1" t="s">
        <v>179</v>
      </c>
      <c r="AP108" s="1" t="s">
        <v>239</v>
      </c>
      <c r="AR108" s="1" t="s">
        <v>160</v>
      </c>
      <c r="AS108" s="1" t="s">
        <v>160</v>
      </c>
      <c r="AT108" s="1" t="s">
        <v>345</v>
      </c>
      <c r="AU108" s="1" t="s">
        <v>160</v>
      </c>
      <c r="AV108" s="1" t="s">
        <v>159</v>
      </c>
      <c r="AW108" s="1" t="s">
        <v>160</v>
      </c>
      <c r="AX108" s="1" t="s">
        <v>160</v>
      </c>
      <c r="AY108" s="1" t="s">
        <v>159</v>
      </c>
      <c r="AZ108" s="1" t="s">
        <v>160</v>
      </c>
      <c r="BA108" s="1" t="s">
        <v>159</v>
      </c>
      <c r="BB108" s="1" t="s">
        <v>181</v>
      </c>
      <c r="BC108" s="1" t="s">
        <v>160</v>
      </c>
      <c r="BD108" s="1" t="s">
        <v>662</v>
      </c>
      <c r="BE108" s="1" t="s">
        <v>663</v>
      </c>
      <c r="BF108" s="1" t="s">
        <v>160</v>
      </c>
    </row>
    <row r="109" spans="1:58" ht="13" x14ac:dyDescent="0.15">
      <c r="A109" s="2">
        <v>44175.586111111108</v>
      </c>
      <c r="B109" s="2">
        <v>44175.587500000001</v>
      </c>
      <c r="C109" s="1" t="s">
        <v>39</v>
      </c>
      <c r="D109" s="1" t="s">
        <v>234</v>
      </c>
      <c r="E109" s="1">
        <v>100</v>
      </c>
      <c r="F109" s="1">
        <v>117</v>
      </c>
      <c r="G109" s="1" t="b">
        <v>1</v>
      </c>
      <c r="H109" s="2">
        <v>44175.587500000001</v>
      </c>
      <c r="I109" s="1" t="s">
        <v>664</v>
      </c>
      <c r="N109" s="1">
        <v>34.048492430000003</v>
      </c>
      <c r="O109" s="1">
        <v>-118.2528992</v>
      </c>
      <c r="P109" s="1" t="s">
        <v>153</v>
      </c>
      <c r="Q109" s="1" t="s">
        <v>154</v>
      </c>
      <c r="R109" s="1" t="s">
        <v>236</v>
      </c>
      <c r="S109" s="1" t="s">
        <v>208</v>
      </c>
      <c r="T109" s="1" t="s">
        <v>176</v>
      </c>
      <c r="U109" s="1" t="s">
        <v>665</v>
      </c>
      <c r="V109" s="1" t="s">
        <v>160</v>
      </c>
      <c r="W109" s="1" t="s">
        <v>160</v>
      </c>
      <c r="X109" s="1" t="s">
        <v>160</v>
      </c>
      <c r="Y109" s="1" t="s">
        <v>160</v>
      </c>
      <c r="Z109" s="1" t="s">
        <v>160</v>
      </c>
      <c r="AA109" s="1" t="s">
        <v>160</v>
      </c>
      <c r="AB109" s="1" t="s">
        <v>160</v>
      </c>
      <c r="AC109" s="1" t="s">
        <v>160</v>
      </c>
      <c r="AD109" s="1" t="s">
        <v>160</v>
      </c>
      <c r="AE109" s="1" t="s">
        <v>160</v>
      </c>
      <c r="AF109" s="1" t="s">
        <v>160</v>
      </c>
      <c r="AG109" s="1" t="s">
        <v>160</v>
      </c>
      <c r="AI109" s="1" t="s">
        <v>160</v>
      </c>
      <c r="AJ109" s="1" t="s">
        <v>192</v>
      </c>
      <c r="AK109" s="1" t="s">
        <v>164</v>
      </c>
      <c r="AL109" s="1" t="s">
        <v>164</v>
      </c>
      <c r="AM109" s="1" t="s">
        <v>198</v>
      </c>
      <c r="AN109" s="1" t="s">
        <v>198</v>
      </c>
      <c r="AO109" s="1" t="s">
        <v>179</v>
      </c>
      <c r="AP109" s="1" t="s">
        <v>165</v>
      </c>
      <c r="AR109" s="1" t="s">
        <v>160</v>
      </c>
      <c r="AS109" s="1" t="s">
        <v>160</v>
      </c>
      <c r="AT109" s="1" t="s">
        <v>666</v>
      </c>
      <c r="AU109" s="1" t="s">
        <v>160</v>
      </c>
      <c r="AV109" s="1" t="s">
        <v>159</v>
      </c>
      <c r="AW109" s="1" t="s">
        <v>159</v>
      </c>
      <c r="AX109" s="1" t="s">
        <v>159</v>
      </c>
      <c r="AY109" s="1" t="s">
        <v>159</v>
      </c>
      <c r="AZ109" s="1" t="s">
        <v>159</v>
      </c>
      <c r="BA109" s="1" t="s">
        <v>159</v>
      </c>
      <c r="BB109" s="1" t="s">
        <v>241</v>
      </c>
      <c r="BC109" s="1" t="s">
        <v>160</v>
      </c>
      <c r="BD109" s="1" t="s">
        <v>667</v>
      </c>
      <c r="BE109" s="1" t="s">
        <v>668</v>
      </c>
      <c r="BF109" s="1" t="s">
        <v>160</v>
      </c>
    </row>
    <row r="110" spans="1:58" ht="13" x14ac:dyDescent="0.15">
      <c r="A110" s="2">
        <v>44175.587500000001</v>
      </c>
      <c r="B110" s="2">
        <v>44175.588888888888</v>
      </c>
      <c r="C110" s="1" t="s">
        <v>39</v>
      </c>
      <c r="D110" s="1" t="s">
        <v>234</v>
      </c>
      <c r="E110" s="1">
        <v>100</v>
      </c>
      <c r="F110" s="1">
        <v>118</v>
      </c>
      <c r="G110" s="1" t="b">
        <v>1</v>
      </c>
      <c r="H110" s="2">
        <v>44175.588888888888</v>
      </c>
      <c r="I110" s="1" t="s">
        <v>669</v>
      </c>
      <c r="N110" s="1">
        <v>34.048492430000003</v>
      </c>
      <c r="O110" s="1">
        <v>-118.2528992</v>
      </c>
      <c r="P110" s="1" t="s">
        <v>153</v>
      </c>
      <c r="Q110" s="1" t="s">
        <v>154</v>
      </c>
      <c r="R110" s="1" t="s">
        <v>155</v>
      </c>
      <c r="S110" s="1" t="s">
        <v>226</v>
      </c>
      <c r="T110" s="1" t="s">
        <v>245</v>
      </c>
      <c r="U110" s="1" t="s">
        <v>670</v>
      </c>
      <c r="V110" s="1" t="s">
        <v>160</v>
      </c>
      <c r="W110" s="1" t="s">
        <v>160</v>
      </c>
      <c r="X110" s="1" t="s">
        <v>160</v>
      </c>
      <c r="Y110" s="1" t="s">
        <v>160</v>
      </c>
      <c r="Z110" s="1" t="s">
        <v>160</v>
      </c>
      <c r="AA110" s="1" t="s">
        <v>160</v>
      </c>
      <c r="AB110" s="1" t="s">
        <v>160</v>
      </c>
      <c r="AC110" s="1" t="s">
        <v>160</v>
      </c>
      <c r="AD110" s="1" t="s">
        <v>160</v>
      </c>
      <c r="AE110" s="1" t="s">
        <v>160</v>
      </c>
      <c r="AF110" s="1" t="s">
        <v>160</v>
      </c>
      <c r="AG110" s="1" t="s">
        <v>160</v>
      </c>
      <c r="AI110" s="1" t="s">
        <v>160</v>
      </c>
      <c r="AJ110" s="1" t="s">
        <v>198</v>
      </c>
      <c r="AK110" s="1" t="s">
        <v>163</v>
      </c>
      <c r="AL110" s="1" t="s">
        <v>198</v>
      </c>
      <c r="AM110" s="1" t="s">
        <v>198</v>
      </c>
      <c r="AN110" s="1" t="s">
        <v>163</v>
      </c>
      <c r="AO110" s="1" t="s">
        <v>179</v>
      </c>
      <c r="AP110" s="1" t="s">
        <v>239</v>
      </c>
      <c r="AR110" s="1" t="s">
        <v>160</v>
      </c>
      <c r="AS110" s="1" t="s">
        <v>160</v>
      </c>
      <c r="AT110" s="1" t="s">
        <v>369</v>
      </c>
      <c r="AU110" s="1" t="s">
        <v>159</v>
      </c>
      <c r="AV110" s="1" t="s">
        <v>160</v>
      </c>
      <c r="AW110" s="1" t="s">
        <v>159</v>
      </c>
      <c r="AX110" s="1" t="s">
        <v>160</v>
      </c>
      <c r="AY110" s="1" t="s">
        <v>160</v>
      </c>
      <c r="AZ110" s="1" t="s">
        <v>160</v>
      </c>
      <c r="BA110" s="1" t="s">
        <v>160</v>
      </c>
      <c r="BB110" s="1" t="s">
        <v>241</v>
      </c>
      <c r="BC110" s="1" t="s">
        <v>160</v>
      </c>
      <c r="BD110" s="1" t="s">
        <v>671</v>
      </c>
      <c r="BE110" s="1" t="s">
        <v>672</v>
      </c>
      <c r="BF110" s="1" t="s">
        <v>160</v>
      </c>
    </row>
    <row r="111" spans="1:58" ht="13" x14ac:dyDescent="0.15">
      <c r="A111" s="2">
        <v>44175.588888888888</v>
      </c>
      <c r="B111" s="2">
        <v>44175.590277777781</v>
      </c>
      <c r="C111" s="1" t="s">
        <v>39</v>
      </c>
      <c r="D111" s="1" t="s">
        <v>234</v>
      </c>
      <c r="E111" s="1">
        <v>100</v>
      </c>
      <c r="F111" s="1">
        <v>116</v>
      </c>
      <c r="G111" s="1" t="b">
        <v>1</v>
      </c>
      <c r="H111" s="2">
        <v>44175.590277777781</v>
      </c>
      <c r="I111" s="1" t="s">
        <v>673</v>
      </c>
      <c r="N111" s="1">
        <v>34.048492430000003</v>
      </c>
      <c r="O111" s="1">
        <v>-118.2528992</v>
      </c>
      <c r="P111" s="1" t="s">
        <v>153</v>
      </c>
      <c r="Q111" s="1" t="s">
        <v>154</v>
      </c>
      <c r="R111" s="1" t="s">
        <v>236</v>
      </c>
      <c r="S111" s="1" t="s">
        <v>208</v>
      </c>
      <c r="T111" s="1" t="s">
        <v>176</v>
      </c>
      <c r="U111" s="1" t="s">
        <v>674</v>
      </c>
      <c r="V111" s="1" t="s">
        <v>160</v>
      </c>
      <c r="W111" s="1" t="s">
        <v>160</v>
      </c>
      <c r="X111" s="1" t="s">
        <v>160</v>
      </c>
      <c r="Y111" s="1" t="s">
        <v>160</v>
      </c>
      <c r="Z111" s="1" t="s">
        <v>160</v>
      </c>
      <c r="AA111" s="1" t="s">
        <v>160</v>
      </c>
      <c r="AB111" s="1" t="s">
        <v>160</v>
      </c>
      <c r="AC111" s="1" t="s">
        <v>160</v>
      </c>
      <c r="AD111" s="1" t="s">
        <v>160</v>
      </c>
      <c r="AE111" s="1" t="s">
        <v>160</v>
      </c>
      <c r="AF111" s="1" t="s">
        <v>160</v>
      </c>
      <c r="AG111" s="1" t="s">
        <v>160</v>
      </c>
      <c r="AI111" s="1" t="s">
        <v>160</v>
      </c>
      <c r="AJ111" s="1" t="s">
        <v>198</v>
      </c>
      <c r="AK111" s="1" t="s">
        <v>192</v>
      </c>
      <c r="AL111" s="1" t="s">
        <v>163</v>
      </c>
      <c r="AM111" s="1" t="s">
        <v>192</v>
      </c>
      <c r="AN111" s="1" t="s">
        <v>192</v>
      </c>
      <c r="AO111" s="1" t="s">
        <v>179</v>
      </c>
      <c r="AP111" s="1" t="s">
        <v>165</v>
      </c>
      <c r="AR111" s="1" t="s">
        <v>160</v>
      </c>
      <c r="AS111" s="1" t="s">
        <v>160</v>
      </c>
      <c r="AT111" s="1" t="s">
        <v>355</v>
      </c>
      <c r="AU111" s="1" t="s">
        <v>160</v>
      </c>
      <c r="AV111" s="1" t="s">
        <v>159</v>
      </c>
      <c r="AW111" s="1" t="s">
        <v>159</v>
      </c>
      <c r="AX111" s="1" t="s">
        <v>159</v>
      </c>
      <c r="AY111" s="1" t="s">
        <v>160</v>
      </c>
      <c r="AZ111" s="1" t="s">
        <v>160</v>
      </c>
      <c r="BA111" s="1" t="s">
        <v>159</v>
      </c>
      <c r="BB111" s="1" t="s">
        <v>181</v>
      </c>
      <c r="BC111" s="1" t="s">
        <v>160</v>
      </c>
      <c r="BD111" s="1" t="s">
        <v>675</v>
      </c>
      <c r="BE111" s="1" t="s">
        <v>676</v>
      </c>
      <c r="BF111" s="1" t="s">
        <v>160</v>
      </c>
    </row>
    <row r="112" spans="1:58" ht="13" x14ac:dyDescent="0.15">
      <c r="A112" s="2">
        <v>44175.59097222222</v>
      </c>
      <c r="B112" s="2">
        <v>44175.592361111114</v>
      </c>
      <c r="C112" s="1" t="s">
        <v>39</v>
      </c>
      <c r="D112" s="1" t="s">
        <v>234</v>
      </c>
      <c r="E112" s="1">
        <v>100</v>
      </c>
      <c r="F112" s="1">
        <v>122</v>
      </c>
      <c r="G112" s="1" t="b">
        <v>1</v>
      </c>
      <c r="H112" s="2">
        <v>44175.592361111114</v>
      </c>
      <c r="I112" s="1" t="s">
        <v>677</v>
      </c>
      <c r="N112" s="1">
        <v>34.048492430000003</v>
      </c>
      <c r="O112" s="1">
        <v>-118.2528992</v>
      </c>
      <c r="P112" s="1" t="s">
        <v>153</v>
      </c>
      <c r="Q112" s="1" t="s">
        <v>154</v>
      </c>
      <c r="R112" s="1" t="s">
        <v>236</v>
      </c>
      <c r="S112" s="1" t="s">
        <v>226</v>
      </c>
      <c r="T112" s="1" t="s">
        <v>237</v>
      </c>
      <c r="U112" s="1" t="s">
        <v>264</v>
      </c>
      <c r="V112" s="1" t="s">
        <v>160</v>
      </c>
      <c r="W112" s="1" t="s">
        <v>160</v>
      </c>
      <c r="X112" s="1" t="s">
        <v>160</v>
      </c>
      <c r="Y112" s="1" t="s">
        <v>160</v>
      </c>
      <c r="Z112" s="1" t="s">
        <v>160</v>
      </c>
      <c r="AA112" s="1" t="s">
        <v>160</v>
      </c>
      <c r="AB112" s="1" t="s">
        <v>160</v>
      </c>
      <c r="AC112" s="1" t="s">
        <v>160</v>
      </c>
      <c r="AD112" s="1" t="s">
        <v>160</v>
      </c>
      <c r="AE112" s="1" t="s">
        <v>160</v>
      </c>
      <c r="AF112" s="1" t="s">
        <v>160</v>
      </c>
      <c r="AG112" s="1" t="s">
        <v>160</v>
      </c>
      <c r="AI112" s="1" t="s">
        <v>160</v>
      </c>
      <c r="AJ112" s="1" t="s">
        <v>192</v>
      </c>
      <c r="AK112" s="1" t="s">
        <v>198</v>
      </c>
      <c r="AL112" s="1" t="s">
        <v>192</v>
      </c>
      <c r="AM112" s="1" t="s">
        <v>192</v>
      </c>
      <c r="AN112" s="1" t="s">
        <v>164</v>
      </c>
      <c r="AO112" s="1" t="s">
        <v>179</v>
      </c>
      <c r="AP112" s="1" t="s">
        <v>239</v>
      </c>
      <c r="AR112" s="1" t="s">
        <v>160</v>
      </c>
      <c r="AS112" s="1" t="s">
        <v>160</v>
      </c>
      <c r="AT112" s="1" t="s">
        <v>678</v>
      </c>
      <c r="AU112" s="1" t="s">
        <v>159</v>
      </c>
      <c r="AV112" s="1" t="s">
        <v>159</v>
      </c>
      <c r="AW112" s="1" t="s">
        <v>159</v>
      </c>
      <c r="AX112" s="1" t="s">
        <v>159</v>
      </c>
      <c r="AY112" s="1" t="s">
        <v>159</v>
      </c>
      <c r="AZ112" s="1" t="s">
        <v>159</v>
      </c>
      <c r="BA112" s="1" t="s">
        <v>160</v>
      </c>
      <c r="BB112" s="1" t="s">
        <v>167</v>
      </c>
      <c r="BC112" s="1" t="s">
        <v>160</v>
      </c>
      <c r="BD112" s="1" t="s">
        <v>679</v>
      </c>
      <c r="BE112" s="1" t="s">
        <v>680</v>
      </c>
      <c r="BF112" s="1" t="s">
        <v>160</v>
      </c>
    </row>
    <row r="113" spans="1:58" ht="13" x14ac:dyDescent="0.15">
      <c r="A113" s="2">
        <v>44175.592361111114</v>
      </c>
      <c r="B113" s="2">
        <v>44175.59375</v>
      </c>
      <c r="C113" s="1" t="s">
        <v>39</v>
      </c>
      <c r="D113" s="1" t="s">
        <v>234</v>
      </c>
      <c r="E113" s="1">
        <v>100</v>
      </c>
      <c r="F113" s="1">
        <v>116</v>
      </c>
      <c r="G113" s="1" t="b">
        <v>1</v>
      </c>
      <c r="H113" s="2">
        <v>44175.59375</v>
      </c>
      <c r="I113" s="1" t="s">
        <v>681</v>
      </c>
      <c r="N113" s="1">
        <v>34.048492430000003</v>
      </c>
      <c r="O113" s="1">
        <v>-118.2528992</v>
      </c>
      <c r="P113" s="1" t="s">
        <v>153</v>
      </c>
      <c r="Q113" s="1" t="s">
        <v>154</v>
      </c>
      <c r="R113" s="1" t="s">
        <v>236</v>
      </c>
      <c r="S113" s="1" t="s">
        <v>175</v>
      </c>
      <c r="T113" s="1" t="s">
        <v>237</v>
      </c>
      <c r="U113" s="1" t="s">
        <v>682</v>
      </c>
      <c r="V113" s="1" t="s">
        <v>160</v>
      </c>
      <c r="W113" s="1" t="s">
        <v>160</v>
      </c>
      <c r="X113" s="1" t="s">
        <v>160</v>
      </c>
      <c r="Y113" s="1" t="s">
        <v>160</v>
      </c>
      <c r="Z113" s="1" t="s">
        <v>160</v>
      </c>
      <c r="AA113" s="1" t="s">
        <v>160</v>
      </c>
      <c r="AB113" s="1" t="s">
        <v>160</v>
      </c>
      <c r="AC113" s="1" t="s">
        <v>160</v>
      </c>
      <c r="AD113" s="1" t="s">
        <v>160</v>
      </c>
      <c r="AE113" s="1" t="s">
        <v>160</v>
      </c>
      <c r="AF113" s="1" t="s">
        <v>160</v>
      </c>
      <c r="AG113" s="1" t="s">
        <v>160</v>
      </c>
      <c r="AI113" s="1" t="s">
        <v>160</v>
      </c>
      <c r="AJ113" s="1" t="s">
        <v>192</v>
      </c>
      <c r="AK113" s="1" t="s">
        <v>198</v>
      </c>
      <c r="AL113" s="1" t="s">
        <v>164</v>
      </c>
      <c r="AM113" s="1" t="s">
        <v>163</v>
      </c>
      <c r="AN113" s="1" t="s">
        <v>164</v>
      </c>
      <c r="AO113" s="1" t="s">
        <v>179</v>
      </c>
      <c r="AP113" s="1" t="s">
        <v>165</v>
      </c>
      <c r="AR113" s="1" t="s">
        <v>160</v>
      </c>
      <c r="AS113" s="1" t="s">
        <v>160</v>
      </c>
      <c r="AT113" s="1" t="s">
        <v>683</v>
      </c>
      <c r="AU113" s="1" t="s">
        <v>160</v>
      </c>
      <c r="AV113" s="1" t="s">
        <v>160</v>
      </c>
      <c r="AW113" s="1" t="s">
        <v>160</v>
      </c>
      <c r="AX113" s="1" t="s">
        <v>160</v>
      </c>
      <c r="AY113" s="1" t="s">
        <v>159</v>
      </c>
      <c r="AZ113" s="1" t="s">
        <v>160</v>
      </c>
      <c r="BA113" s="1" t="s">
        <v>159</v>
      </c>
      <c r="BB113" s="1" t="s">
        <v>167</v>
      </c>
      <c r="BC113" s="1" t="s">
        <v>160</v>
      </c>
      <c r="BD113" s="1" t="s">
        <v>684</v>
      </c>
      <c r="BE113" s="1" t="s">
        <v>685</v>
      </c>
      <c r="BF113" s="1" t="s">
        <v>160</v>
      </c>
    </row>
    <row r="114" spans="1:58" ht="13" x14ac:dyDescent="0.15">
      <c r="A114" s="2">
        <v>44175.59375</v>
      </c>
      <c r="B114" s="2">
        <v>44175.595138888886</v>
      </c>
      <c r="C114" s="1" t="s">
        <v>39</v>
      </c>
      <c r="D114" s="1" t="s">
        <v>234</v>
      </c>
      <c r="E114" s="1">
        <v>100</v>
      </c>
      <c r="F114" s="1">
        <v>117</v>
      </c>
      <c r="G114" s="1" t="b">
        <v>1</v>
      </c>
      <c r="H114" s="2">
        <v>44175.595138888886</v>
      </c>
      <c r="I114" s="1" t="s">
        <v>686</v>
      </c>
      <c r="N114" s="1">
        <v>34.048492430000003</v>
      </c>
      <c r="O114" s="1">
        <v>-118.2528992</v>
      </c>
      <c r="P114" s="1" t="s">
        <v>153</v>
      </c>
      <c r="Q114" s="1" t="s">
        <v>154</v>
      </c>
      <c r="R114" s="1" t="s">
        <v>155</v>
      </c>
      <c r="S114" s="1" t="s">
        <v>175</v>
      </c>
      <c r="T114" s="1" t="s">
        <v>176</v>
      </c>
      <c r="U114" s="1" t="s">
        <v>687</v>
      </c>
      <c r="V114" s="1" t="s">
        <v>160</v>
      </c>
      <c r="W114" s="1" t="s">
        <v>160</v>
      </c>
      <c r="X114" s="1" t="s">
        <v>160</v>
      </c>
      <c r="Y114" s="1" t="s">
        <v>160</v>
      </c>
      <c r="Z114" s="1" t="s">
        <v>160</v>
      </c>
      <c r="AA114" s="1" t="s">
        <v>160</v>
      </c>
      <c r="AB114" s="1" t="s">
        <v>160</v>
      </c>
      <c r="AC114" s="1" t="s">
        <v>160</v>
      </c>
      <c r="AD114" s="1" t="s">
        <v>160</v>
      </c>
      <c r="AE114" s="1" t="s">
        <v>160</v>
      </c>
      <c r="AF114" s="1" t="s">
        <v>160</v>
      </c>
      <c r="AG114" s="1" t="s">
        <v>160</v>
      </c>
      <c r="AI114" s="1" t="s">
        <v>160</v>
      </c>
      <c r="AJ114" s="1" t="s">
        <v>164</v>
      </c>
      <c r="AK114" s="1" t="s">
        <v>198</v>
      </c>
      <c r="AL114" s="1" t="s">
        <v>164</v>
      </c>
      <c r="AM114" s="1" t="s">
        <v>164</v>
      </c>
      <c r="AN114" s="1" t="s">
        <v>198</v>
      </c>
      <c r="AO114" s="1" t="s">
        <v>179</v>
      </c>
      <c r="AP114" s="1" t="s">
        <v>179</v>
      </c>
      <c r="AR114" s="1" t="s">
        <v>160</v>
      </c>
      <c r="AS114" s="1" t="s">
        <v>160</v>
      </c>
      <c r="AT114" s="1" t="s">
        <v>688</v>
      </c>
      <c r="AU114" s="1" t="s">
        <v>160</v>
      </c>
      <c r="AV114" s="1" t="s">
        <v>160</v>
      </c>
      <c r="AW114" s="1" t="s">
        <v>160</v>
      </c>
      <c r="AX114" s="1" t="s">
        <v>160</v>
      </c>
      <c r="AY114" s="1" t="s">
        <v>160</v>
      </c>
      <c r="AZ114" s="1" t="s">
        <v>159</v>
      </c>
      <c r="BA114" s="1" t="s">
        <v>159</v>
      </c>
      <c r="BB114" s="1" t="s">
        <v>241</v>
      </c>
      <c r="BC114" s="1" t="s">
        <v>160</v>
      </c>
      <c r="BD114" s="1" t="s">
        <v>689</v>
      </c>
      <c r="BE114" s="1" t="s">
        <v>690</v>
      </c>
      <c r="BF114" s="1" t="s">
        <v>160</v>
      </c>
    </row>
    <row r="115" spans="1:58" ht="13" x14ac:dyDescent="0.15">
      <c r="A115" s="2">
        <v>44175.595833333333</v>
      </c>
      <c r="B115" s="2">
        <v>44175.59652777778</v>
      </c>
      <c r="C115" s="1" t="s">
        <v>39</v>
      </c>
      <c r="D115" s="1" t="s">
        <v>234</v>
      </c>
      <c r="E115" s="1">
        <v>100</v>
      </c>
      <c r="F115" s="1">
        <v>116</v>
      </c>
      <c r="G115" s="1" t="b">
        <v>1</v>
      </c>
      <c r="H115" s="2">
        <v>44175.59652777778</v>
      </c>
      <c r="I115" s="1" t="s">
        <v>691</v>
      </c>
      <c r="N115" s="1">
        <v>34.048492430000003</v>
      </c>
      <c r="O115" s="1">
        <v>-118.2528992</v>
      </c>
      <c r="P115" s="1" t="s">
        <v>153</v>
      </c>
      <c r="Q115" s="1" t="s">
        <v>154</v>
      </c>
      <c r="R115" s="1" t="s">
        <v>236</v>
      </c>
      <c r="S115" s="1" t="s">
        <v>175</v>
      </c>
      <c r="T115" s="1" t="s">
        <v>157</v>
      </c>
      <c r="U115" s="1" t="s">
        <v>692</v>
      </c>
      <c r="V115" s="1" t="s">
        <v>160</v>
      </c>
      <c r="W115" s="1" t="s">
        <v>160</v>
      </c>
      <c r="X115" s="1" t="s">
        <v>160</v>
      </c>
      <c r="Y115" s="1" t="s">
        <v>160</v>
      </c>
      <c r="Z115" s="1" t="s">
        <v>160</v>
      </c>
      <c r="AA115" s="1" t="s">
        <v>160</v>
      </c>
      <c r="AB115" s="1" t="s">
        <v>160</v>
      </c>
      <c r="AC115" s="1" t="s">
        <v>160</v>
      </c>
      <c r="AD115" s="1" t="s">
        <v>160</v>
      </c>
      <c r="AE115" s="1" t="s">
        <v>160</v>
      </c>
      <c r="AF115" s="1" t="s">
        <v>160</v>
      </c>
      <c r="AG115" s="1" t="s">
        <v>160</v>
      </c>
      <c r="AI115" s="1" t="s">
        <v>160</v>
      </c>
      <c r="AJ115" s="1" t="s">
        <v>164</v>
      </c>
      <c r="AK115" s="1" t="s">
        <v>192</v>
      </c>
      <c r="AL115" s="1" t="s">
        <v>192</v>
      </c>
      <c r="AM115" s="1" t="s">
        <v>192</v>
      </c>
      <c r="AN115" s="1" t="s">
        <v>164</v>
      </c>
      <c r="AO115" s="1" t="s">
        <v>179</v>
      </c>
      <c r="AP115" s="1" t="s">
        <v>239</v>
      </c>
      <c r="AR115" s="1" t="s">
        <v>160</v>
      </c>
      <c r="AS115" s="1" t="s">
        <v>160</v>
      </c>
      <c r="AT115" s="1" t="s">
        <v>693</v>
      </c>
      <c r="AU115" s="1" t="s">
        <v>159</v>
      </c>
      <c r="AV115" s="1" t="s">
        <v>159</v>
      </c>
      <c r="AW115" s="1" t="s">
        <v>159</v>
      </c>
      <c r="AX115" s="1" t="s">
        <v>159</v>
      </c>
      <c r="AY115" s="1" t="s">
        <v>159</v>
      </c>
      <c r="AZ115" s="1" t="s">
        <v>160</v>
      </c>
      <c r="BA115" s="1" t="s">
        <v>160</v>
      </c>
      <c r="BB115" s="1" t="s">
        <v>241</v>
      </c>
      <c r="BC115" s="1" t="s">
        <v>160</v>
      </c>
      <c r="BD115" s="1" t="s">
        <v>694</v>
      </c>
      <c r="BE115" s="1" t="s">
        <v>695</v>
      </c>
      <c r="BF115" s="1" t="s">
        <v>160</v>
      </c>
    </row>
    <row r="116" spans="1:58" ht="13" x14ac:dyDescent="0.15">
      <c r="A116" s="2">
        <v>44175.597222222219</v>
      </c>
      <c r="B116" s="2">
        <v>44175.598611111112</v>
      </c>
      <c r="C116" s="1" t="s">
        <v>39</v>
      </c>
      <c r="D116" s="1" t="s">
        <v>234</v>
      </c>
      <c r="E116" s="1">
        <v>100</v>
      </c>
      <c r="F116" s="1">
        <v>117</v>
      </c>
      <c r="G116" s="1" t="b">
        <v>1</v>
      </c>
      <c r="H116" s="2">
        <v>44175.598611111112</v>
      </c>
      <c r="I116" s="1" t="s">
        <v>696</v>
      </c>
      <c r="N116" s="1">
        <v>34.048492430000003</v>
      </c>
      <c r="O116" s="1">
        <v>-118.2528992</v>
      </c>
      <c r="P116" s="1" t="s">
        <v>153</v>
      </c>
      <c r="Q116" s="1" t="s">
        <v>154</v>
      </c>
      <c r="R116" s="1" t="s">
        <v>155</v>
      </c>
      <c r="S116" s="1" t="s">
        <v>175</v>
      </c>
      <c r="T116" s="1" t="s">
        <v>245</v>
      </c>
      <c r="U116" s="1" t="s">
        <v>697</v>
      </c>
      <c r="V116" s="1" t="s">
        <v>160</v>
      </c>
      <c r="W116" s="1" t="s">
        <v>160</v>
      </c>
      <c r="X116" s="1" t="s">
        <v>160</v>
      </c>
      <c r="Y116" s="1" t="s">
        <v>160</v>
      </c>
      <c r="Z116" s="1" t="s">
        <v>160</v>
      </c>
      <c r="AA116" s="1" t="s">
        <v>160</v>
      </c>
      <c r="AB116" s="1" t="s">
        <v>160</v>
      </c>
      <c r="AC116" s="1" t="s">
        <v>160</v>
      </c>
      <c r="AD116" s="1" t="s">
        <v>160</v>
      </c>
      <c r="AE116" s="1" t="s">
        <v>160</v>
      </c>
      <c r="AF116" s="1" t="s">
        <v>160</v>
      </c>
      <c r="AG116" s="1" t="s">
        <v>160</v>
      </c>
      <c r="AI116" s="1" t="s">
        <v>160</v>
      </c>
      <c r="AJ116" s="1" t="s">
        <v>164</v>
      </c>
      <c r="AK116" s="1" t="s">
        <v>164</v>
      </c>
      <c r="AL116" s="1" t="s">
        <v>163</v>
      </c>
      <c r="AM116" s="1" t="s">
        <v>192</v>
      </c>
      <c r="AN116" s="1" t="s">
        <v>198</v>
      </c>
      <c r="AO116" s="1" t="s">
        <v>179</v>
      </c>
      <c r="AP116" s="1" t="s">
        <v>179</v>
      </c>
      <c r="AR116" s="1" t="s">
        <v>160</v>
      </c>
      <c r="AS116" s="1" t="s">
        <v>160</v>
      </c>
      <c r="AT116" s="1" t="s">
        <v>638</v>
      </c>
      <c r="AU116" s="1" t="s">
        <v>159</v>
      </c>
      <c r="AV116" s="1" t="s">
        <v>159</v>
      </c>
      <c r="AW116" s="1" t="s">
        <v>160</v>
      </c>
      <c r="AX116" s="1" t="s">
        <v>160</v>
      </c>
      <c r="AY116" s="1" t="s">
        <v>159</v>
      </c>
      <c r="AZ116" s="1" t="s">
        <v>160</v>
      </c>
      <c r="BA116" s="1" t="s">
        <v>159</v>
      </c>
      <c r="BB116" s="1" t="s">
        <v>222</v>
      </c>
      <c r="BC116" s="1" t="s">
        <v>160</v>
      </c>
      <c r="BD116" s="1" t="s">
        <v>698</v>
      </c>
      <c r="BE116" s="1" t="s">
        <v>699</v>
      </c>
      <c r="BF116" s="1" t="s">
        <v>160</v>
      </c>
    </row>
    <row r="117" spans="1:58" ht="13" x14ac:dyDescent="0.15">
      <c r="A117" s="2">
        <v>44175.598611111112</v>
      </c>
      <c r="B117" s="2">
        <v>44175.6</v>
      </c>
      <c r="C117" s="1" t="s">
        <v>39</v>
      </c>
      <c r="D117" s="1" t="s">
        <v>234</v>
      </c>
      <c r="E117" s="1">
        <v>100</v>
      </c>
      <c r="F117" s="1">
        <v>116</v>
      </c>
      <c r="G117" s="1" t="b">
        <v>1</v>
      </c>
      <c r="H117" s="2">
        <v>44175.6</v>
      </c>
      <c r="I117" s="1" t="s">
        <v>700</v>
      </c>
      <c r="N117" s="1">
        <v>34.048492430000003</v>
      </c>
      <c r="O117" s="1">
        <v>-118.2528992</v>
      </c>
      <c r="P117" s="1" t="s">
        <v>153</v>
      </c>
      <c r="Q117" s="1" t="s">
        <v>154</v>
      </c>
      <c r="R117" s="1" t="s">
        <v>174</v>
      </c>
      <c r="S117" s="1" t="s">
        <v>208</v>
      </c>
      <c r="T117" s="1" t="s">
        <v>245</v>
      </c>
      <c r="U117" s="1" t="s">
        <v>701</v>
      </c>
      <c r="V117" s="1" t="s">
        <v>160</v>
      </c>
      <c r="W117" s="1" t="s">
        <v>160</v>
      </c>
      <c r="X117" s="1" t="s">
        <v>160</v>
      </c>
      <c r="Y117" s="1" t="s">
        <v>160</v>
      </c>
      <c r="Z117" s="1" t="s">
        <v>160</v>
      </c>
      <c r="AA117" s="1" t="s">
        <v>160</v>
      </c>
      <c r="AB117" s="1" t="s">
        <v>160</v>
      </c>
      <c r="AC117" s="1" t="s">
        <v>160</v>
      </c>
      <c r="AD117" s="1" t="s">
        <v>160</v>
      </c>
      <c r="AE117" s="1" t="s">
        <v>160</v>
      </c>
      <c r="AF117" s="1" t="s">
        <v>160</v>
      </c>
      <c r="AG117" s="1" t="s">
        <v>160</v>
      </c>
      <c r="AI117" s="1" t="s">
        <v>160</v>
      </c>
      <c r="AJ117" s="1" t="s">
        <v>164</v>
      </c>
      <c r="AK117" s="1" t="s">
        <v>163</v>
      </c>
      <c r="AL117" s="1" t="s">
        <v>164</v>
      </c>
      <c r="AM117" s="1" t="s">
        <v>198</v>
      </c>
      <c r="AN117" s="1" t="s">
        <v>198</v>
      </c>
      <c r="AO117" s="1" t="s">
        <v>179</v>
      </c>
      <c r="AP117" s="1" t="s">
        <v>179</v>
      </c>
      <c r="AR117" s="1" t="s">
        <v>160</v>
      </c>
      <c r="AS117" s="1" t="s">
        <v>160</v>
      </c>
      <c r="AT117" s="1" t="s">
        <v>702</v>
      </c>
      <c r="AU117" s="1" t="s">
        <v>159</v>
      </c>
      <c r="AV117" s="1" t="s">
        <v>160</v>
      </c>
      <c r="AW117" s="1" t="s">
        <v>160</v>
      </c>
      <c r="AX117" s="1" t="s">
        <v>159</v>
      </c>
      <c r="AY117" s="1" t="s">
        <v>160</v>
      </c>
      <c r="AZ117" s="1" t="s">
        <v>159</v>
      </c>
      <c r="BA117" s="1" t="s">
        <v>160</v>
      </c>
      <c r="BB117" s="1" t="s">
        <v>222</v>
      </c>
      <c r="BC117" s="1" t="s">
        <v>160</v>
      </c>
      <c r="BD117" s="1" t="s">
        <v>703</v>
      </c>
      <c r="BE117" s="1" t="s">
        <v>704</v>
      </c>
      <c r="BF117" s="1" t="s">
        <v>160</v>
      </c>
    </row>
    <row r="118" spans="1:58" ht="13" x14ac:dyDescent="0.15">
      <c r="A118" s="2">
        <v>44175.6</v>
      </c>
      <c r="B118" s="2">
        <v>44175.601388888892</v>
      </c>
      <c r="C118" s="1" t="s">
        <v>39</v>
      </c>
      <c r="D118" s="1" t="s">
        <v>234</v>
      </c>
      <c r="E118" s="1">
        <v>100</v>
      </c>
      <c r="F118" s="1">
        <v>116</v>
      </c>
      <c r="G118" s="1" t="b">
        <v>1</v>
      </c>
      <c r="H118" s="2">
        <v>44175.601388888892</v>
      </c>
      <c r="I118" s="1" t="s">
        <v>705</v>
      </c>
      <c r="N118" s="1">
        <v>34.048492430000003</v>
      </c>
      <c r="O118" s="1">
        <v>-118.2528992</v>
      </c>
      <c r="P118" s="1" t="s">
        <v>153</v>
      </c>
      <c r="Q118" s="1" t="s">
        <v>154</v>
      </c>
      <c r="R118" s="1" t="s">
        <v>155</v>
      </c>
      <c r="S118" s="1" t="s">
        <v>310</v>
      </c>
      <c r="T118" s="1" t="s">
        <v>176</v>
      </c>
      <c r="U118" s="1" t="s">
        <v>706</v>
      </c>
      <c r="V118" s="1" t="s">
        <v>160</v>
      </c>
      <c r="W118" s="1" t="s">
        <v>160</v>
      </c>
      <c r="X118" s="1" t="s">
        <v>160</v>
      </c>
      <c r="Y118" s="1" t="s">
        <v>160</v>
      </c>
      <c r="Z118" s="1" t="s">
        <v>160</v>
      </c>
      <c r="AA118" s="1" t="s">
        <v>160</v>
      </c>
      <c r="AB118" s="1" t="s">
        <v>160</v>
      </c>
      <c r="AC118" s="1" t="s">
        <v>160</v>
      </c>
      <c r="AD118" s="1" t="s">
        <v>160</v>
      </c>
      <c r="AE118" s="1" t="s">
        <v>160</v>
      </c>
      <c r="AF118" s="1" t="s">
        <v>160</v>
      </c>
      <c r="AG118" s="1" t="s">
        <v>160</v>
      </c>
      <c r="AI118" s="1" t="s">
        <v>160</v>
      </c>
      <c r="AJ118" s="1" t="s">
        <v>163</v>
      </c>
      <c r="AK118" s="1" t="s">
        <v>192</v>
      </c>
      <c r="AL118" s="1" t="s">
        <v>192</v>
      </c>
      <c r="AM118" s="1" t="s">
        <v>163</v>
      </c>
      <c r="AN118" s="1" t="s">
        <v>192</v>
      </c>
      <c r="AO118" s="1" t="s">
        <v>179</v>
      </c>
      <c r="AP118" s="1" t="s">
        <v>239</v>
      </c>
      <c r="AR118" s="1" t="s">
        <v>160</v>
      </c>
      <c r="AS118" s="1" t="s">
        <v>160</v>
      </c>
      <c r="AT118" s="1" t="s">
        <v>707</v>
      </c>
      <c r="AU118" s="1" t="s">
        <v>159</v>
      </c>
      <c r="AV118" s="1" t="s">
        <v>159</v>
      </c>
      <c r="AW118" s="1" t="s">
        <v>160</v>
      </c>
      <c r="AX118" s="1" t="s">
        <v>160</v>
      </c>
      <c r="AY118" s="1" t="s">
        <v>160</v>
      </c>
      <c r="AZ118" s="1" t="s">
        <v>159</v>
      </c>
      <c r="BA118" s="1" t="s">
        <v>159</v>
      </c>
      <c r="BB118" s="1" t="s">
        <v>167</v>
      </c>
      <c r="BC118" s="1" t="s">
        <v>160</v>
      </c>
      <c r="BD118" s="1" t="s">
        <v>708</v>
      </c>
      <c r="BE118" s="1" t="s">
        <v>709</v>
      </c>
      <c r="BF118" s="1" t="s">
        <v>160</v>
      </c>
    </row>
    <row r="119" spans="1:58" ht="13" x14ac:dyDescent="0.15">
      <c r="A119" s="2">
        <v>44175.602083333331</v>
      </c>
      <c r="B119" s="2">
        <v>44175.603472222225</v>
      </c>
      <c r="C119" s="1" t="s">
        <v>39</v>
      </c>
      <c r="D119" s="1" t="s">
        <v>234</v>
      </c>
      <c r="E119" s="1">
        <v>100</v>
      </c>
      <c r="F119" s="1">
        <v>116</v>
      </c>
      <c r="G119" s="1" t="b">
        <v>1</v>
      </c>
      <c r="H119" s="2">
        <v>44175.603472222225</v>
      </c>
      <c r="I119" s="1" t="s">
        <v>710</v>
      </c>
      <c r="N119" s="1">
        <v>34.048492430000003</v>
      </c>
      <c r="O119" s="1">
        <v>-118.2528992</v>
      </c>
      <c r="P119" s="1" t="s">
        <v>153</v>
      </c>
      <c r="Q119" s="1" t="s">
        <v>154</v>
      </c>
      <c r="R119" s="1" t="s">
        <v>236</v>
      </c>
      <c r="S119" s="1" t="s">
        <v>274</v>
      </c>
      <c r="T119" s="1" t="s">
        <v>245</v>
      </c>
      <c r="U119" s="1" t="s">
        <v>711</v>
      </c>
      <c r="V119" s="1" t="s">
        <v>160</v>
      </c>
      <c r="W119" s="1" t="s">
        <v>160</v>
      </c>
      <c r="X119" s="1" t="s">
        <v>160</v>
      </c>
      <c r="Y119" s="1" t="s">
        <v>160</v>
      </c>
      <c r="Z119" s="1" t="s">
        <v>160</v>
      </c>
      <c r="AA119" s="1" t="s">
        <v>160</v>
      </c>
      <c r="AB119" s="1" t="s">
        <v>160</v>
      </c>
      <c r="AC119" s="1" t="s">
        <v>160</v>
      </c>
      <c r="AD119" s="1" t="s">
        <v>160</v>
      </c>
      <c r="AE119" s="1" t="s">
        <v>160</v>
      </c>
      <c r="AF119" s="1" t="s">
        <v>160</v>
      </c>
      <c r="AG119" s="1" t="s">
        <v>160</v>
      </c>
      <c r="AI119" s="1" t="s">
        <v>160</v>
      </c>
      <c r="AJ119" s="1" t="s">
        <v>163</v>
      </c>
      <c r="AK119" s="1" t="s">
        <v>163</v>
      </c>
      <c r="AL119" s="1" t="s">
        <v>192</v>
      </c>
      <c r="AM119" s="1" t="s">
        <v>192</v>
      </c>
      <c r="AN119" s="1" t="s">
        <v>192</v>
      </c>
      <c r="AO119" s="1" t="s">
        <v>179</v>
      </c>
      <c r="AP119" s="1" t="s">
        <v>179</v>
      </c>
      <c r="AR119" s="1" t="s">
        <v>160</v>
      </c>
      <c r="AS119" s="1" t="s">
        <v>160</v>
      </c>
      <c r="AT119" s="1" t="s">
        <v>712</v>
      </c>
      <c r="AU119" s="1" t="s">
        <v>159</v>
      </c>
      <c r="AV119" s="1" t="s">
        <v>159</v>
      </c>
      <c r="AW119" s="1" t="s">
        <v>160</v>
      </c>
      <c r="AX119" s="1" t="s">
        <v>159</v>
      </c>
      <c r="AY119" s="1" t="s">
        <v>160</v>
      </c>
      <c r="AZ119" s="1" t="s">
        <v>159</v>
      </c>
      <c r="BA119" s="1" t="s">
        <v>159</v>
      </c>
      <c r="BB119" s="1" t="s">
        <v>181</v>
      </c>
      <c r="BC119" s="1" t="s">
        <v>160</v>
      </c>
      <c r="BD119" s="1" t="s">
        <v>713</v>
      </c>
      <c r="BE119" s="1" t="s">
        <v>714</v>
      </c>
      <c r="BF119" s="1" t="s">
        <v>160</v>
      </c>
    </row>
    <row r="120" spans="1:58" ht="13" x14ac:dyDescent="0.15">
      <c r="A120" s="2">
        <v>44175.603472222225</v>
      </c>
      <c r="B120" s="2">
        <v>44175.604861111111</v>
      </c>
      <c r="C120" s="1" t="s">
        <v>39</v>
      </c>
      <c r="D120" s="1" t="s">
        <v>234</v>
      </c>
      <c r="E120" s="1">
        <v>100</v>
      </c>
      <c r="F120" s="1">
        <v>116</v>
      </c>
      <c r="G120" s="1" t="b">
        <v>1</v>
      </c>
      <c r="H120" s="2">
        <v>44175.604861111111</v>
      </c>
      <c r="I120" s="1" t="s">
        <v>715</v>
      </c>
      <c r="N120" s="1">
        <v>34.048492430000003</v>
      </c>
      <c r="O120" s="1">
        <v>-118.2528992</v>
      </c>
      <c r="P120" s="1" t="s">
        <v>153</v>
      </c>
      <c r="Q120" s="1" t="s">
        <v>154</v>
      </c>
      <c r="R120" s="1" t="s">
        <v>236</v>
      </c>
      <c r="S120" s="1" t="s">
        <v>274</v>
      </c>
      <c r="T120" s="1" t="s">
        <v>157</v>
      </c>
      <c r="U120" s="1" t="s">
        <v>716</v>
      </c>
      <c r="V120" s="1" t="s">
        <v>160</v>
      </c>
      <c r="W120" s="1" t="s">
        <v>160</v>
      </c>
      <c r="X120" s="1" t="s">
        <v>160</v>
      </c>
      <c r="Y120" s="1" t="s">
        <v>160</v>
      </c>
      <c r="Z120" s="1" t="s">
        <v>160</v>
      </c>
      <c r="AA120" s="1" t="s">
        <v>160</v>
      </c>
      <c r="AB120" s="1" t="s">
        <v>160</v>
      </c>
      <c r="AC120" s="1" t="s">
        <v>160</v>
      </c>
      <c r="AD120" s="1" t="s">
        <v>160</v>
      </c>
      <c r="AE120" s="1" t="s">
        <v>160</v>
      </c>
      <c r="AF120" s="1" t="s">
        <v>160</v>
      </c>
      <c r="AG120" s="1" t="s">
        <v>160</v>
      </c>
      <c r="AI120" s="1" t="s">
        <v>160</v>
      </c>
      <c r="AJ120" s="1" t="s">
        <v>164</v>
      </c>
      <c r="AK120" s="1" t="s">
        <v>163</v>
      </c>
      <c r="AL120" s="1" t="s">
        <v>164</v>
      </c>
      <c r="AM120" s="1" t="s">
        <v>164</v>
      </c>
      <c r="AN120" s="1" t="s">
        <v>163</v>
      </c>
      <c r="AO120" s="1" t="s">
        <v>179</v>
      </c>
      <c r="AP120" s="1" t="s">
        <v>165</v>
      </c>
      <c r="AR120" s="1" t="s">
        <v>160</v>
      </c>
      <c r="AS120" s="1" t="s">
        <v>160</v>
      </c>
      <c r="AT120" s="1" t="s">
        <v>717</v>
      </c>
      <c r="AU120" s="1" t="s">
        <v>160</v>
      </c>
      <c r="AV120" s="1" t="s">
        <v>160</v>
      </c>
      <c r="AW120" s="1" t="s">
        <v>160</v>
      </c>
      <c r="AX120" s="1" t="s">
        <v>159</v>
      </c>
      <c r="AY120" s="1" t="s">
        <v>160</v>
      </c>
      <c r="AZ120" s="1" t="s">
        <v>159</v>
      </c>
      <c r="BA120" s="1" t="s">
        <v>160</v>
      </c>
      <c r="BB120" s="1" t="s">
        <v>241</v>
      </c>
      <c r="BC120" s="1" t="s">
        <v>160</v>
      </c>
      <c r="BD120" s="1" t="s">
        <v>718</v>
      </c>
      <c r="BE120" s="1" t="s">
        <v>719</v>
      </c>
      <c r="BF120" s="1" t="s">
        <v>160</v>
      </c>
    </row>
    <row r="121" spans="1:58" ht="13" x14ac:dyDescent="0.15">
      <c r="A121" s="2">
        <v>44175.604861111111</v>
      </c>
      <c r="B121" s="2">
        <v>44175.606249999997</v>
      </c>
      <c r="C121" s="1" t="s">
        <v>39</v>
      </c>
      <c r="D121" s="1" t="s">
        <v>234</v>
      </c>
      <c r="E121" s="1">
        <v>100</v>
      </c>
      <c r="F121" s="1">
        <v>117</v>
      </c>
      <c r="G121" s="1" t="b">
        <v>1</v>
      </c>
      <c r="H121" s="2">
        <v>44175.606249999997</v>
      </c>
      <c r="I121" s="1" t="s">
        <v>720</v>
      </c>
      <c r="N121" s="1">
        <v>34.048492430000003</v>
      </c>
      <c r="O121" s="1">
        <v>-118.2528992</v>
      </c>
      <c r="P121" s="1" t="s">
        <v>153</v>
      </c>
      <c r="Q121" s="1" t="s">
        <v>154</v>
      </c>
      <c r="R121" s="1" t="s">
        <v>174</v>
      </c>
      <c r="S121" s="1" t="s">
        <v>310</v>
      </c>
      <c r="T121" s="1" t="s">
        <v>157</v>
      </c>
      <c r="U121" s="1" t="s">
        <v>721</v>
      </c>
      <c r="V121" s="1" t="s">
        <v>160</v>
      </c>
      <c r="W121" s="1" t="s">
        <v>160</v>
      </c>
      <c r="X121" s="1" t="s">
        <v>160</v>
      </c>
      <c r="Y121" s="1" t="s">
        <v>160</v>
      </c>
      <c r="Z121" s="1" t="s">
        <v>160</v>
      </c>
      <c r="AA121" s="1" t="s">
        <v>160</v>
      </c>
      <c r="AB121" s="1" t="s">
        <v>160</v>
      </c>
      <c r="AC121" s="1" t="s">
        <v>160</v>
      </c>
      <c r="AD121" s="1" t="s">
        <v>160</v>
      </c>
      <c r="AE121" s="1" t="s">
        <v>160</v>
      </c>
      <c r="AF121" s="1" t="s">
        <v>160</v>
      </c>
      <c r="AG121" s="1" t="s">
        <v>160</v>
      </c>
      <c r="AI121" s="1" t="s">
        <v>160</v>
      </c>
      <c r="AJ121" s="1" t="s">
        <v>192</v>
      </c>
      <c r="AK121" s="1" t="s">
        <v>198</v>
      </c>
      <c r="AL121" s="1" t="s">
        <v>192</v>
      </c>
      <c r="AM121" s="1" t="s">
        <v>164</v>
      </c>
      <c r="AN121" s="1" t="s">
        <v>163</v>
      </c>
      <c r="AO121" s="1" t="s">
        <v>179</v>
      </c>
      <c r="AP121" s="1" t="s">
        <v>165</v>
      </c>
      <c r="AR121" s="1" t="s">
        <v>160</v>
      </c>
      <c r="AS121" s="1" t="s">
        <v>160</v>
      </c>
      <c r="AT121" s="1" t="s">
        <v>722</v>
      </c>
      <c r="AU121" s="1" t="s">
        <v>159</v>
      </c>
      <c r="AV121" s="1" t="s">
        <v>159</v>
      </c>
      <c r="AW121" s="1" t="s">
        <v>160</v>
      </c>
      <c r="AX121" s="1" t="s">
        <v>160</v>
      </c>
      <c r="AY121" s="1" t="s">
        <v>160</v>
      </c>
      <c r="AZ121" s="1" t="s">
        <v>159</v>
      </c>
      <c r="BA121" s="1" t="s">
        <v>160</v>
      </c>
      <c r="BB121" s="1" t="s">
        <v>222</v>
      </c>
      <c r="BC121" s="1" t="s">
        <v>160</v>
      </c>
      <c r="BD121" s="1" t="s">
        <v>723</v>
      </c>
      <c r="BE121" s="1" t="s">
        <v>724</v>
      </c>
      <c r="BF121" s="1" t="s">
        <v>160</v>
      </c>
    </row>
    <row r="122" spans="1:58" ht="13" x14ac:dyDescent="0.15">
      <c r="A122" s="2">
        <v>44175.604166666664</v>
      </c>
      <c r="B122" s="2">
        <v>44175.607638888891</v>
      </c>
      <c r="C122" s="1" t="s">
        <v>39</v>
      </c>
      <c r="D122" s="1" t="s">
        <v>725</v>
      </c>
      <c r="E122" s="1">
        <v>100</v>
      </c>
      <c r="F122" s="1">
        <v>297</v>
      </c>
      <c r="G122" s="1" t="b">
        <v>1</v>
      </c>
      <c r="H122" s="2">
        <v>44175.607638888891</v>
      </c>
      <c r="I122" s="1" t="s">
        <v>726</v>
      </c>
      <c r="N122" s="1">
        <v>41.923004149999997</v>
      </c>
      <c r="O122" s="1">
        <v>-87.753097530000005</v>
      </c>
      <c r="P122" s="1" t="s">
        <v>153</v>
      </c>
      <c r="Q122" s="1" t="s">
        <v>154</v>
      </c>
      <c r="R122" s="1" t="s">
        <v>174</v>
      </c>
      <c r="S122" s="1" t="s">
        <v>274</v>
      </c>
      <c r="T122" s="1" t="s">
        <v>263</v>
      </c>
      <c r="U122" s="1" t="s">
        <v>727</v>
      </c>
      <c r="V122" s="1" t="s">
        <v>160</v>
      </c>
      <c r="W122" s="1" t="s">
        <v>160</v>
      </c>
      <c r="X122" s="1" t="s">
        <v>160</v>
      </c>
      <c r="Y122" s="1" t="s">
        <v>160</v>
      </c>
      <c r="Z122" s="1" t="s">
        <v>160</v>
      </c>
      <c r="AA122" s="1" t="s">
        <v>160</v>
      </c>
      <c r="AB122" s="1" t="s">
        <v>159</v>
      </c>
      <c r="AC122" s="1" t="s">
        <v>159</v>
      </c>
      <c r="AD122" s="1" t="s">
        <v>159</v>
      </c>
      <c r="AE122" s="1" t="s">
        <v>159</v>
      </c>
      <c r="AF122" s="1" t="s">
        <v>160</v>
      </c>
      <c r="AG122" s="1" t="s">
        <v>160</v>
      </c>
      <c r="AH122" s="1">
        <v>2</v>
      </c>
      <c r="AI122" s="1" t="s">
        <v>160</v>
      </c>
      <c r="AJ122" s="1" t="s">
        <v>164</v>
      </c>
      <c r="AK122" s="1" t="s">
        <v>164</v>
      </c>
      <c r="AL122" s="1" t="s">
        <v>163</v>
      </c>
      <c r="AM122" s="1" t="s">
        <v>192</v>
      </c>
      <c r="AN122" s="1" t="s">
        <v>192</v>
      </c>
      <c r="AO122" s="1" t="s">
        <v>179</v>
      </c>
      <c r="AP122" s="1" t="s">
        <v>179</v>
      </c>
      <c r="AQ122" s="1">
        <v>1988</v>
      </c>
      <c r="AR122" s="1" t="s">
        <v>160</v>
      </c>
      <c r="AS122" s="1" t="s">
        <v>159</v>
      </c>
      <c r="AT122" s="1" t="s">
        <v>180</v>
      </c>
      <c r="AU122" s="1" t="s">
        <v>159</v>
      </c>
      <c r="AV122" s="1" t="s">
        <v>159</v>
      </c>
      <c r="AW122" s="1" t="s">
        <v>159</v>
      </c>
      <c r="AX122" s="1" t="s">
        <v>159</v>
      </c>
      <c r="AY122" s="1" t="s">
        <v>159</v>
      </c>
      <c r="AZ122" s="1" t="s">
        <v>159</v>
      </c>
      <c r="BA122" s="1" t="s">
        <v>159</v>
      </c>
      <c r="BB122" s="1" t="s">
        <v>241</v>
      </c>
      <c r="BC122" s="1" t="s">
        <v>159</v>
      </c>
      <c r="BE122" s="1" t="s">
        <v>728</v>
      </c>
      <c r="BF122" s="1" t="s">
        <v>159</v>
      </c>
    </row>
    <row r="123" spans="1:58" ht="13" x14ac:dyDescent="0.15">
      <c r="A123" s="2">
        <v>44175.606944444444</v>
      </c>
      <c r="B123" s="2">
        <v>44175.60833333333</v>
      </c>
      <c r="C123" s="1" t="s">
        <v>39</v>
      </c>
      <c r="D123" s="1" t="s">
        <v>234</v>
      </c>
      <c r="E123" s="1">
        <v>100</v>
      </c>
      <c r="F123" s="1">
        <v>116</v>
      </c>
      <c r="G123" s="1" t="b">
        <v>1</v>
      </c>
      <c r="H123" s="2">
        <v>44175.60833333333</v>
      </c>
      <c r="I123" s="1" t="s">
        <v>729</v>
      </c>
      <c r="N123" s="1">
        <v>34.048492430000003</v>
      </c>
      <c r="O123" s="1">
        <v>-118.2528992</v>
      </c>
      <c r="P123" s="1" t="s">
        <v>153</v>
      </c>
      <c r="Q123" s="1" t="s">
        <v>154</v>
      </c>
      <c r="R123" s="1" t="s">
        <v>155</v>
      </c>
      <c r="S123" s="1" t="s">
        <v>226</v>
      </c>
      <c r="T123" s="1" t="s">
        <v>176</v>
      </c>
      <c r="U123" s="1" t="s">
        <v>730</v>
      </c>
      <c r="V123" s="1" t="s">
        <v>160</v>
      </c>
      <c r="W123" s="1" t="s">
        <v>160</v>
      </c>
      <c r="X123" s="1" t="s">
        <v>160</v>
      </c>
      <c r="Y123" s="1" t="s">
        <v>160</v>
      </c>
      <c r="Z123" s="1" t="s">
        <v>160</v>
      </c>
      <c r="AA123" s="1" t="s">
        <v>160</v>
      </c>
      <c r="AB123" s="1" t="s">
        <v>160</v>
      </c>
      <c r="AC123" s="1" t="s">
        <v>160</v>
      </c>
      <c r="AD123" s="1" t="s">
        <v>160</v>
      </c>
      <c r="AE123" s="1" t="s">
        <v>160</v>
      </c>
      <c r="AF123" s="1" t="s">
        <v>160</v>
      </c>
      <c r="AG123" s="1" t="s">
        <v>160</v>
      </c>
      <c r="AI123" s="1" t="s">
        <v>160</v>
      </c>
      <c r="AJ123" s="1" t="s">
        <v>164</v>
      </c>
      <c r="AK123" s="1" t="s">
        <v>163</v>
      </c>
      <c r="AL123" s="1" t="s">
        <v>192</v>
      </c>
      <c r="AM123" s="1" t="s">
        <v>198</v>
      </c>
      <c r="AN123" s="1" t="s">
        <v>163</v>
      </c>
      <c r="AO123" s="1" t="s">
        <v>179</v>
      </c>
      <c r="AP123" s="1" t="s">
        <v>179</v>
      </c>
      <c r="AR123" s="1" t="s">
        <v>160</v>
      </c>
      <c r="AS123" s="1" t="s">
        <v>160</v>
      </c>
      <c r="AT123" s="1" t="s">
        <v>731</v>
      </c>
      <c r="AU123" s="1" t="s">
        <v>159</v>
      </c>
      <c r="AV123" s="1" t="s">
        <v>159</v>
      </c>
      <c r="AW123" s="1" t="s">
        <v>160</v>
      </c>
      <c r="AX123" s="1" t="s">
        <v>159</v>
      </c>
      <c r="AY123" s="1" t="s">
        <v>159</v>
      </c>
      <c r="AZ123" s="1" t="s">
        <v>160</v>
      </c>
      <c r="BA123" s="1" t="s">
        <v>160</v>
      </c>
      <c r="BB123" s="1" t="s">
        <v>167</v>
      </c>
      <c r="BC123" s="1" t="s">
        <v>160</v>
      </c>
      <c r="BD123" s="1" t="s">
        <v>732</v>
      </c>
      <c r="BE123" s="1" t="s">
        <v>733</v>
      </c>
      <c r="BF123" s="1" t="s">
        <v>160</v>
      </c>
    </row>
    <row r="124" spans="1:58" ht="13" x14ac:dyDescent="0.15">
      <c r="A124" s="2">
        <v>44175.60833333333</v>
      </c>
      <c r="B124" s="2">
        <v>44175.609722222223</v>
      </c>
      <c r="C124" s="1" t="s">
        <v>39</v>
      </c>
      <c r="D124" s="1" t="s">
        <v>234</v>
      </c>
      <c r="E124" s="1">
        <v>100</v>
      </c>
      <c r="F124" s="1">
        <v>116</v>
      </c>
      <c r="G124" s="1" t="b">
        <v>1</v>
      </c>
      <c r="H124" s="2">
        <v>44175.609722222223</v>
      </c>
      <c r="I124" s="1" t="s">
        <v>734</v>
      </c>
      <c r="N124" s="1">
        <v>34.048492430000003</v>
      </c>
      <c r="O124" s="1">
        <v>-118.2528992</v>
      </c>
      <c r="P124" s="1" t="s">
        <v>153</v>
      </c>
      <c r="Q124" s="1" t="s">
        <v>154</v>
      </c>
      <c r="R124" s="1" t="s">
        <v>236</v>
      </c>
      <c r="S124" s="1" t="s">
        <v>226</v>
      </c>
      <c r="T124" s="1" t="s">
        <v>176</v>
      </c>
      <c r="U124" s="1" t="s">
        <v>735</v>
      </c>
      <c r="V124" s="1" t="s">
        <v>160</v>
      </c>
      <c r="W124" s="1" t="s">
        <v>160</v>
      </c>
      <c r="X124" s="1" t="s">
        <v>160</v>
      </c>
      <c r="Y124" s="1" t="s">
        <v>160</v>
      </c>
      <c r="Z124" s="1" t="s">
        <v>160</v>
      </c>
      <c r="AA124" s="1" t="s">
        <v>160</v>
      </c>
      <c r="AB124" s="1" t="s">
        <v>160</v>
      </c>
      <c r="AC124" s="1" t="s">
        <v>160</v>
      </c>
      <c r="AD124" s="1" t="s">
        <v>160</v>
      </c>
      <c r="AE124" s="1" t="s">
        <v>160</v>
      </c>
      <c r="AF124" s="1" t="s">
        <v>160</v>
      </c>
      <c r="AG124" s="1" t="s">
        <v>160</v>
      </c>
      <c r="AI124" s="1" t="s">
        <v>160</v>
      </c>
      <c r="AJ124" s="1" t="s">
        <v>192</v>
      </c>
      <c r="AK124" s="1" t="s">
        <v>198</v>
      </c>
      <c r="AL124" s="1" t="s">
        <v>164</v>
      </c>
      <c r="AM124" s="1" t="s">
        <v>163</v>
      </c>
      <c r="AN124" s="1" t="s">
        <v>192</v>
      </c>
      <c r="AO124" s="1" t="s">
        <v>179</v>
      </c>
      <c r="AP124" s="1" t="s">
        <v>165</v>
      </c>
      <c r="AR124" s="1" t="s">
        <v>160</v>
      </c>
      <c r="AS124" s="1" t="s">
        <v>160</v>
      </c>
      <c r="AT124" s="1" t="s">
        <v>736</v>
      </c>
      <c r="AU124" s="1" t="s">
        <v>159</v>
      </c>
      <c r="AV124" s="1" t="s">
        <v>160</v>
      </c>
      <c r="AW124" s="1" t="s">
        <v>159</v>
      </c>
      <c r="AX124" s="1" t="s">
        <v>160</v>
      </c>
      <c r="AY124" s="1" t="s">
        <v>159</v>
      </c>
      <c r="AZ124" s="1" t="s">
        <v>159</v>
      </c>
      <c r="BA124" s="1" t="s">
        <v>159</v>
      </c>
      <c r="BB124" s="1" t="s">
        <v>222</v>
      </c>
      <c r="BC124" s="1" t="s">
        <v>160</v>
      </c>
      <c r="BD124" s="1" t="s">
        <v>737</v>
      </c>
      <c r="BE124" s="1" t="s">
        <v>738</v>
      </c>
      <c r="BF124" s="1" t="s">
        <v>160</v>
      </c>
    </row>
    <row r="125" spans="1:58" ht="13" x14ac:dyDescent="0.15">
      <c r="A125" s="2">
        <v>44175.609722222223</v>
      </c>
      <c r="B125" s="2">
        <v>44175.611111111109</v>
      </c>
      <c r="C125" s="1" t="s">
        <v>39</v>
      </c>
      <c r="D125" s="1" t="s">
        <v>234</v>
      </c>
      <c r="E125" s="1">
        <v>100</v>
      </c>
      <c r="F125" s="1">
        <v>116</v>
      </c>
      <c r="G125" s="1" t="b">
        <v>1</v>
      </c>
      <c r="H125" s="2">
        <v>44175.611111111109</v>
      </c>
      <c r="I125" s="1" t="s">
        <v>739</v>
      </c>
      <c r="N125" s="1">
        <v>34.048492430000003</v>
      </c>
      <c r="O125" s="1">
        <v>-118.2528992</v>
      </c>
      <c r="P125" s="1" t="s">
        <v>153</v>
      </c>
      <c r="Q125" s="1" t="s">
        <v>154</v>
      </c>
      <c r="R125" s="1" t="s">
        <v>236</v>
      </c>
      <c r="S125" s="1" t="s">
        <v>175</v>
      </c>
      <c r="T125" s="1" t="s">
        <v>176</v>
      </c>
      <c r="U125" s="1" t="s">
        <v>427</v>
      </c>
      <c r="V125" s="1" t="s">
        <v>160</v>
      </c>
      <c r="W125" s="1" t="s">
        <v>160</v>
      </c>
      <c r="X125" s="1" t="s">
        <v>160</v>
      </c>
      <c r="Y125" s="1" t="s">
        <v>160</v>
      </c>
      <c r="Z125" s="1" t="s">
        <v>160</v>
      </c>
      <c r="AA125" s="1" t="s">
        <v>160</v>
      </c>
      <c r="AB125" s="1" t="s">
        <v>160</v>
      </c>
      <c r="AC125" s="1" t="s">
        <v>160</v>
      </c>
      <c r="AD125" s="1" t="s">
        <v>160</v>
      </c>
      <c r="AE125" s="1" t="s">
        <v>160</v>
      </c>
      <c r="AF125" s="1" t="s">
        <v>160</v>
      </c>
      <c r="AG125" s="1" t="s">
        <v>160</v>
      </c>
      <c r="AI125" s="1" t="s">
        <v>160</v>
      </c>
      <c r="AJ125" s="1" t="s">
        <v>192</v>
      </c>
      <c r="AK125" s="1" t="s">
        <v>198</v>
      </c>
      <c r="AL125" s="1" t="s">
        <v>198</v>
      </c>
      <c r="AM125" s="1" t="s">
        <v>198</v>
      </c>
      <c r="AN125" s="1" t="s">
        <v>192</v>
      </c>
      <c r="AO125" s="1" t="s">
        <v>179</v>
      </c>
      <c r="AP125" s="1" t="s">
        <v>179</v>
      </c>
      <c r="AR125" s="1" t="s">
        <v>160</v>
      </c>
      <c r="AS125" s="1" t="s">
        <v>160</v>
      </c>
      <c r="AT125" s="1" t="s">
        <v>731</v>
      </c>
      <c r="AU125" s="1" t="s">
        <v>159</v>
      </c>
      <c r="AV125" s="1" t="s">
        <v>160</v>
      </c>
      <c r="AW125" s="1" t="s">
        <v>159</v>
      </c>
      <c r="AX125" s="1" t="s">
        <v>159</v>
      </c>
      <c r="AY125" s="1" t="s">
        <v>160</v>
      </c>
      <c r="AZ125" s="1" t="s">
        <v>160</v>
      </c>
      <c r="BA125" s="1" t="s">
        <v>159</v>
      </c>
      <c r="BB125" s="1" t="s">
        <v>222</v>
      </c>
      <c r="BC125" s="1" t="s">
        <v>160</v>
      </c>
      <c r="BD125" s="1" t="s">
        <v>740</v>
      </c>
      <c r="BE125" s="1" t="s">
        <v>741</v>
      </c>
      <c r="BF125" s="1" t="s">
        <v>160</v>
      </c>
    </row>
    <row r="126" spans="1:58" ht="13" x14ac:dyDescent="0.15">
      <c r="A126" s="2">
        <v>44175.611805555556</v>
      </c>
      <c r="B126" s="2">
        <v>44175.613194444442</v>
      </c>
      <c r="C126" s="1" t="s">
        <v>39</v>
      </c>
      <c r="D126" s="1" t="s">
        <v>234</v>
      </c>
      <c r="E126" s="1">
        <v>100</v>
      </c>
      <c r="F126" s="1">
        <v>117</v>
      </c>
      <c r="G126" s="1" t="b">
        <v>1</v>
      </c>
      <c r="H126" s="2">
        <v>44175.613194444442</v>
      </c>
      <c r="I126" s="1" t="s">
        <v>742</v>
      </c>
      <c r="N126" s="1">
        <v>34.048492430000003</v>
      </c>
      <c r="O126" s="1">
        <v>-118.2528992</v>
      </c>
      <c r="P126" s="1" t="s">
        <v>153</v>
      </c>
      <c r="Q126" s="1" t="s">
        <v>154</v>
      </c>
      <c r="R126" s="1" t="s">
        <v>174</v>
      </c>
      <c r="S126" s="1" t="s">
        <v>175</v>
      </c>
      <c r="T126" s="1" t="s">
        <v>157</v>
      </c>
      <c r="U126" s="1" t="s">
        <v>547</v>
      </c>
      <c r="V126" s="1" t="s">
        <v>160</v>
      </c>
      <c r="W126" s="1" t="s">
        <v>160</v>
      </c>
      <c r="X126" s="1" t="s">
        <v>160</v>
      </c>
      <c r="Y126" s="1" t="s">
        <v>160</v>
      </c>
      <c r="Z126" s="1" t="s">
        <v>160</v>
      </c>
      <c r="AA126" s="1" t="s">
        <v>160</v>
      </c>
      <c r="AB126" s="1" t="s">
        <v>160</v>
      </c>
      <c r="AC126" s="1" t="s">
        <v>160</v>
      </c>
      <c r="AD126" s="1" t="s">
        <v>160</v>
      </c>
      <c r="AE126" s="1" t="s">
        <v>160</v>
      </c>
      <c r="AF126" s="1" t="s">
        <v>160</v>
      </c>
      <c r="AG126" s="1" t="s">
        <v>160</v>
      </c>
      <c r="AI126" s="1" t="s">
        <v>160</v>
      </c>
      <c r="AJ126" s="1" t="s">
        <v>192</v>
      </c>
      <c r="AK126" s="1" t="s">
        <v>163</v>
      </c>
      <c r="AL126" s="1" t="s">
        <v>164</v>
      </c>
      <c r="AM126" s="1" t="s">
        <v>198</v>
      </c>
      <c r="AN126" s="1" t="s">
        <v>164</v>
      </c>
      <c r="AO126" s="1" t="s">
        <v>179</v>
      </c>
      <c r="AP126" s="1" t="s">
        <v>165</v>
      </c>
      <c r="AR126" s="1" t="s">
        <v>160</v>
      </c>
      <c r="AS126" s="1" t="s">
        <v>160</v>
      </c>
      <c r="AT126" s="1" t="s">
        <v>743</v>
      </c>
      <c r="AU126" s="1" t="s">
        <v>160</v>
      </c>
      <c r="AV126" s="1" t="s">
        <v>159</v>
      </c>
      <c r="AW126" s="1" t="s">
        <v>159</v>
      </c>
      <c r="AX126" s="1" t="s">
        <v>159</v>
      </c>
      <c r="AY126" s="1" t="s">
        <v>160</v>
      </c>
      <c r="AZ126" s="1" t="s">
        <v>160</v>
      </c>
      <c r="BA126" s="1" t="s">
        <v>159</v>
      </c>
      <c r="BB126" s="1" t="s">
        <v>181</v>
      </c>
      <c r="BC126" s="1" t="s">
        <v>160</v>
      </c>
      <c r="BD126" s="1" t="s">
        <v>744</v>
      </c>
      <c r="BE126" s="1" t="s">
        <v>745</v>
      </c>
      <c r="BF126" s="1" t="s">
        <v>160</v>
      </c>
    </row>
    <row r="127" spans="1:58" ht="13" x14ac:dyDescent="0.15">
      <c r="A127" s="2">
        <v>44175.613194444442</v>
      </c>
      <c r="B127" s="2">
        <v>44175.614583333336</v>
      </c>
      <c r="C127" s="1" t="s">
        <v>39</v>
      </c>
      <c r="D127" s="1" t="s">
        <v>234</v>
      </c>
      <c r="E127" s="1">
        <v>100</v>
      </c>
      <c r="F127" s="1">
        <v>121</v>
      </c>
      <c r="G127" s="1" t="b">
        <v>1</v>
      </c>
      <c r="H127" s="2">
        <v>44175.614583333336</v>
      </c>
      <c r="I127" s="1" t="s">
        <v>746</v>
      </c>
      <c r="N127" s="1">
        <v>34.048492430000003</v>
      </c>
      <c r="O127" s="1">
        <v>-118.2528992</v>
      </c>
      <c r="P127" s="1" t="s">
        <v>153</v>
      </c>
      <c r="Q127" s="1" t="s">
        <v>154</v>
      </c>
      <c r="R127" s="1" t="s">
        <v>155</v>
      </c>
      <c r="S127" s="1" t="s">
        <v>175</v>
      </c>
      <c r="T127" s="1" t="s">
        <v>237</v>
      </c>
      <c r="U127" s="1" t="s">
        <v>747</v>
      </c>
      <c r="V127" s="1" t="s">
        <v>160</v>
      </c>
      <c r="W127" s="1" t="s">
        <v>160</v>
      </c>
      <c r="X127" s="1" t="s">
        <v>160</v>
      </c>
      <c r="Y127" s="1" t="s">
        <v>160</v>
      </c>
      <c r="Z127" s="1" t="s">
        <v>160</v>
      </c>
      <c r="AA127" s="1" t="s">
        <v>160</v>
      </c>
      <c r="AB127" s="1" t="s">
        <v>160</v>
      </c>
      <c r="AC127" s="1" t="s">
        <v>160</v>
      </c>
      <c r="AD127" s="1" t="s">
        <v>160</v>
      </c>
      <c r="AE127" s="1" t="s">
        <v>160</v>
      </c>
      <c r="AF127" s="1" t="s">
        <v>160</v>
      </c>
      <c r="AG127" s="1" t="s">
        <v>160</v>
      </c>
      <c r="AI127" s="1" t="s">
        <v>160</v>
      </c>
      <c r="AJ127" s="1" t="s">
        <v>192</v>
      </c>
      <c r="AK127" s="1" t="s">
        <v>164</v>
      </c>
      <c r="AL127" s="1" t="s">
        <v>192</v>
      </c>
      <c r="AM127" s="1" t="s">
        <v>163</v>
      </c>
      <c r="AN127" s="1" t="s">
        <v>192</v>
      </c>
      <c r="AO127" s="1" t="s">
        <v>179</v>
      </c>
      <c r="AP127" s="1" t="s">
        <v>179</v>
      </c>
      <c r="AR127" s="1" t="s">
        <v>160</v>
      </c>
      <c r="AS127" s="1" t="s">
        <v>160</v>
      </c>
      <c r="AT127" s="1" t="s">
        <v>748</v>
      </c>
      <c r="AU127" s="1" t="s">
        <v>159</v>
      </c>
      <c r="AV127" s="1" t="s">
        <v>159</v>
      </c>
      <c r="AW127" s="1" t="s">
        <v>159</v>
      </c>
      <c r="AX127" s="1" t="s">
        <v>160</v>
      </c>
      <c r="AY127" s="1" t="s">
        <v>159</v>
      </c>
      <c r="AZ127" s="1" t="s">
        <v>160</v>
      </c>
      <c r="BA127" s="1" t="s">
        <v>160</v>
      </c>
      <c r="BB127" s="1" t="s">
        <v>241</v>
      </c>
      <c r="BC127" s="1" t="s">
        <v>160</v>
      </c>
      <c r="BD127" s="1" t="s">
        <v>749</v>
      </c>
      <c r="BE127" s="1" t="s">
        <v>750</v>
      </c>
      <c r="BF127" s="1" t="s">
        <v>160</v>
      </c>
    </row>
    <row r="128" spans="1:58" ht="13" x14ac:dyDescent="0.15">
      <c r="A128" s="2">
        <v>44175.614583333336</v>
      </c>
      <c r="B128" s="2">
        <v>44175.615972222222</v>
      </c>
      <c r="C128" s="1" t="s">
        <v>39</v>
      </c>
      <c r="D128" s="1" t="s">
        <v>234</v>
      </c>
      <c r="E128" s="1">
        <v>100</v>
      </c>
      <c r="F128" s="1">
        <v>117</v>
      </c>
      <c r="G128" s="1" t="b">
        <v>1</v>
      </c>
      <c r="H128" s="2">
        <v>44175.615972222222</v>
      </c>
      <c r="I128" s="1" t="s">
        <v>751</v>
      </c>
      <c r="N128" s="1">
        <v>34.048492430000003</v>
      </c>
      <c r="O128" s="1">
        <v>-118.2528992</v>
      </c>
      <c r="P128" s="1" t="s">
        <v>153</v>
      </c>
      <c r="Q128" s="1" t="s">
        <v>154</v>
      </c>
      <c r="R128" s="1" t="s">
        <v>236</v>
      </c>
      <c r="S128" s="1" t="s">
        <v>208</v>
      </c>
      <c r="T128" s="1" t="s">
        <v>245</v>
      </c>
      <c r="U128" s="1" t="s">
        <v>406</v>
      </c>
      <c r="V128" s="1" t="s">
        <v>160</v>
      </c>
      <c r="W128" s="1" t="s">
        <v>160</v>
      </c>
      <c r="X128" s="1" t="s">
        <v>160</v>
      </c>
      <c r="Y128" s="1" t="s">
        <v>160</v>
      </c>
      <c r="Z128" s="1" t="s">
        <v>160</v>
      </c>
      <c r="AA128" s="1" t="s">
        <v>160</v>
      </c>
      <c r="AB128" s="1" t="s">
        <v>160</v>
      </c>
      <c r="AC128" s="1" t="s">
        <v>160</v>
      </c>
      <c r="AD128" s="1" t="s">
        <v>160</v>
      </c>
      <c r="AE128" s="1" t="s">
        <v>160</v>
      </c>
      <c r="AF128" s="1" t="s">
        <v>160</v>
      </c>
      <c r="AG128" s="1" t="s">
        <v>160</v>
      </c>
      <c r="AI128" s="1" t="s">
        <v>160</v>
      </c>
      <c r="AJ128" s="1" t="s">
        <v>163</v>
      </c>
      <c r="AK128" s="1" t="s">
        <v>198</v>
      </c>
      <c r="AL128" s="1" t="s">
        <v>163</v>
      </c>
      <c r="AM128" s="1" t="s">
        <v>163</v>
      </c>
      <c r="AN128" s="1" t="s">
        <v>164</v>
      </c>
      <c r="AO128" s="1" t="s">
        <v>179</v>
      </c>
      <c r="AP128" s="1" t="s">
        <v>165</v>
      </c>
      <c r="AR128" s="1" t="s">
        <v>160</v>
      </c>
      <c r="AS128" s="1" t="s">
        <v>160</v>
      </c>
      <c r="AT128" s="1" t="s">
        <v>166</v>
      </c>
      <c r="AU128" s="1" t="s">
        <v>159</v>
      </c>
      <c r="AV128" s="1" t="s">
        <v>160</v>
      </c>
      <c r="AW128" s="1" t="s">
        <v>159</v>
      </c>
      <c r="AX128" s="1" t="s">
        <v>159</v>
      </c>
      <c r="AY128" s="1" t="s">
        <v>159</v>
      </c>
      <c r="AZ128" s="1" t="s">
        <v>160</v>
      </c>
      <c r="BA128" s="1" t="s">
        <v>160</v>
      </c>
      <c r="BB128" s="1" t="s">
        <v>181</v>
      </c>
      <c r="BC128" s="1" t="s">
        <v>160</v>
      </c>
      <c r="BD128" s="1" t="s">
        <v>511</v>
      </c>
      <c r="BE128" s="1" t="s">
        <v>752</v>
      </c>
      <c r="BF128" s="1" t="s">
        <v>160</v>
      </c>
    </row>
    <row r="129" spans="1:59" ht="13" x14ac:dyDescent="0.15">
      <c r="A129" s="2">
        <v>44175.616666666669</v>
      </c>
      <c r="B129" s="2">
        <v>44175.618055555555</v>
      </c>
      <c r="C129" s="1" t="s">
        <v>39</v>
      </c>
      <c r="D129" s="1" t="s">
        <v>234</v>
      </c>
      <c r="E129" s="1">
        <v>100</v>
      </c>
      <c r="F129" s="1">
        <v>121</v>
      </c>
      <c r="G129" s="1" t="b">
        <v>1</v>
      </c>
      <c r="H129" s="2">
        <v>44175.618055555555</v>
      </c>
      <c r="I129" s="1" t="s">
        <v>753</v>
      </c>
      <c r="N129" s="1">
        <v>34.048492430000003</v>
      </c>
      <c r="O129" s="1">
        <v>-118.2528992</v>
      </c>
      <c r="P129" s="1" t="s">
        <v>153</v>
      </c>
      <c r="Q129" s="1" t="s">
        <v>154</v>
      </c>
      <c r="R129" s="1" t="s">
        <v>174</v>
      </c>
      <c r="S129" s="1" t="s">
        <v>274</v>
      </c>
      <c r="T129" s="1" t="s">
        <v>176</v>
      </c>
      <c r="U129" s="1" t="s">
        <v>496</v>
      </c>
      <c r="V129" s="1" t="s">
        <v>160</v>
      </c>
      <c r="W129" s="1" t="s">
        <v>160</v>
      </c>
      <c r="X129" s="1" t="s">
        <v>160</v>
      </c>
      <c r="Y129" s="1" t="s">
        <v>160</v>
      </c>
      <c r="Z129" s="1" t="s">
        <v>160</v>
      </c>
      <c r="AA129" s="1" t="s">
        <v>160</v>
      </c>
      <c r="AB129" s="1" t="s">
        <v>160</v>
      </c>
      <c r="AC129" s="1" t="s">
        <v>160</v>
      </c>
      <c r="AD129" s="1" t="s">
        <v>160</v>
      </c>
      <c r="AE129" s="1" t="s">
        <v>160</v>
      </c>
      <c r="AF129" s="1" t="s">
        <v>160</v>
      </c>
      <c r="AG129" s="1" t="s">
        <v>160</v>
      </c>
      <c r="AI129" s="1" t="s">
        <v>160</v>
      </c>
      <c r="AJ129" s="1" t="s">
        <v>164</v>
      </c>
      <c r="AK129" s="1" t="s">
        <v>198</v>
      </c>
      <c r="AL129" s="1" t="s">
        <v>164</v>
      </c>
      <c r="AM129" s="1" t="s">
        <v>192</v>
      </c>
      <c r="AN129" s="1" t="s">
        <v>198</v>
      </c>
      <c r="AO129" s="1" t="s">
        <v>179</v>
      </c>
      <c r="AP129" s="1" t="s">
        <v>179</v>
      </c>
      <c r="AR129" s="1" t="s">
        <v>160</v>
      </c>
      <c r="AS129" s="1" t="s">
        <v>160</v>
      </c>
      <c r="AT129" s="1" t="s">
        <v>307</v>
      </c>
      <c r="AU129" s="1" t="s">
        <v>159</v>
      </c>
      <c r="AV129" s="1" t="s">
        <v>159</v>
      </c>
      <c r="AW129" s="1" t="s">
        <v>160</v>
      </c>
      <c r="AX129" s="1" t="s">
        <v>160</v>
      </c>
      <c r="AY129" s="1" t="s">
        <v>160</v>
      </c>
      <c r="AZ129" s="1" t="s">
        <v>160</v>
      </c>
      <c r="BA129" s="1" t="s">
        <v>159</v>
      </c>
      <c r="BB129" s="1" t="s">
        <v>181</v>
      </c>
      <c r="BC129" s="1" t="s">
        <v>160</v>
      </c>
      <c r="BD129" s="1" t="s">
        <v>754</v>
      </c>
      <c r="BE129" s="1" t="s">
        <v>755</v>
      </c>
      <c r="BF129" s="1" t="s">
        <v>160</v>
      </c>
    </row>
    <row r="130" spans="1:59" ht="13" x14ac:dyDescent="0.15">
      <c r="A130" s="2">
        <v>44175.618055555555</v>
      </c>
      <c r="B130" s="2">
        <v>44175.619444444441</v>
      </c>
      <c r="C130" s="1" t="s">
        <v>39</v>
      </c>
      <c r="D130" s="1" t="s">
        <v>234</v>
      </c>
      <c r="E130" s="1">
        <v>100</v>
      </c>
      <c r="F130" s="1">
        <v>120</v>
      </c>
      <c r="G130" s="1" t="b">
        <v>1</v>
      </c>
      <c r="H130" s="2">
        <v>44175.619444444441</v>
      </c>
      <c r="I130" s="1" t="s">
        <v>756</v>
      </c>
      <c r="N130" s="1">
        <v>34.048492430000003</v>
      </c>
      <c r="O130" s="1">
        <v>-118.2528992</v>
      </c>
      <c r="P130" s="1" t="s">
        <v>153</v>
      </c>
      <c r="Q130" s="1" t="s">
        <v>154</v>
      </c>
      <c r="R130" s="1" t="s">
        <v>236</v>
      </c>
      <c r="S130" s="1" t="s">
        <v>310</v>
      </c>
      <c r="T130" s="1" t="s">
        <v>245</v>
      </c>
      <c r="U130" s="1" t="s">
        <v>757</v>
      </c>
      <c r="V130" s="1" t="s">
        <v>160</v>
      </c>
      <c r="W130" s="1" t="s">
        <v>160</v>
      </c>
      <c r="X130" s="1" t="s">
        <v>160</v>
      </c>
      <c r="Y130" s="1" t="s">
        <v>160</v>
      </c>
      <c r="Z130" s="1" t="s">
        <v>160</v>
      </c>
      <c r="AA130" s="1" t="s">
        <v>160</v>
      </c>
      <c r="AB130" s="1" t="s">
        <v>160</v>
      </c>
      <c r="AC130" s="1" t="s">
        <v>160</v>
      </c>
      <c r="AD130" s="1" t="s">
        <v>160</v>
      </c>
      <c r="AE130" s="1" t="s">
        <v>160</v>
      </c>
      <c r="AF130" s="1" t="s">
        <v>160</v>
      </c>
      <c r="AG130" s="1" t="s">
        <v>160</v>
      </c>
      <c r="AI130" s="1" t="s">
        <v>160</v>
      </c>
      <c r="AJ130" s="1" t="s">
        <v>192</v>
      </c>
      <c r="AK130" s="1" t="s">
        <v>198</v>
      </c>
      <c r="AL130" s="1" t="s">
        <v>164</v>
      </c>
      <c r="AM130" s="1" t="s">
        <v>192</v>
      </c>
      <c r="AN130" s="1" t="s">
        <v>198</v>
      </c>
      <c r="AO130" s="1" t="s">
        <v>179</v>
      </c>
      <c r="AP130" s="1" t="s">
        <v>179</v>
      </c>
      <c r="AR130" s="1" t="s">
        <v>160</v>
      </c>
      <c r="AS130" s="1" t="s">
        <v>160</v>
      </c>
      <c r="AT130" s="1" t="s">
        <v>758</v>
      </c>
      <c r="AU130" s="1" t="s">
        <v>160</v>
      </c>
      <c r="AV130" s="1" t="s">
        <v>159</v>
      </c>
      <c r="AW130" s="1" t="s">
        <v>159</v>
      </c>
      <c r="AX130" s="1" t="s">
        <v>160</v>
      </c>
      <c r="AY130" s="1" t="s">
        <v>159</v>
      </c>
      <c r="AZ130" s="1" t="s">
        <v>160</v>
      </c>
      <c r="BA130" s="1" t="s">
        <v>160</v>
      </c>
      <c r="BB130" s="1" t="s">
        <v>241</v>
      </c>
      <c r="BC130" s="1" t="s">
        <v>160</v>
      </c>
      <c r="BD130" s="1" t="s">
        <v>759</v>
      </c>
      <c r="BE130" s="1" t="s">
        <v>760</v>
      </c>
      <c r="BF130" s="1" t="s">
        <v>160</v>
      </c>
    </row>
    <row r="131" spans="1:59" ht="13" x14ac:dyDescent="0.15">
      <c r="A131" s="2">
        <v>44175.619444444441</v>
      </c>
      <c r="B131" s="2">
        <v>44175.620833333334</v>
      </c>
      <c r="C131" s="1" t="s">
        <v>39</v>
      </c>
      <c r="D131" s="1" t="s">
        <v>234</v>
      </c>
      <c r="E131" s="1">
        <v>100</v>
      </c>
      <c r="F131" s="1">
        <v>116</v>
      </c>
      <c r="G131" s="1" t="b">
        <v>1</v>
      </c>
      <c r="H131" s="2">
        <v>44175.620833333334</v>
      </c>
      <c r="I131" s="1" t="s">
        <v>761</v>
      </c>
      <c r="N131" s="1">
        <v>34.048492430000003</v>
      </c>
      <c r="O131" s="1">
        <v>-118.2528992</v>
      </c>
      <c r="P131" s="1" t="s">
        <v>153</v>
      </c>
      <c r="Q131" s="1" t="s">
        <v>154</v>
      </c>
      <c r="R131" s="1" t="s">
        <v>174</v>
      </c>
      <c r="S131" s="1" t="s">
        <v>208</v>
      </c>
      <c r="T131" s="1" t="s">
        <v>245</v>
      </c>
      <c r="U131" s="1" t="s">
        <v>294</v>
      </c>
      <c r="V131" s="1" t="s">
        <v>160</v>
      </c>
      <c r="W131" s="1" t="s">
        <v>160</v>
      </c>
      <c r="X131" s="1" t="s">
        <v>160</v>
      </c>
      <c r="Y131" s="1" t="s">
        <v>160</v>
      </c>
      <c r="Z131" s="1" t="s">
        <v>160</v>
      </c>
      <c r="AA131" s="1" t="s">
        <v>160</v>
      </c>
      <c r="AB131" s="1" t="s">
        <v>160</v>
      </c>
      <c r="AC131" s="1" t="s">
        <v>160</v>
      </c>
      <c r="AD131" s="1" t="s">
        <v>160</v>
      </c>
      <c r="AE131" s="1" t="s">
        <v>160</v>
      </c>
      <c r="AF131" s="1" t="s">
        <v>160</v>
      </c>
      <c r="AG131" s="1" t="s">
        <v>160</v>
      </c>
      <c r="AI131" s="1" t="s">
        <v>160</v>
      </c>
      <c r="AJ131" s="1" t="s">
        <v>198</v>
      </c>
      <c r="AK131" s="1" t="s">
        <v>192</v>
      </c>
      <c r="AL131" s="1" t="s">
        <v>164</v>
      </c>
      <c r="AM131" s="1" t="s">
        <v>198</v>
      </c>
      <c r="AN131" s="1" t="s">
        <v>164</v>
      </c>
      <c r="AO131" s="1" t="s">
        <v>179</v>
      </c>
      <c r="AP131" s="1" t="s">
        <v>179</v>
      </c>
      <c r="AR131" s="1" t="s">
        <v>160</v>
      </c>
      <c r="AS131" s="1" t="s">
        <v>160</v>
      </c>
      <c r="AT131" s="1" t="s">
        <v>762</v>
      </c>
      <c r="AU131" s="1" t="s">
        <v>159</v>
      </c>
      <c r="AV131" s="1" t="s">
        <v>159</v>
      </c>
      <c r="AW131" s="1" t="s">
        <v>159</v>
      </c>
      <c r="AX131" s="1" t="s">
        <v>159</v>
      </c>
      <c r="AY131" s="1" t="s">
        <v>159</v>
      </c>
      <c r="AZ131" s="1" t="s">
        <v>159</v>
      </c>
      <c r="BA131" s="1" t="s">
        <v>160</v>
      </c>
      <c r="BB131" s="1" t="s">
        <v>181</v>
      </c>
      <c r="BC131" s="1" t="s">
        <v>160</v>
      </c>
      <c r="BD131" s="1" t="s">
        <v>763</v>
      </c>
      <c r="BE131" s="1" t="s">
        <v>764</v>
      </c>
      <c r="BF131" s="1" t="s">
        <v>160</v>
      </c>
    </row>
    <row r="132" spans="1:59" ht="13" x14ac:dyDescent="0.15">
      <c r="A132" s="2">
        <v>44175.621527777781</v>
      </c>
      <c r="B132" s="2">
        <v>44175.622916666667</v>
      </c>
      <c r="C132" s="1" t="s">
        <v>39</v>
      </c>
      <c r="D132" s="1" t="s">
        <v>234</v>
      </c>
      <c r="E132" s="1">
        <v>100</v>
      </c>
      <c r="F132" s="1">
        <v>116</v>
      </c>
      <c r="G132" s="1" t="b">
        <v>1</v>
      </c>
      <c r="H132" s="2">
        <v>44175.622916666667</v>
      </c>
      <c r="I132" s="1" t="s">
        <v>765</v>
      </c>
      <c r="N132" s="1">
        <v>34.048492430000003</v>
      </c>
      <c r="O132" s="1">
        <v>-118.2528992</v>
      </c>
      <c r="P132" s="1" t="s">
        <v>153</v>
      </c>
      <c r="Q132" s="1" t="s">
        <v>154</v>
      </c>
      <c r="R132" s="1" t="s">
        <v>236</v>
      </c>
      <c r="S132" s="1" t="s">
        <v>208</v>
      </c>
      <c r="T132" s="1" t="s">
        <v>263</v>
      </c>
      <c r="U132" s="1" t="s">
        <v>496</v>
      </c>
      <c r="V132" s="1" t="s">
        <v>160</v>
      </c>
      <c r="W132" s="1" t="s">
        <v>160</v>
      </c>
      <c r="X132" s="1" t="s">
        <v>160</v>
      </c>
      <c r="Y132" s="1" t="s">
        <v>160</v>
      </c>
      <c r="Z132" s="1" t="s">
        <v>160</v>
      </c>
      <c r="AA132" s="1" t="s">
        <v>160</v>
      </c>
      <c r="AB132" s="1" t="s">
        <v>160</v>
      </c>
      <c r="AC132" s="1" t="s">
        <v>160</v>
      </c>
      <c r="AD132" s="1" t="s">
        <v>160</v>
      </c>
      <c r="AE132" s="1" t="s">
        <v>160</v>
      </c>
      <c r="AF132" s="1" t="s">
        <v>160</v>
      </c>
      <c r="AG132" s="1" t="s">
        <v>160</v>
      </c>
      <c r="AI132" s="1" t="s">
        <v>160</v>
      </c>
      <c r="AJ132" s="1" t="s">
        <v>192</v>
      </c>
      <c r="AK132" s="1" t="s">
        <v>192</v>
      </c>
      <c r="AL132" s="1" t="s">
        <v>164</v>
      </c>
      <c r="AM132" s="1" t="s">
        <v>163</v>
      </c>
      <c r="AN132" s="1" t="s">
        <v>163</v>
      </c>
      <c r="AO132" s="1" t="s">
        <v>179</v>
      </c>
      <c r="AP132" s="1" t="s">
        <v>179</v>
      </c>
      <c r="AR132" s="1" t="s">
        <v>160</v>
      </c>
      <c r="AS132" s="1" t="s">
        <v>160</v>
      </c>
      <c r="AT132" s="1" t="s">
        <v>766</v>
      </c>
      <c r="AU132" s="1" t="s">
        <v>159</v>
      </c>
      <c r="AV132" s="1" t="s">
        <v>159</v>
      </c>
      <c r="AW132" s="1" t="s">
        <v>159</v>
      </c>
      <c r="AX132" s="1" t="s">
        <v>160</v>
      </c>
      <c r="AY132" s="1" t="s">
        <v>159</v>
      </c>
      <c r="AZ132" s="1" t="s">
        <v>160</v>
      </c>
      <c r="BA132" s="1" t="s">
        <v>159</v>
      </c>
      <c r="BB132" s="1" t="s">
        <v>241</v>
      </c>
      <c r="BC132" s="1" t="s">
        <v>160</v>
      </c>
      <c r="BD132" s="1" t="s">
        <v>767</v>
      </c>
      <c r="BE132" s="1" t="s">
        <v>768</v>
      </c>
      <c r="BF132" s="1" t="s">
        <v>160</v>
      </c>
    </row>
    <row r="133" spans="1:59" ht="13" x14ac:dyDescent="0.15">
      <c r="A133" s="2">
        <v>44175.620138888888</v>
      </c>
      <c r="B133" s="2">
        <v>44175.623611111114</v>
      </c>
      <c r="C133" s="1" t="s">
        <v>39</v>
      </c>
      <c r="D133" s="1" t="s">
        <v>769</v>
      </c>
      <c r="E133" s="1">
        <v>100</v>
      </c>
      <c r="F133" s="1">
        <v>303</v>
      </c>
      <c r="G133" s="1" t="b">
        <v>1</v>
      </c>
      <c r="H133" s="2">
        <v>44175.623611111114</v>
      </c>
      <c r="I133" s="1" t="s">
        <v>770</v>
      </c>
      <c r="N133" s="1">
        <v>40.017196660000003</v>
      </c>
      <c r="O133" s="1">
        <v>-75.08830261</v>
      </c>
      <c r="P133" s="1" t="s">
        <v>153</v>
      </c>
      <c r="Q133" s="1" t="s">
        <v>154</v>
      </c>
      <c r="R133" s="1" t="s">
        <v>174</v>
      </c>
      <c r="S133" s="1" t="s">
        <v>175</v>
      </c>
      <c r="T133" s="1" t="s">
        <v>263</v>
      </c>
      <c r="U133" s="1" t="s">
        <v>716</v>
      </c>
      <c r="V133" s="1" t="s">
        <v>160</v>
      </c>
      <c r="W133" s="1" t="s">
        <v>160</v>
      </c>
      <c r="X133" s="1" t="s">
        <v>160</v>
      </c>
      <c r="Y133" s="1" t="s">
        <v>160</v>
      </c>
      <c r="Z133" s="1" t="s">
        <v>160</v>
      </c>
      <c r="AA133" s="1" t="s">
        <v>160</v>
      </c>
      <c r="AB133" s="1" t="s">
        <v>160</v>
      </c>
      <c r="AC133" s="1" t="s">
        <v>160</v>
      </c>
      <c r="AD133" s="1" t="s">
        <v>160</v>
      </c>
      <c r="AE133" s="1" t="s">
        <v>160</v>
      </c>
      <c r="AF133" s="1" t="s">
        <v>160</v>
      </c>
      <c r="AG133" s="1" t="s">
        <v>160</v>
      </c>
      <c r="AH133" s="1">
        <v>4</v>
      </c>
      <c r="AI133" s="1" t="s">
        <v>160</v>
      </c>
      <c r="AJ133" s="1" t="s">
        <v>163</v>
      </c>
      <c r="AK133" s="1" t="s">
        <v>163</v>
      </c>
      <c r="AL133" s="1" t="s">
        <v>164</v>
      </c>
      <c r="AM133" s="1" t="s">
        <v>163</v>
      </c>
      <c r="AN133" s="1" t="s">
        <v>192</v>
      </c>
      <c r="AO133" s="1" t="s">
        <v>165</v>
      </c>
      <c r="AP133" s="1" t="s">
        <v>165</v>
      </c>
      <c r="AQ133" s="1">
        <v>1998</v>
      </c>
      <c r="AR133" s="1" t="s">
        <v>160</v>
      </c>
      <c r="AS133" s="1" t="s">
        <v>159</v>
      </c>
      <c r="AT133" s="1" t="s">
        <v>180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159</v>
      </c>
      <c r="BB133" s="1" t="s">
        <v>167</v>
      </c>
      <c r="BC133" s="1" t="s">
        <v>159</v>
      </c>
      <c r="BE133" s="1" t="s">
        <v>771</v>
      </c>
      <c r="BF133" s="1" t="s">
        <v>159</v>
      </c>
    </row>
    <row r="134" spans="1:59" ht="13" x14ac:dyDescent="0.15">
      <c r="A134" s="2">
        <v>44175.618750000001</v>
      </c>
      <c r="B134" s="2">
        <v>44175.623611111114</v>
      </c>
      <c r="C134" s="1" t="s">
        <v>39</v>
      </c>
      <c r="D134" s="1" t="s">
        <v>772</v>
      </c>
      <c r="E134" s="1">
        <v>100</v>
      </c>
      <c r="F134" s="1">
        <v>386</v>
      </c>
      <c r="G134" s="1" t="b">
        <v>1</v>
      </c>
      <c r="H134" s="2">
        <v>44175.623611111114</v>
      </c>
      <c r="I134" s="1" t="s">
        <v>773</v>
      </c>
      <c r="N134" s="1">
        <v>37.067596440000003</v>
      </c>
      <c r="O134" s="1">
        <v>-97.035697940000006</v>
      </c>
      <c r="P134" s="1" t="s">
        <v>153</v>
      </c>
      <c r="Q134" s="1" t="s">
        <v>154</v>
      </c>
      <c r="R134" s="1" t="s">
        <v>174</v>
      </c>
      <c r="S134" s="1" t="s">
        <v>208</v>
      </c>
      <c r="T134" s="1" t="s">
        <v>176</v>
      </c>
      <c r="U134" s="1" t="s">
        <v>774</v>
      </c>
      <c r="V134" s="1" t="s">
        <v>159</v>
      </c>
      <c r="W134" s="1" t="s">
        <v>160</v>
      </c>
      <c r="X134" s="1" t="s">
        <v>160</v>
      </c>
      <c r="Y134" s="1" t="s">
        <v>160</v>
      </c>
      <c r="Z134" s="1" t="s">
        <v>160</v>
      </c>
      <c r="AA134" s="1" t="s">
        <v>159</v>
      </c>
      <c r="AB134" s="1" t="s">
        <v>160</v>
      </c>
      <c r="AC134" s="1" t="s">
        <v>160</v>
      </c>
      <c r="AD134" s="1" t="s">
        <v>159</v>
      </c>
      <c r="AE134" s="1" t="s">
        <v>160</v>
      </c>
      <c r="AF134" s="1" t="s">
        <v>160</v>
      </c>
      <c r="AG134" s="1" t="s">
        <v>160</v>
      </c>
      <c r="AH134" s="1">
        <v>3</v>
      </c>
      <c r="AI134" s="1" t="s">
        <v>160</v>
      </c>
      <c r="AJ134" s="1" t="s">
        <v>163</v>
      </c>
      <c r="AK134" s="1" t="s">
        <v>162</v>
      </c>
      <c r="AL134" s="1" t="s">
        <v>162</v>
      </c>
      <c r="AM134" s="1" t="s">
        <v>163</v>
      </c>
      <c r="AN134" s="1" t="s">
        <v>163</v>
      </c>
      <c r="AO134" s="1" t="s">
        <v>179</v>
      </c>
      <c r="AP134" s="1" t="s">
        <v>179</v>
      </c>
      <c r="AQ134" s="1">
        <v>2000</v>
      </c>
      <c r="AR134" s="1" t="s">
        <v>160</v>
      </c>
      <c r="AS134" s="1" t="s">
        <v>159</v>
      </c>
      <c r="AT134" s="1" t="s">
        <v>166</v>
      </c>
      <c r="AU134" s="1" t="s">
        <v>159</v>
      </c>
      <c r="AV134" s="1" t="s">
        <v>159</v>
      </c>
      <c r="AW134" s="1" t="s">
        <v>159</v>
      </c>
      <c r="AX134" s="1" t="s">
        <v>159</v>
      </c>
      <c r="AY134" s="1" t="s">
        <v>159</v>
      </c>
      <c r="AZ134" s="1" t="s">
        <v>159</v>
      </c>
      <c r="BA134" s="1" t="s">
        <v>159</v>
      </c>
      <c r="BB134" s="1" t="s">
        <v>167</v>
      </c>
      <c r="BC134" s="1" t="s">
        <v>160</v>
      </c>
      <c r="BD134" s="1" t="s">
        <v>193</v>
      </c>
      <c r="BE134" s="1" t="s">
        <v>775</v>
      </c>
      <c r="BF134" s="1" t="s">
        <v>160</v>
      </c>
      <c r="BG134" s="1" t="s">
        <v>776</v>
      </c>
    </row>
    <row r="135" spans="1:59" ht="13" x14ac:dyDescent="0.15">
      <c r="A135" s="2">
        <v>44175.622916666667</v>
      </c>
      <c r="B135" s="2">
        <v>44175.624305555553</v>
      </c>
      <c r="C135" s="1" t="s">
        <v>39</v>
      </c>
      <c r="D135" s="1" t="s">
        <v>234</v>
      </c>
      <c r="E135" s="1">
        <v>100</v>
      </c>
      <c r="F135" s="1">
        <v>116</v>
      </c>
      <c r="G135" s="1" t="b">
        <v>1</v>
      </c>
      <c r="H135" s="2">
        <v>44175.624305555553</v>
      </c>
      <c r="I135" s="1" t="s">
        <v>777</v>
      </c>
      <c r="N135" s="1">
        <v>34.048492430000003</v>
      </c>
      <c r="O135" s="1">
        <v>-118.2528992</v>
      </c>
      <c r="P135" s="1" t="s">
        <v>153</v>
      </c>
      <c r="Q135" s="1" t="s">
        <v>154</v>
      </c>
      <c r="R135" s="1" t="s">
        <v>236</v>
      </c>
      <c r="S135" s="1" t="s">
        <v>175</v>
      </c>
      <c r="T135" s="1" t="s">
        <v>263</v>
      </c>
      <c r="U135" s="1" t="s">
        <v>778</v>
      </c>
      <c r="V135" s="1" t="s">
        <v>160</v>
      </c>
      <c r="W135" s="1" t="s">
        <v>160</v>
      </c>
      <c r="X135" s="1" t="s">
        <v>160</v>
      </c>
      <c r="Y135" s="1" t="s">
        <v>160</v>
      </c>
      <c r="Z135" s="1" t="s">
        <v>160</v>
      </c>
      <c r="AA135" s="1" t="s">
        <v>160</v>
      </c>
      <c r="AB135" s="1" t="s">
        <v>160</v>
      </c>
      <c r="AC135" s="1" t="s">
        <v>160</v>
      </c>
      <c r="AD135" s="1" t="s">
        <v>160</v>
      </c>
      <c r="AE135" s="1" t="s">
        <v>160</v>
      </c>
      <c r="AF135" s="1" t="s">
        <v>160</v>
      </c>
      <c r="AG135" s="1" t="s">
        <v>160</v>
      </c>
      <c r="AI135" s="1" t="s">
        <v>160</v>
      </c>
      <c r="AJ135" s="1" t="s">
        <v>192</v>
      </c>
      <c r="AK135" s="1" t="s">
        <v>198</v>
      </c>
      <c r="AL135" s="1" t="s">
        <v>164</v>
      </c>
      <c r="AM135" s="1" t="s">
        <v>198</v>
      </c>
      <c r="AN135" s="1" t="s">
        <v>198</v>
      </c>
      <c r="AO135" s="1" t="s">
        <v>179</v>
      </c>
      <c r="AP135" s="1" t="s">
        <v>179</v>
      </c>
      <c r="AR135" s="1" t="s">
        <v>160</v>
      </c>
      <c r="AS135" s="1" t="s">
        <v>160</v>
      </c>
      <c r="AT135" s="1" t="s">
        <v>779</v>
      </c>
      <c r="AU135" s="1" t="s">
        <v>160</v>
      </c>
      <c r="AV135" s="1" t="s">
        <v>159</v>
      </c>
      <c r="AW135" s="1" t="s">
        <v>160</v>
      </c>
      <c r="AX135" s="1" t="s">
        <v>159</v>
      </c>
      <c r="AY135" s="1" t="s">
        <v>159</v>
      </c>
      <c r="AZ135" s="1" t="s">
        <v>159</v>
      </c>
      <c r="BA135" s="1" t="s">
        <v>160</v>
      </c>
      <c r="BB135" s="1" t="s">
        <v>181</v>
      </c>
      <c r="BC135" s="1" t="s">
        <v>160</v>
      </c>
      <c r="BD135" s="1" t="s">
        <v>780</v>
      </c>
      <c r="BE135" s="1" t="s">
        <v>781</v>
      </c>
      <c r="BF135" s="1" t="s">
        <v>160</v>
      </c>
    </row>
    <row r="136" spans="1:59" ht="13" x14ac:dyDescent="0.15">
      <c r="A136" s="2">
        <v>44175.619444444441</v>
      </c>
      <c r="B136" s="2">
        <v>44175.625</v>
      </c>
      <c r="C136" s="1" t="s">
        <v>39</v>
      </c>
      <c r="D136" s="1" t="s">
        <v>782</v>
      </c>
      <c r="E136" s="1">
        <v>100</v>
      </c>
      <c r="F136" s="1">
        <v>510</v>
      </c>
      <c r="G136" s="1" t="b">
        <v>1</v>
      </c>
      <c r="H136" s="2">
        <v>44175.625</v>
      </c>
      <c r="I136" s="1" t="s">
        <v>783</v>
      </c>
      <c r="N136" s="1">
        <v>38.968307500000002</v>
      </c>
      <c r="O136" s="1">
        <v>-95.269500730000004</v>
      </c>
      <c r="P136" s="1" t="s">
        <v>153</v>
      </c>
      <c r="Q136" s="1" t="s">
        <v>154</v>
      </c>
      <c r="R136" s="1" t="s">
        <v>174</v>
      </c>
      <c r="S136" s="1" t="s">
        <v>208</v>
      </c>
      <c r="T136" s="1" t="s">
        <v>176</v>
      </c>
      <c r="U136" s="1" t="s">
        <v>774</v>
      </c>
      <c r="V136" s="1" t="s">
        <v>160</v>
      </c>
      <c r="W136" s="1" t="s">
        <v>160</v>
      </c>
      <c r="X136" s="1" t="s">
        <v>160</v>
      </c>
      <c r="Y136" s="1" t="s">
        <v>160</v>
      </c>
      <c r="Z136" s="1" t="s">
        <v>160</v>
      </c>
      <c r="AA136" s="1" t="s">
        <v>159</v>
      </c>
      <c r="AB136" s="1" t="s">
        <v>160</v>
      </c>
      <c r="AC136" s="1" t="s">
        <v>160</v>
      </c>
      <c r="AD136" s="1" t="s">
        <v>160</v>
      </c>
      <c r="AE136" s="1" t="s">
        <v>160</v>
      </c>
      <c r="AF136" s="1" t="s">
        <v>160</v>
      </c>
      <c r="AG136" s="1" t="s">
        <v>160</v>
      </c>
      <c r="AH136" s="1">
        <v>3</v>
      </c>
      <c r="AI136" s="1" t="s">
        <v>160</v>
      </c>
      <c r="AJ136" s="1" t="s">
        <v>163</v>
      </c>
      <c r="AK136" s="1" t="s">
        <v>163</v>
      </c>
      <c r="AL136" s="1" t="s">
        <v>162</v>
      </c>
      <c r="AM136" s="1" t="s">
        <v>162</v>
      </c>
      <c r="AN136" s="1" t="s">
        <v>163</v>
      </c>
      <c r="AO136" s="1" t="s">
        <v>179</v>
      </c>
      <c r="AP136" s="1" t="s">
        <v>179</v>
      </c>
      <c r="AQ136" s="1">
        <v>2000</v>
      </c>
      <c r="AR136" s="1" t="s">
        <v>160</v>
      </c>
      <c r="AS136" s="1" t="s">
        <v>159</v>
      </c>
      <c r="AT136" s="1" t="s">
        <v>166</v>
      </c>
      <c r="AU136" s="1" t="s">
        <v>159</v>
      </c>
      <c r="AV136" s="1" t="s">
        <v>159</v>
      </c>
      <c r="AW136" s="1" t="s">
        <v>159</v>
      </c>
      <c r="AX136" s="1" t="s">
        <v>159</v>
      </c>
      <c r="AY136" s="1" t="s">
        <v>159</v>
      </c>
      <c r="AZ136" s="1" t="s">
        <v>159</v>
      </c>
      <c r="BA136" s="1" t="s">
        <v>159</v>
      </c>
      <c r="BB136" s="1" t="s">
        <v>167</v>
      </c>
      <c r="BC136" s="1" t="s">
        <v>160</v>
      </c>
      <c r="BE136" s="1" t="s">
        <v>784</v>
      </c>
      <c r="BF136" s="1" t="s">
        <v>159</v>
      </c>
    </row>
    <row r="137" spans="1:59" ht="13" x14ac:dyDescent="0.15">
      <c r="A137" s="2">
        <v>44175.624305555553</v>
      </c>
      <c r="B137" s="2">
        <v>44175.625694444447</v>
      </c>
      <c r="C137" s="1" t="s">
        <v>39</v>
      </c>
      <c r="D137" s="1" t="s">
        <v>234</v>
      </c>
      <c r="E137" s="1">
        <v>100</v>
      </c>
      <c r="F137" s="1">
        <v>116</v>
      </c>
      <c r="G137" s="1" t="b">
        <v>1</v>
      </c>
      <c r="H137" s="2">
        <v>44175.625694444447</v>
      </c>
      <c r="I137" s="1" t="s">
        <v>785</v>
      </c>
      <c r="N137" s="1">
        <v>34.048492430000003</v>
      </c>
      <c r="O137" s="1">
        <v>-118.2528992</v>
      </c>
      <c r="P137" s="1" t="s">
        <v>153</v>
      </c>
      <c r="Q137" s="1" t="s">
        <v>154</v>
      </c>
      <c r="R137" s="1" t="s">
        <v>155</v>
      </c>
      <c r="S137" s="1" t="s">
        <v>226</v>
      </c>
      <c r="T137" s="1" t="s">
        <v>263</v>
      </c>
      <c r="U137" s="1" t="s">
        <v>651</v>
      </c>
      <c r="V137" s="1" t="s">
        <v>160</v>
      </c>
      <c r="W137" s="1" t="s">
        <v>160</v>
      </c>
      <c r="X137" s="1" t="s">
        <v>160</v>
      </c>
      <c r="Y137" s="1" t="s">
        <v>160</v>
      </c>
      <c r="Z137" s="1" t="s">
        <v>160</v>
      </c>
      <c r="AA137" s="1" t="s">
        <v>160</v>
      </c>
      <c r="AB137" s="1" t="s">
        <v>160</v>
      </c>
      <c r="AC137" s="1" t="s">
        <v>160</v>
      </c>
      <c r="AD137" s="1" t="s">
        <v>160</v>
      </c>
      <c r="AE137" s="1" t="s">
        <v>160</v>
      </c>
      <c r="AF137" s="1" t="s">
        <v>160</v>
      </c>
      <c r="AG137" s="1" t="s">
        <v>160</v>
      </c>
      <c r="AI137" s="1" t="s">
        <v>160</v>
      </c>
      <c r="AJ137" s="1" t="s">
        <v>192</v>
      </c>
      <c r="AK137" s="1" t="s">
        <v>198</v>
      </c>
      <c r="AL137" s="1" t="s">
        <v>192</v>
      </c>
      <c r="AM137" s="1" t="s">
        <v>192</v>
      </c>
      <c r="AN137" s="1" t="s">
        <v>164</v>
      </c>
      <c r="AO137" s="1" t="s">
        <v>179</v>
      </c>
      <c r="AP137" s="1" t="s">
        <v>239</v>
      </c>
      <c r="AR137" s="1" t="s">
        <v>160</v>
      </c>
      <c r="AS137" s="1" t="s">
        <v>160</v>
      </c>
      <c r="AT137" s="1" t="s">
        <v>464</v>
      </c>
      <c r="AU137" s="1" t="s">
        <v>159</v>
      </c>
      <c r="AV137" s="1" t="s">
        <v>160</v>
      </c>
      <c r="AW137" s="1" t="s">
        <v>159</v>
      </c>
      <c r="AX137" s="1" t="s">
        <v>159</v>
      </c>
      <c r="AY137" s="1" t="s">
        <v>159</v>
      </c>
      <c r="AZ137" s="1" t="s">
        <v>160</v>
      </c>
      <c r="BA137" s="1" t="s">
        <v>159</v>
      </c>
      <c r="BB137" s="1" t="s">
        <v>167</v>
      </c>
      <c r="BC137" s="1" t="s">
        <v>160</v>
      </c>
      <c r="BD137" s="1" t="s">
        <v>786</v>
      </c>
      <c r="BE137" s="1" t="s">
        <v>787</v>
      </c>
      <c r="BF137" s="1" t="s">
        <v>160</v>
      </c>
    </row>
    <row r="138" spans="1:59" ht="13" x14ac:dyDescent="0.15">
      <c r="A138" s="2">
        <v>44175.620833333334</v>
      </c>
      <c r="B138" s="2">
        <v>44175.626388888886</v>
      </c>
      <c r="C138" s="1" t="s">
        <v>39</v>
      </c>
      <c r="D138" s="1" t="s">
        <v>788</v>
      </c>
      <c r="E138" s="1">
        <v>100</v>
      </c>
      <c r="F138" s="1">
        <v>448</v>
      </c>
      <c r="G138" s="1" t="b">
        <v>1</v>
      </c>
      <c r="H138" s="2">
        <v>44175.626388888886</v>
      </c>
      <c r="I138" s="1" t="s">
        <v>789</v>
      </c>
      <c r="N138" s="1">
        <v>41.726501460000001</v>
      </c>
      <c r="O138" s="1">
        <v>-87.559303279999995</v>
      </c>
      <c r="P138" s="1" t="s">
        <v>153</v>
      </c>
      <c r="Q138" s="1" t="s">
        <v>154</v>
      </c>
      <c r="R138" s="1" t="s">
        <v>174</v>
      </c>
      <c r="S138" s="1" t="s">
        <v>175</v>
      </c>
      <c r="T138" s="1" t="s">
        <v>176</v>
      </c>
      <c r="U138" s="1" t="s">
        <v>790</v>
      </c>
      <c r="V138" s="1" t="s">
        <v>160</v>
      </c>
      <c r="W138" s="1" t="s">
        <v>160</v>
      </c>
      <c r="X138" s="1" t="s">
        <v>159</v>
      </c>
      <c r="Y138" s="1" t="s">
        <v>159</v>
      </c>
      <c r="Z138" s="1" t="s">
        <v>159</v>
      </c>
      <c r="AA138" s="1" t="s">
        <v>159</v>
      </c>
      <c r="AB138" s="1" t="s">
        <v>159</v>
      </c>
      <c r="AC138" s="1" t="s">
        <v>160</v>
      </c>
      <c r="AD138" s="1" t="s">
        <v>159</v>
      </c>
      <c r="AE138" s="1" t="s">
        <v>160</v>
      </c>
      <c r="AF138" s="1" t="s">
        <v>160</v>
      </c>
      <c r="AG138" s="1" t="s">
        <v>160</v>
      </c>
      <c r="AH138" s="1">
        <v>3</v>
      </c>
      <c r="AI138" s="1" t="s">
        <v>160</v>
      </c>
      <c r="AJ138" s="1" t="s">
        <v>163</v>
      </c>
      <c r="AK138" s="1" t="s">
        <v>163</v>
      </c>
      <c r="AL138" s="1" t="s">
        <v>192</v>
      </c>
      <c r="AM138" s="1" t="s">
        <v>192</v>
      </c>
      <c r="AN138" s="1" t="s">
        <v>162</v>
      </c>
      <c r="AO138" s="1" t="s">
        <v>179</v>
      </c>
      <c r="AP138" s="1" t="s">
        <v>179</v>
      </c>
      <c r="AQ138" s="1">
        <v>2011</v>
      </c>
      <c r="AR138" s="1" t="s">
        <v>160</v>
      </c>
      <c r="AS138" s="1" t="s">
        <v>159</v>
      </c>
      <c r="AT138" s="1" t="s">
        <v>180</v>
      </c>
      <c r="AU138" s="1" t="s">
        <v>159</v>
      </c>
      <c r="AV138" s="1" t="s">
        <v>159</v>
      </c>
      <c r="AW138" s="1" t="s">
        <v>159</v>
      </c>
      <c r="AX138" s="1" t="s">
        <v>160</v>
      </c>
      <c r="AY138" s="1" t="s">
        <v>159</v>
      </c>
      <c r="AZ138" s="1" t="s">
        <v>159</v>
      </c>
      <c r="BA138" s="1" t="s">
        <v>159</v>
      </c>
      <c r="BB138" s="1" t="s">
        <v>167</v>
      </c>
      <c r="BC138" s="1" t="s">
        <v>159</v>
      </c>
      <c r="BE138" s="1" t="s">
        <v>791</v>
      </c>
      <c r="BF138" s="1" t="s">
        <v>160</v>
      </c>
      <c r="BG138" s="1" t="s">
        <v>791</v>
      </c>
    </row>
    <row r="139" spans="1:59" ht="13" x14ac:dyDescent="0.15">
      <c r="A139" s="2">
        <v>44175.624305555553</v>
      </c>
      <c r="B139" s="2">
        <v>44175.627083333333</v>
      </c>
      <c r="C139" s="1" t="s">
        <v>39</v>
      </c>
      <c r="D139" s="1" t="s">
        <v>792</v>
      </c>
      <c r="E139" s="1">
        <v>100</v>
      </c>
      <c r="F139" s="1">
        <v>209</v>
      </c>
      <c r="G139" s="1" t="b">
        <v>1</v>
      </c>
      <c r="H139" s="2">
        <v>44175.627083333333</v>
      </c>
      <c r="I139" s="1" t="s">
        <v>793</v>
      </c>
      <c r="N139" s="1">
        <v>28.39390564</v>
      </c>
      <c r="O139" s="1">
        <v>-81.421600339999998</v>
      </c>
      <c r="P139" s="1" t="s">
        <v>153</v>
      </c>
      <c r="Q139" s="1" t="s">
        <v>154</v>
      </c>
      <c r="R139" s="1" t="s">
        <v>174</v>
      </c>
      <c r="S139" s="1" t="s">
        <v>208</v>
      </c>
      <c r="T139" s="1" t="s">
        <v>176</v>
      </c>
      <c r="U139" s="1" t="s">
        <v>427</v>
      </c>
      <c r="V139" s="1" t="s">
        <v>160</v>
      </c>
      <c r="W139" s="1" t="s">
        <v>160</v>
      </c>
      <c r="X139" s="1" t="s">
        <v>160</v>
      </c>
      <c r="Y139" s="1" t="s">
        <v>160</v>
      </c>
      <c r="Z139" s="1" t="s">
        <v>160</v>
      </c>
      <c r="AA139" s="1" t="s">
        <v>160</v>
      </c>
      <c r="AB139" s="1" t="s">
        <v>160</v>
      </c>
      <c r="AC139" s="1" t="s">
        <v>160</v>
      </c>
      <c r="AD139" s="1" t="s">
        <v>159</v>
      </c>
      <c r="AE139" s="1" t="s">
        <v>160</v>
      </c>
      <c r="AF139" s="1" t="s">
        <v>160</v>
      </c>
      <c r="AG139" s="1" t="s">
        <v>160</v>
      </c>
      <c r="AH139" s="1">
        <v>3</v>
      </c>
      <c r="AI139" s="1" t="s">
        <v>160</v>
      </c>
      <c r="AJ139" s="1" t="s">
        <v>192</v>
      </c>
      <c r="AK139" s="1" t="s">
        <v>163</v>
      </c>
      <c r="AL139" s="1" t="s">
        <v>162</v>
      </c>
      <c r="AM139" s="1" t="s">
        <v>163</v>
      </c>
      <c r="AN139" s="1" t="s">
        <v>192</v>
      </c>
      <c r="AO139" s="1" t="s">
        <v>179</v>
      </c>
      <c r="AP139" s="1" t="s">
        <v>179</v>
      </c>
      <c r="AQ139" s="1">
        <v>1997</v>
      </c>
      <c r="AR139" s="1" t="s">
        <v>160</v>
      </c>
      <c r="AS139" s="1" t="s">
        <v>160</v>
      </c>
      <c r="AT139" s="1" t="s">
        <v>180</v>
      </c>
      <c r="AU139" s="1" t="s">
        <v>159</v>
      </c>
      <c r="AV139" s="1" t="s">
        <v>159</v>
      </c>
      <c r="AW139" s="1" t="s">
        <v>159</v>
      </c>
      <c r="AX139" s="1" t="s">
        <v>159</v>
      </c>
      <c r="AY139" s="1" t="s">
        <v>159</v>
      </c>
      <c r="AZ139" s="1" t="s">
        <v>159</v>
      </c>
      <c r="BA139" s="1" t="s">
        <v>159</v>
      </c>
      <c r="BB139" s="1" t="s">
        <v>181</v>
      </c>
      <c r="BC139" s="1" t="s">
        <v>160</v>
      </c>
      <c r="BE139" s="1" t="s">
        <v>794</v>
      </c>
      <c r="BF139" s="1" t="s">
        <v>159</v>
      </c>
    </row>
    <row r="140" spans="1:59" ht="13" x14ac:dyDescent="0.15">
      <c r="A140" s="2">
        <v>44175.620138888888</v>
      </c>
      <c r="B140" s="2">
        <v>44175.627083333333</v>
      </c>
      <c r="C140" s="1" t="s">
        <v>39</v>
      </c>
      <c r="D140" s="1" t="s">
        <v>795</v>
      </c>
      <c r="E140" s="1">
        <v>100</v>
      </c>
      <c r="F140" s="1">
        <v>617</v>
      </c>
      <c r="G140" s="1" t="b">
        <v>1</v>
      </c>
      <c r="H140" s="2">
        <v>44175.627083333333</v>
      </c>
      <c r="I140" s="1" t="s">
        <v>796</v>
      </c>
      <c r="N140" s="1">
        <v>41.741500850000001</v>
      </c>
      <c r="O140" s="1">
        <v>-87.596199040000002</v>
      </c>
      <c r="P140" s="1" t="s">
        <v>153</v>
      </c>
      <c r="Q140" s="1" t="s">
        <v>154</v>
      </c>
      <c r="R140" s="1" t="s">
        <v>174</v>
      </c>
      <c r="S140" s="1" t="s">
        <v>208</v>
      </c>
      <c r="T140" s="1" t="s">
        <v>176</v>
      </c>
      <c r="U140" s="1" t="s">
        <v>797</v>
      </c>
      <c r="V140" s="1" t="s">
        <v>160</v>
      </c>
      <c r="W140" s="1" t="s">
        <v>160</v>
      </c>
      <c r="X140" s="1" t="s">
        <v>160</v>
      </c>
      <c r="Y140" s="1" t="s">
        <v>160</v>
      </c>
      <c r="Z140" s="1" t="s">
        <v>160</v>
      </c>
      <c r="AA140" s="1" t="s">
        <v>160</v>
      </c>
      <c r="AB140" s="1" t="s">
        <v>160</v>
      </c>
      <c r="AC140" s="1" t="s">
        <v>160</v>
      </c>
      <c r="AD140" s="1" t="s">
        <v>159</v>
      </c>
      <c r="AE140" s="1" t="s">
        <v>160</v>
      </c>
      <c r="AF140" s="1" t="s">
        <v>160</v>
      </c>
      <c r="AG140" s="1" t="s">
        <v>160</v>
      </c>
      <c r="AH140" s="1">
        <v>4</v>
      </c>
      <c r="AI140" s="1" t="s">
        <v>160</v>
      </c>
      <c r="AJ140" s="1" t="s">
        <v>164</v>
      </c>
      <c r="AK140" s="1" t="s">
        <v>164</v>
      </c>
      <c r="AL140" s="1" t="s">
        <v>163</v>
      </c>
      <c r="AM140" s="1" t="s">
        <v>163</v>
      </c>
      <c r="AN140" s="1" t="s">
        <v>163</v>
      </c>
      <c r="AO140" s="1" t="s">
        <v>179</v>
      </c>
      <c r="AP140" s="1" t="s">
        <v>179</v>
      </c>
      <c r="AQ140" s="1">
        <v>1999</v>
      </c>
      <c r="AR140" s="1" t="s">
        <v>160</v>
      </c>
      <c r="AS140" s="1" t="s">
        <v>159</v>
      </c>
      <c r="AT140" s="1" t="s">
        <v>166</v>
      </c>
      <c r="AU140" s="1" t="s">
        <v>159</v>
      </c>
      <c r="AV140" s="1" t="s">
        <v>159</v>
      </c>
      <c r="AW140" s="1" t="s">
        <v>159</v>
      </c>
      <c r="AX140" s="1" t="s">
        <v>159</v>
      </c>
      <c r="AY140" s="1" t="s">
        <v>159</v>
      </c>
      <c r="AZ140" s="1" t="s">
        <v>159</v>
      </c>
      <c r="BA140" s="1" t="s">
        <v>159</v>
      </c>
      <c r="BB140" s="1" t="s">
        <v>167</v>
      </c>
      <c r="BC140" s="1" t="s">
        <v>160</v>
      </c>
      <c r="BE140" s="1" t="s">
        <v>798</v>
      </c>
      <c r="BF140" s="1" t="s">
        <v>159</v>
      </c>
    </row>
    <row r="141" spans="1:59" ht="13" x14ac:dyDescent="0.15">
      <c r="A141" s="2">
        <v>44175.626388888886</v>
      </c>
      <c r="B141" s="2">
        <v>44175.62777777778</v>
      </c>
      <c r="C141" s="1" t="s">
        <v>39</v>
      </c>
      <c r="D141" s="1" t="s">
        <v>234</v>
      </c>
      <c r="E141" s="1">
        <v>100</v>
      </c>
      <c r="F141" s="1">
        <v>117</v>
      </c>
      <c r="G141" s="1" t="b">
        <v>1</v>
      </c>
      <c r="H141" s="2">
        <v>44175.62777777778</v>
      </c>
      <c r="I141" s="1" t="s">
        <v>799</v>
      </c>
      <c r="N141" s="1">
        <v>34.048492430000003</v>
      </c>
      <c r="O141" s="1">
        <v>-118.2528992</v>
      </c>
      <c r="P141" s="1" t="s">
        <v>153</v>
      </c>
      <c r="Q141" s="1" t="s">
        <v>154</v>
      </c>
      <c r="R141" s="1" t="s">
        <v>236</v>
      </c>
      <c r="S141" s="1" t="s">
        <v>274</v>
      </c>
      <c r="T141" s="1" t="s">
        <v>245</v>
      </c>
      <c r="U141" s="1" t="s">
        <v>800</v>
      </c>
      <c r="V141" s="1" t="s">
        <v>160</v>
      </c>
      <c r="W141" s="1" t="s">
        <v>160</v>
      </c>
      <c r="X141" s="1" t="s">
        <v>160</v>
      </c>
      <c r="Y141" s="1" t="s">
        <v>160</v>
      </c>
      <c r="Z141" s="1" t="s">
        <v>160</v>
      </c>
      <c r="AA141" s="1" t="s">
        <v>160</v>
      </c>
      <c r="AB141" s="1" t="s">
        <v>160</v>
      </c>
      <c r="AC141" s="1" t="s">
        <v>160</v>
      </c>
      <c r="AD141" s="1" t="s">
        <v>160</v>
      </c>
      <c r="AE141" s="1" t="s">
        <v>160</v>
      </c>
      <c r="AF141" s="1" t="s">
        <v>160</v>
      </c>
      <c r="AG141" s="1" t="s">
        <v>160</v>
      </c>
      <c r="AI141" s="1" t="s">
        <v>160</v>
      </c>
      <c r="AJ141" s="1" t="s">
        <v>163</v>
      </c>
      <c r="AK141" s="1" t="s">
        <v>192</v>
      </c>
      <c r="AL141" s="1" t="s">
        <v>163</v>
      </c>
      <c r="AM141" s="1" t="s">
        <v>164</v>
      </c>
      <c r="AN141" s="1" t="s">
        <v>163</v>
      </c>
      <c r="AO141" s="1" t="s">
        <v>179</v>
      </c>
      <c r="AP141" s="1" t="s">
        <v>179</v>
      </c>
      <c r="AR141" s="1" t="s">
        <v>160</v>
      </c>
      <c r="AS141" s="1" t="s">
        <v>160</v>
      </c>
      <c r="AT141" s="1" t="s">
        <v>801</v>
      </c>
      <c r="AU141" s="1" t="s">
        <v>160</v>
      </c>
      <c r="AV141" s="1" t="s">
        <v>160</v>
      </c>
      <c r="AW141" s="1" t="s">
        <v>159</v>
      </c>
      <c r="AX141" s="1" t="s">
        <v>159</v>
      </c>
      <c r="AY141" s="1" t="s">
        <v>159</v>
      </c>
      <c r="AZ141" s="1" t="s">
        <v>159</v>
      </c>
      <c r="BA141" s="1" t="s">
        <v>159</v>
      </c>
      <c r="BB141" s="1" t="s">
        <v>181</v>
      </c>
      <c r="BC141" s="1" t="s">
        <v>160</v>
      </c>
      <c r="BD141" s="1" t="s">
        <v>802</v>
      </c>
      <c r="BE141" s="1" t="s">
        <v>803</v>
      </c>
      <c r="BF141" s="1" t="s">
        <v>160</v>
      </c>
    </row>
    <row r="142" spans="1:59" ht="13" x14ac:dyDescent="0.15">
      <c r="A142" s="2">
        <v>44175.624305555553</v>
      </c>
      <c r="B142" s="2">
        <v>44175.62777777778</v>
      </c>
      <c r="C142" s="1" t="s">
        <v>39</v>
      </c>
      <c r="D142" s="1" t="s">
        <v>804</v>
      </c>
      <c r="E142" s="1">
        <v>100</v>
      </c>
      <c r="F142" s="1">
        <v>301</v>
      </c>
      <c r="G142" s="1" t="b">
        <v>1</v>
      </c>
      <c r="H142" s="2">
        <v>44175.62777777778</v>
      </c>
      <c r="I142" s="1" t="s">
        <v>805</v>
      </c>
      <c r="N142" s="1">
        <v>41.945999149999999</v>
      </c>
      <c r="O142" s="1">
        <v>-87.703300479999996</v>
      </c>
      <c r="P142" s="1" t="s">
        <v>153</v>
      </c>
      <c r="Q142" s="1" t="s">
        <v>154</v>
      </c>
      <c r="R142" s="1" t="s">
        <v>174</v>
      </c>
      <c r="S142" s="1" t="s">
        <v>208</v>
      </c>
      <c r="T142" s="1" t="s">
        <v>263</v>
      </c>
      <c r="U142" s="1" t="s">
        <v>806</v>
      </c>
      <c r="V142" s="1" t="s">
        <v>160</v>
      </c>
      <c r="W142" s="1" t="s">
        <v>160</v>
      </c>
      <c r="X142" s="1" t="s">
        <v>160</v>
      </c>
      <c r="Y142" s="1" t="s">
        <v>160</v>
      </c>
      <c r="Z142" s="1" t="s">
        <v>160</v>
      </c>
      <c r="AA142" s="1" t="s">
        <v>159</v>
      </c>
      <c r="AB142" s="1" t="s">
        <v>159</v>
      </c>
      <c r="AC142" s="1" t="s">
        <v>160</v>
      </c>
      <c r="AD142" s="1" t="s">
        <v>160</v>
      </c>
      <c r="AE142" s="1" t="s">
        <v>160</v>
      </c>
      <c r="AF142" s="1" t="s">
        <v>160</v>
      </c>
      <c r="AG142" s="1" t="s">
        <v>160</v>
      </c>
      <c r="AH142" s="1">
        <v>4</v>
      </c>
      <c r="AI142" s="1" t="s">
        <v>160</v>
      </c>
      <c r="AJ142" s="1" t="s">
        <v>164</v>
      </c>
      <c r="AK142" s="1" t="s">
        <v>164</v>
      </c>
      <c r="AL142" s="1" t="s">
        <v>163</v>
      </c>
      <c r="AM142" s="1" t="s">
        <v>163</v>
      </c>
      <c r="AN142" s="1" t="s">
        <v>164</v>
      </c>
      <c r="AO142" s="1" t="s">
        <v>179</v>
      </c>
      <c r="AP142" s="1" t="s">
        <v>179</v>
      </c>
      <c r="AQ142" s="1">
        <v>2000</v>
      </c>
      <c r="AR142" s="1" t="s">
        <v>160</v>
      </c>
      <c r="AS142" s="1" t="s">
        <v>159</v>
      </c>
      <c r="AT142" s="1" t="s">
        <v>322</v>
      </c>
      <c r="AU142" s="1" t="s">
        <v>159</v>
      </c>
      <c r="AV142" s="1" t="s">
        <v>159</v>
      </c>
      <c r="AW142" s="1" t="s">
        <v>159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167</v>
      </c>
      <c r="BC142" s="1" t="s">
        <v>160</v>
      </c>
      <c r="BE142" s="1" t="s">
        <v>807</v>
      </c>
      <c r="BF142" s="1" t="s">
        <v>159</v>
      </c>
    </row>
    <row r="143" spans="1:59" ht="13" x14ac:dyDescent="0.15">
      <c r="A143" s="2">
        <v>44175.62777777778</v>
      </c>
      <c r="B143" s="2">
        <v>44175.629166666666</v>
      </c>
      <c r="C143" s="1" t="s">
        <v>39</v>
      </c>
      <c r="D143" s="1" t="s">
        <v>234</v>
      </c>
      <c r="E143" s="1">
        <v>100</v>
      </c>
      <c r="F143" s="1">
        <v>117</v>
      </c>
      <c r="G143" s="1" t="b">
        <v>1</v>
      </c>
      <c r="H143" s="2">
        <v>44175.629166666666</v>
      </c>
      <c r="I143" s="1" t="s">
        <v>808</v>
      </c>
      <c r="N143" s="1">
        <v>34.048492430000003</v>
      </c>
      <c r="O143" s="1">
        <v>-118.2528992</v>
      </c>
      <c r="P143" s="1" t="s">
        <v>153</v>
      </c>
      <c r="Q143" s="1" t="s">
        <v>154</v>
      </c>
      <c r="R143" s="1" t="s">
        <v>155</v>
      </c>
      <c r="S143" s="1" t="s">
        <v>208</v>
      </c>
      <c r="T143" s="1" t="s">
        <v>237</v>
      </c>
      <c r="U143" s="1" t="s">
        <v>519</v>
      </c>
      <c r="V143" s="1" t="s">
        <v>160</v>
      </c>
      <c r="W143" s="1" t="s">
        <v>160</v>
      </c>
      <c r="X143" s="1" t="s">
        <v>160</v>
      </c>
      <c r="Y143" s="1" t="s">
        <v>160</v>
      </c>
      <c r="Z143" s="1" t="s">
        <v>160</v>
      </c>
      <c r="AA143" s="1" t="s">
        <v>160</v>
      </c>
      <c r="AB143" s="1" t="s">
        <v>160</v>
      </c>
      <c r="AC143" s="1" t="s">
        <v>160</v>
      </c>
      <c r="AD143" s="1" t="s">
        <v>160</v>
      </c>
      <c r="AE143" s="1" t="s">
        <v>160</v>
      </c>
      <c r="AF143" s="1" t="s">
        <v>160</v>
      </c>
      <c r="AG143" s="1" t="s">
        <v>160</v>
      </c>
      <c r="AI143" s="1" t="s">
        <v>160</v>
      </c>
      <c r="AJ143" s="1" t="s">
        <v>164</v>
      </c>
      <c r="AK143" s="1" t="s">
        <v>192</v>
      </c>
      <c r="AL143" s="1" t="s">
        <v>164</v>
      </c>
      <c r="AM143" s="1" t="s">
        <v>198</v>
      </c>
      <c r="AN143" s="1" t="s">
        <v>163</v>
      </c>
      <c r="AO143" s="1" t="s">
        <v>179</v>
      </c>
      <c r="AP143" s="1" t="s">
        <v>179</v>
      </c>
      <c r="AR143" s="1" t="s">
        <v>160</v>
      </c>
      <c r="AS143" s="1" t="s">
        <v>160</v>
      </c>
      <c r="AT143" s="1" t="s">
        <v>731</v>
      </c>
      <c r="AU143" s="1" t="s">
        <v>159</v>
      </c>
      <c r="AV143" s="1" t="s">
        <v>160</v>
      </c>
      <c r="AW143" s="1" t="s">
        <v>159</v>
      </c>
      <c r="AX143" s="1" t="s">
        <v>159</v>
      </c>
      <c r="AY143" s="1" t="s">
        <v>160</v>
      </c>
      <c r="AZ143" s="1" t="s">
        <v>160</v>
      </c>
      <c r="BA143" s="1" t="s">
        <v>159</v>
      </c>
      <c r="BB143" s="1" t="s">
        <v>222</v>
      </c>
      <c r="BC143" s="1" t="s">
        <v>160</v>
      </c>
      <c r="BD143" s="1" t="s">
        <v>809</v>
      </c>
      <c r="BE143" s="1" t="s">
        <v>810</v>
      </c>
      <c r="BF143" s="1" t="s">
        <v>160</v>
      </c>
    </row>
    <row r="144" spans="1:59" ht="13" x14ac:dyDescent="0.15">
      <c r="A144" s="2">
        <v>44175.62777777778</v>
      </c>
      <c r="B144" s="2">
        <v>44175.629166666666</v>
      </c>
      <c r="C144" s="1" t="s">
        <v>39</v>
      </c>
      <c r="D144" s="1" t="s">
        <v>811</v>
      </c>
      <c r="E144" s="1">
        <v>100</v>
      </c>
      <c r="F144" s="1">
        <v>114</v>
      </c>
      <c r="G144" s="1" t="b">
        <v>1</v>
      </c>
      <c r="H144" s="2">
        <v>44175.629166666666</v>
      </c>
      <c r="I144" s="1" t="s">
        <v>812</v>
      </c>
      <c r="N144" s="1">
        <v>41.945999149999999</v>
      </c>
      <c r="O144" s="1">
        <v>-87.703300479999996</v>
      </c>
      <c r="P144" s="1" t="s">
        <v>153</v>
      </c>
      <c r="Q144" s="1" t="s">
        <v>154</v>
      </c>
      <c r="R144" s="1" t="s">
        <v>174</v>
      </c>
      <c r="S144" s="1" t="s">
        <v>274</v>
      </c>
      <c r="T144" s="1" t="s">
        <v>176</v>
      </c>
      <c r="U144" s="1" t="s">
        <v>797</v>
      </c>
      <c r="V144" s="1" t="s">
        <v>160</v>
      </c>
      <c r="W144" s="1" t="s">
        <v>160</v>
      </c>
      <c r="X144" s="1" t="s">
        <v>160</v>
      </c>
      <c r="Y144" s="1" t="s">
        <v>160</v>
      </c>
      <c r="Z144" s="1" t="s">
        <v>160</v>
      </c>
      <c r="AA144" s="1" t="s">
        <v>159</v>
      </c>
      <c r="AB144" s="1" t="s">
        <v>160</v>
      </c>
      <c r="AC144" s="1" t="s">
        <v>160</v>
      </c>
      <c r="AD144" s="1" t="s">
        <v>160</v>
      </c>
      <c r="AE144" s="1" t="s">
        <v>160</v>
      </c>
      <c r="AF144" s="1" t="s">
        <v>160</v>
      </c>
      <c r="AG144" s="1" t="s">
        <v>160</v>
      </c>
      <c r="AH144" s="1">
        <v>3</v>
      </c>
      <c r="AI144" s="1" t="s">
        <v>160</v>
      </c>
      <c r="AJ144" s="1" t="s">
        <v>164</v>
      </c>
      <c r="AK144" s="1" t="s">
        <v>164</v>
      </c>
      <c r="AL144" s="1" t="s">
        <v>163</v>
      </c>
      <c r="AN144" s="1" t="s">
        <v>164</v>
      </c>
      <c r="AO144" s="1" t="s">
        <v>179</v>
      </c>
      <c r="AP144" s="1" t="s">
        <v>179</v>
      </c>
      <c r="AQ144" s="1">
        <v>2000</v>
      </c>
      <c r="AR144" s="1" t="s">
        <v>160</v>
      </c>
      <c r="AS144" s="1" t="s">
        <v>159</v>
      </c>
      <c r="AT144" s="1" t="s">
        <v>203</v>
      </c>
      <c r="AU144" s="1" t="s">
        <v>159</v>
      </c>
      <c r="AV144" s="1" t="s">
        <v>159</v>
      </c>
      <c r="AW144" s="1" t="s">
        <v>159</v>
      </c>
      <c r="AX144" s="1" t="s">
        <v>159</v>
      </c>
      <c r="AY144" s="1" t="s">
        <v>159</v>
      </c>
      <c r="AZ144" s="1" t="s">
        <v>159</v>
      </c>
      <c r="BA144" s="1" t="s">
        <v>159</v>
      </c>
      <c r="BB144" s="1" t="s">
        <v>167</v>
      </c>
      <c r="BC144" s="1" t="s">
        <v>160</v>
      </c>
      <c r="BE144" s="1" t="s">
        <v>813</v>
      </c>
      <c r="BF144" s="1" t="s">
        <v>159</v>
      </c>
    </row>
    <row r="145" spans="1:59" ht="13" x14ac:dyDescent="0.15">
      <c r="A145" s="2">
        <v>44175.62777777778</v>
      </c>
      <c r="B145" s="2">
        <v>44175.629861111112</v>
      </c>
      <c r="C145" s="1" t="s">
        <v>39</v>
      </c>
      <c r="D145" s="1" t="s">
        <v>814</v>
      </c>
      <c r="E145" s="1">
        <v>100</v>
      </c>
      <c r="F145" s="1">
        <v>145</v>
      </c>
      <c r="G145" s="1" t="b">
        <v>1</v>
      </c>
      <c r="H145" s="2">
        <v>44175.629861111112</v>
      </c>
      <c r="I145" s="1" t="s">
        <v>815</v>
      </c>
      <c r="N145" s="1">
        <v>38.671096800000001</v>
      </c>
      <c r="O145" s="1">
        <v>-121.1495056</v>
      </c>
      <c r="P145" s="1" t="s">
        <v>153</v>
      </c>
      <c r="Q145" s="1" t="s">
        <v>154</v>
      </c>
      <c r="R145" s="1" t="s">
        <v>174</v>
      </c>
      <c r="S145" s="1" t="s">
        <v>208</v>
      </c>
      <c r="T145" s="1" t="s">
        <v>263</v>
      </c>
      <c r="U145" s="1" t="s">
        <v>418</v>
      </c>
      <c r="V145" s="1" t="s">
        <v>160</v>
      </c>
      <c r="W145" s="1" t="s">
        <v>160</v>
      </c>
      <c r="X145" s="1" t="s">
        <v>160</v>
      </c>
      <c r="Y145" s="1" t="s">
        <v>160</v>
      </c>
      <c r="Z145" s="1" t="s">
        <v>160</v>
      </c>
      <c r="AA145" s="1" t="s">
        <v>160</v>
      </c>
      <c r="AB145" s="1" t="s">
        <v>160</v>
      </c>
      <c r="AC145" s="1" t="s">
        <v>159</v>
      </c>
      <c r="AD145" s="1" t="s">
        <v>160</v>
      </c>
      <c r="AE145" s="1" t="s">
        <v>160</v>
      </c>
      <c r="AF145" s="1" t="s">
        <v>159</v>
      </c>
      <c r="AG145" s="1" t="s">
        <v>160</v>
      </c>
      <c r="AH145" s="1">
        <v>3</v>
      </c>
      <c r="AI145" s="1" t="s">
        <v>160</v>
      </c>
      <c r="AJ145" s="1" t="s">
        <v>163</v>
      </c>
      <c r="AK145" s="1" t="s">
        <v>192</v>
      </c>
      <c r="AL145" s="1" t="s">
        <v>163</v>
      </c>
      <c r="AM145" s="1" t="s">
        <v>163</v>
      </c>
      <c r="AN145" s="1" t="s">
        <v>162</v>
      </c>
      <c r="AO145" s="1" t="s">
        <v>165</v>
      </c>
      <c r="AP145" s="1" t="s">
        <v>165</v>
      </c>
      <c r="AQ145" s="1">
        <v>1997</v>
      </c>
      <c r="AR145" s="1" t="s">
        <v>160</v>
      </c>
      <c r="AS145" s="1" t="s">
        <v>160</v>
      </c>
      <c r="AT145" s="1" t="s">
        <v>180</v>
      </c>
      <c r="AU145" s="1" t="s">
        <v>160</v>
      </c>
      <c r="AV145" s="1" t="s">
        <v>159</v>
      </c>
      <c r="AW145" s="1" t="s">
        <v>159</v>
      </c>
      <c r="AX145" s="1" t="s">
        <v>159</v>
      </c>
      <c r="AY145" s="1" t="s">
        <v>159</v>
      </c>
      <c r="AZ145" s="1" t="s">
        <v>159</v>
      </c>
      <c r="BA145" s="1" t="s">
        <v>159</v>
      </c>
      <c r="BB145" s="1" t="s">
        <v>167</v>
      </c>
      <c r="BC145" s="1" t="s">
        <v>160</v>
      </c>
      <c r="BE145" s="1" t="s">
        <v>816</v>
      </c>
      <c r="BF145" s="1" t="s">
        <v>159</v>
      </c>
    </row>
    <row r="146" spans="1:59" ht="13" x14ac:dyDescent="0.15">
      <c r="A146" s="2">
        <v>44175.629166666666</v>
      </c>
      <c r="B146" s="2">
        <v>44175.630555555559</v>
      </c>
      <c r="C146" s="1" t="s">
        <v>39</v>
      </c>
      <c r="D146" s="1" t="s">
        <v>234</v>
      </c>
      <c r="E146" s="1">
        <v>100</v>
      </c>
      <c r="F146" s="1">
        <v>116</v>
      </c>
      <c r="G146" s="1" t="b">
        <v>1</v>
      </c>
      <c r="H146" s="2">
        <v>44175.630555555559</v>
      </c>
      <c r="I146" s="1" t="s">
        <v>817</v>
      </c>
      <c r="N146" s="1">
        <v>34.048492430000003</v>
      </c>
      <c r="O146" s="1">
        <v>-118.2528992</v>
      </c>
      <c r="P146" s="1" t="s">
        <v>153</v>
      </c>
      <c r="Q146" s="1" t="s">
        <v>154</v>
      </c>
      <c r="R146" s="1" t="s">
        <v>236</v>
      </c>
      <c r="S146" s="1" t="s">
        <v>310</v>
      </c>
      <c r="T146" s="1" t="s">
        <v>237</v>
      </c>
      <c r="U146" s="1" t="s">
        <v>818</v>
      </c>
      <c r="V146" s="1" t="s">
        <v>160</v>
      </c>
      <c r="W146" s="1" t="s">
        <v>160</v>
      </c>
      <c r="X146" s="1" t="s">
        <v>160</v>
      </c>
      <c r="Y146" s="1" t="s">
        <v>160</v>
      </c>
      <c r="Z146" s="1" t="s">
        <v>160</v>
      </c>
      <c r="AA146" s="1" t="s">
        <v>160</v>
      </c>
      <c r="AB146" s="1" t="s">
        <v>160</v>
      </c>
      <c r="AC146" s="1" t="s">
        <v>160</v>
      </c>
      <c r="AD146" s="1" t="s">
        <v>160</v>
      </c>
      <c r="AE146" s="1" t="s">
        <v>160</v>
      </c>
      <c r="AF146" s="1" t="s">
        <v>160</v>
      </c>
      <c r="AG146" s="1" t="s">
        <v>160</v>
      </c>
      <c r="AI146" s="1" t="s">
        <v>160</v>
      </c>
      <c r="AJ146" s="1" t="s">
        <v>164</v>
      </c>
      <c r="AK146" s="1" t="s">
        <v>164</v>
      </c>
      <c r="AL146" s="1" t="s">
        <v>198</v>
      </c>
      <c r="AM146" s="1" t="s">
        <v>198</v>
      </c>
      <c r="AN146" s="1" t="s">
        <v>164</v>
      </c>
      <c r="AO146" s="1" t="s">
        <v>179</v>
      </c>
      <c r="AP146" s="1" t="s">
        <v>179</v>
      </c>
      <c r="AR146" s="1" t="s">
        <v>160</v>
      </c>
      <c r="AS146" s="1" t="s">
        <v>160</v>
      </c>
      <c r="AT146" s="1" t="s">
        <v>819</v>
      </c>
      <c r="AU146" s="1" t="s">
        <v>160</v>
      </c>
      <c r="AV146" s="1" t="s">
        <v>160</v>
      </c>
      <c r="AW146" s="1" t="s">
        <v>159</v>
      </c>
      <c r="AX146" s="1" t="s">
        <v>160</v>
      </c>
      <c r="AY146" s="1" t="s">
        <v>159</v>
      </c>
      <c r="AZ146" s="1" t="s">
        <v>159</v>
      </c>
      <c r="BA146" s="1" t="s">
        <v>159</v>
      </c>
      <c r="BB146" s="1" t="s">
        <v>167</v>
      </c>
      <c r="BC146" s="1" t="s">
        <v>160</v>
      </c>
      <c r="BD146" s="1" t="s">
        <v>820</v>
      </c>
      <c r="BE146" s="1" t="s">
        <v>821</v>
      </c>
      <c r="BF146" s="1" t="s">
        <v>160</v>
      </c>
    </row>
    <row r="147" spans="1:59" ht="13" x14ac:dyDescent="0.15">
      <c r="A147" s="2">
        <v>44175.627083333333</v>
      </c>
      <c r="B147" s="2">
        <v>44175.631249999999</v>
      </c>
      <c r="C147" s="1" t="s">
        <v>39</v>
      </c>
      <c r="D147" s="1" t="s">
        <v>822</v>
      </c>
      <c r="E147" s="1">
        <v>100</v>
      </c>
      <c r="F147" s="1">
        <v>394</v>
      </c>
      <c r="G147" s="1" t="b">
        <v>1</v>
      </c>
      <c r="H147" s="2">
        <v>44175.631944444445</v>
      </c>
      <c r="I147" s="1" t="s">
        <v>823</v>
      </c>
      <c r="N147" s="1">
        <v>41.871902470000002</v>
      </c>
      <c r="O147" s="1">
        <v>-87.658897400000001</v>
      </c>
      <c r="P147" s="1" t="s">
        <v>153</v>
      </c>
      <c r="Q147" s="1" t="s">
        <v>154</v>
      </c>
      <c r="R147" s="1" t="s">
        <v>174</v>
      </c>
      <c r="S147" s="1" t="s">
        <v>208</v>
      </c>
      <c r="T147" s="1" t="s">
        <v>263</v>
      </c>
      <c r="U147" s="1" t="s">
        <v>674</v>
      </c>
      <c r="V147" s="1" t="s">
        <v>160</v>
      </c>
      <c r="W147" s="1" t="s">
        <v>160</v>
      </c>
      <c r="X147" s="1" t="s">
        <v>160</v>
      </c>
      <c r="Y147" s="1" t="s">
        <v>159</v>
      </c>
      <c r="Z147" s="1" t="s">
        <v>159</v>
      </c>
      <c r="AA147" s="1" t="s">
        <v>159</v>
      </c>
      <c r="AB147" s="1" t="s">
        <v>160</v>
      </c>
      <c r="AC147" s="1" t="s">
        <v>159</v>
      </c>
      <c r="AD147" s="1" t="s">
        <v>159</v>
      </c>
      <c r="AE147" s="1" t="s">
        <v>160</v>
      </c>
      <c r="AF147" s="1" t="s">
        <v>160</v>
      </c>
      <c r="AG147" s="1" t="s">
        <v>160</v>
      </c>
      <c r="AH147" s="1">
        <v>5</v>
      </c>
      <c r="AI147" s="1" t="s">
        <v>160</v>
      </c>
      <c r="AJ147" s="1" t="s">
        <v>192</v>
      </c>
      <c r="AK147" s="1" t="s">
        <v>164</v>
      </c>
      <c r="AL147" s="1" t="s">
        <v>163</v>
      </c>
      <c r="AM147" s="1" t="s">
        <v>162</v>
      </c>
      <c r="AN147" s="1" t="s">
        <v>163</v>
      </c>
      <c r="AO147" s="1" t="s">
        <v>165</v>
      </c>
      <c r="AP147" s="1" t="s">
        <v>165</v>
      </c>
      <c r="AQ147" s="1">
        <v>2003</v>
      </c>
      <c r="AR147" s="1" t="s">
        <v>160</v>
      </c>
      <c r="AS147" s="1" t="s">
        <v>159</v>
      </c>
      <c r="AT147" s="1" t="s">
        <v>180</v>
      </c>
      <c r="AU147" s="1" t="s">
        <v>159</v>
      </c>
      <c r="AV147" s="1" t="s">
        <v>159</v>
      </c>
      <c r="AW147" s="1" t="s">
        <v>159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167</v>
      </c>
      <c r="BC147" s="1" t="s">
        <v>159</v>
      </c>
      <c r="BE147" s="1" t="s">
        <v>824</v>
      </c>
      <c r="BF147" s="1" t="s">
        <v>160</v>
      </c>
      <c r="BG147" s="1" t="s">
        <v>824</v>
      </c>
    </row>
    <row r="148" spans="1:59" ht="13" x14ac:dyDescent="0.15">
      <c r="A148" s="2">
        <v>44175.631249999999</v>
      </c>
      <c r="B148" s="2">
        <v>44175.631944444445</v>
      </c>
      <c r="C148" s="1" t="s">
        <v>39</v>
      </c>
      <c r="D148" s="1" t="s">
        <v>234</v>
      </c>
      <c r="E148" s="1">
        <v>100</v>
      </c>
      <c r="F148" s="1">
        <v>116</v>
      </c>
      <c r="G148" s="1" t="b">
        <v>1</v>
      </c>
      <c r="H148" s="2">
        <v>44175.631944444445</v>
      </c>
      <c r="I148" s="1" t="s">
        <v>825</v>
      </c>
      <c r="N148" s="1">
        <v>34.048492430000003</v>
      </c>
      <c r="O148" s="1">
        <v>-118.2528992</v>
      </c>
      <c r="P148" s="1" t="s">
        <v>153</v>
      </c>
      <c r="Q148" s="1" t="s">
        <v>154</v>
      </c>
      <c r="R148" s="1" t="s">
        <v>174</v>
      </c>
      <c r="S148" s="1" t="s">
        <v>226</v>
      </c>
      <c r="T148" s="1" t="s">
        <v>263</v>
      </c>
      <c r="U148" s="1" t="s">
        <v>826</v>
      </c>
      <c r="V148" s="1" t="s">
        <v>160</v>
      </c>
      <c r="W148" s="1" t="s">
        <v>160</v>
      </c>
      <c r="X148" s="1" t="s">
        <v>160</v>
      </c>
      <c r="Y148" s="1" t="s">
        <v>160</v>
      </c>
      <c r="Z148" s="1" t="s">
        <v>160</v>
      </c>
      <c r="AA148" s="1" t="s">
        <v>160</v>
      </c>
      <c r="AB148" s="1" t="s">
        <v>160</v>
      </c>
      <c r="AC148" s="1" t="s">
        <v>160</v>
      </c>
      <c r="AD148" s="1" t="s">
        <v>160</v>
      </c>
      <c r="AE148" s="1" t="s">
        <v>160</v>
      </c>
      <c r="AF148" s="1" t="s">
        <v>160</v>
      </c>
      <c r="AG148" s="1" t="s">
        <v>160</v>
      </c>
      <c r="AI148" s="1" t="s">
        <v>160</v>
      </c>
      <c r="AJ148" s="1" t="s">
        <v>163</v>
      </c>
      <c r="AK148" s="1" t="s">
        <v>198</v>
      </c>
      <c r="AL148" s="1" t="s">
        <v>164</v>
      </c>
      <c r="AM148" s="1" t="s">
        <v>192</v>
      </c>
      <c r="AN148" s="1" t="s">
        <v>198</v>
      </c>
      <c r="AO148" s="1" t="s">
        <v>179</v>
      </c>
      <c r="AP148" s="1" t="s">
        <v>239</v>
      </c>
      <c r="AR148" s="1" t="s">
        <v>160</v>
      </c>
      <c r="AS148" s="1" t="s">
        <v>160</v>
      </c>
      <c r="AT148" s="1" t="s">
        <v>387</v>
      </c>
      <c r="AU148" s="1" t="s">
        <v>160</v>
      </c>
      <c r="AV148" s="1" t="s">
        <v>160</v>
      </c>
      <c r="AW148" s="1" t="s">
        <v>160</v>
      </c>
      <c r="AX148" s="1" t="s">
        <v>160</v>
      </c>
      <c r="AY148" s="1" t="s">
        <v>160</v>
      </c>
      <c r="AZ148" s="1" t="s">
        <v>159</v>
      </c>
      <c r="BA148" s="1" t="s">
        <v>159</v>
      </c>
      <c r="BB148" s="1" t="s">
        <v>181</v>
      </c>
      <c r="BC148" s="1" t="s">
        <v>160</v>
      </c>
      <c r="BD148" s="1" t="s">
        <v>370</v>
      </c>
      <c r="BE148" s="1" t="s">
        <v>827</v>
      </c>
      <c r="BF148" s="1" t="s">
        <v>160</v>
      </c>
    </row>
    <row r="149" spans="1:59" ht="13" x14ac:dyDescent="0.15">
      <c r="A149" s="2">
        <v>44175.630555555559</v>
      </c>
      <c r="B149" s="2">
        <v>44175.632638888892</v>
      </c>
      <c r="C149" s="1" t="s">
        <v>39</v>
      </c>
      <c r="D149" s="1" t="s">
        <v>828</v>
      </c>
      <c r="E149" s="1">
        <v>100</v>
      </c>
      <c r="F149" s="1">
        <v>166</v>
      </c>
      <c r="G149" s="1" t="b">
        <v>1</v>
      </c>
      <c r="H149" s="2">
        <v>44175.632638888892</v>
      </c>
      <c r="I149" s="1" t="s">
        <v>829</v>
      </c>
      <c r="N149" s="1">
        <v>43.524795529999999</v>
      </c>
      <c r="O149" s="1">
        <v>-70.455902100000003</v>
      </c>
      <c r="P149" s="1" t="s">
        <v>153</v>
      </c>
      <c r="Q149" s="1" t="s">
        <v>154</v>
      </c>
      <c r="R149" s="1" t="s">
        <v>174</v>
      </c>
      <c r="S149" s="1" t="s">
        <v>208</v>
      </c>
      <c r="T149" s="1" t="s">
        <v>263</v>
      </c>
      <c r="U149" s="1" t="s">
        <v>570</v>
      </c>
      <c r="V149" s="1" t="s">
        <v>160</v>
      </c>
      <c r="W149" s="1" t="s">
        <v>160</v>
      </c>
      <c r="X149" s="1" t="s">
        <v>160</v>
      </c>
      <c r="Y149" s="1" t="s">
        <v>160</v>
      </c>
      <c r="Z149" s="1" t="s">
        <v>160</v>
      </c>
      <c r="AA149" s="1" t="s">
        <v>160</v>
      </c>
      <c r="AB149" s="1" t="s">
        <v>160</v>
      </c>
      <c r="AC149" s="1" t="s">
        <v>160</v>
      </c>
      <c r="AD149" s="1" t="s">
        <v>159</v>
      </c>
      <c r="AE149" s="1" t="s">
        <v>160</v>
      </c>
      <c r="AF149" s="1" t="s">
        <v>160</v>
      </c>
      <c r="AG149" s="1" t="s">
        <v>160</v>
      </c>
      <c r="AH149" s="1">
        <v>3</v>
      </c>
      <c r="AI149" s="1" t="s">
        <v>160</v>
      </c>
      <c r="AJ149" s="1" t="s">
        <v>192</v>
      </c>
      <c r="AK149" s="1" t="s">
        <v>163</v>
      </c>
      <c r="AL149" s="1" t="s">
        <v>162</v>
      </c>
      <c r="AM149" s="1" t="s">
        <v>163</v>
      </c>
      <c r="AN149" s="1" t="s">
        <v>192</v>
      </c>
      <c r="AO149" s="1" t="s">
        <v>165</v>
      </c>
      <c r="AP149" s="1" t="s">
        <v>165</v>
      </c>
      <c r="AQ149" s="1">
        <v>1996</v>
      </c>
      <c r="AR149" s="1" t="s">
        <v>160</v>
      </c>
      <c r="AS149" s="1" t="s">
        <v>160</v>
      </c>
      <c r="AT149" s="1" t="s">
        <v>180</v>
      </c>
      <c r="AU149" s="1" t="s">
        <v>160</v>
      </c>
      <c r="AV149" s="1" t="s">
        <v>160</v>
      </c>
      <c r="AW149" s="1" t="s">
        <v>160</v>
      </c>
      <c r="AX149" s="1" t="s">
        <v>160</v>
      </c>
      <c r="AY149" s="1" t="s">
        <v>160</v>
      </c>
      <c r="AZ149" s="1" t="s">
        <v>160</v>
      </c>
      <c r="BA149" s="1" t="s">
        <v>160</v>
      </c>
      <c r="BB149" s="1" t="s">
        <v>241</v>
      </c>
      <c r="BC149" s="1" t="s">
        <v>160</v>
      </c>
      <c r="BE149" s="1" t="s">
        <v>830</v>
      </c>
      <c r="BF149" s="1" t="s">
        <v>159</v>
      </c>
    </row>
    <row r="150" spans="1:59" ht="13" x14ac:dyDescent="0.15">
      <c r="A150" s="2">
        <v>44175.632638888892</v>
      </c>
      <c r="B150" s="2">
        <v>44175.634027777778</v>
      </c>
      <c r="C150" s="1" t="s">
        <v>39</v>
      </c>
      <c r="D150" s="1" t="s">
        <v>234</v>
      </c>
      <c r="E150" s="1">
        <v>100</v>
      </c>
      <c r="F150" s="1">
        <v>116</v>
      </c>
      <c r="G150" s="1" t="b">
        <v>1</v>
      </c>
      <c r="H150" s="2">
        <v>44175.634027777778</v>
      </c>
      <c r="I150" s="1" t="s">
        <v>831</v>
      </c>
      <c r="N150" s="1">
        <v>34.048492430000003</v>
      </c>
      <c r="O150" s="1">
        <v>-118.2528992</v>
      </c>
      <c r="P150" s="1" t="s">
        <v>153</v>
      </c>
      <c r="Q150" s="1" t="s">
        <v>154</v>
      </c>
      <c r="R150" s="1" t="s">
        <v>236</v>
      </c>
      <c r="S150" s="1" t="s">
        <v>310</v>
      </c>
      <c r="T150" s="1" t="s">
        <v>245</v>
      </c>
      <c r="U150" s="1" t="s">
        <v>496</v>
      </c>
      <c r="V150" s="1" t="s">
        <v>160</v>
      </c>
      <c r="W150" s="1" t="s">
        <v>160</v>
      </c>
      <c r="X150" s="1" t="s">
        <v>160</v>
      </c>
      <c r="Y150" s="1" t="s">
        <v>160</v>
      </c>
      <c r="Z150" s="1" t="s">
        <v>160</v>
      </c>
      <c r="AA150" s="1" t="s">
        <v>160</v>
      </c>
      <c r="AB150" s="1" t="s">
        <v>160</v>
      </c>
      <c r="AC150" s="1" t="s">
        <v>160</v>
      </c>
      <c r="AD150" s="1" t="s">
        <v>160</v>
      </c>
      <c r="AE150" s="1" t="s">
        <v>160</v>
      </c>
      <c r="AF150" s="1" t="s">
        <v>160</v>
      </c>
      <c r="AG150" s="1" t="s">
        <v>160</v>
      </c>
      <c r="AI150" s="1" t="s">
        <v>160</v>
      </c>
      <c r="AJ150" s="1" t="s">
        <v>192</v>
      </c>
      <c r="AK150" s="1" t="s">
        <v>163</v>
      </c>
      <c r="AL150" s="1" t="s">
        <v>192</v>
      </c>
      <c r="AM150" s="1" t="s">
        <v>192</v>
      </c>
      <c r="AN150" s="1" t="s">
        <v>163</v>
      </c>
      <c r="AO150" s="1" t="s">
        <v>179</v>
      </c>
      <c r="AP150" s="1" t="s">
        <v>165</v>
      </c>
      <c r="AR150" s="1" t="s">
        <v>160</v>
      </c>
      <c r="AS150" s="1" t="s">
        <v>160</v>
      </c>
      <c r="AT150" s="1" t="s">
        <v>832</v>
      </c>
      <c r="AU150" s="1" t="s">
        <v>160</v>
      </c>
      <c r="AV150" s="1" t="s">
        <v>159</v>
      </c>
      <c r="AW150" s="1" t="s">
        <v>159</v>
      </c>
      <c r="AX150" s="1" t="s">
        <v>159</v>
      </c>
      <c r="AY150" s="1" t="s">
        <v>160</v>
      </c>
      <c r="AZ150" s="1" t="s">
        <v>160</v>
      </c>
      <c r="BA150" s="1" t="s">
        <v>160</v>
      </c>
      <c r="BB150" s="1" t="s">
        <v>181</v>
      </c>
      <c r="BC150" s="1" t="s">
        <v>160</v>
      </c>
      <c r="BD150" s="1" t="s">
        <v>833</v>
      </c>
      <c r="BE150" s="1" t="s">
        <v>834</v>
      </c>
      <c r="BF150" s="1" t="s">
        <v>160</v>
      </c>
    </row>
    <row r="151" spans="1:59" ht="13" x14ac:dyDescent="0.15">
      <c r="A151" s="2">
        <v>44175.632638888892</v>
      </c>
      <c r="B151" s="2">
        <v>44175.634027777778</v>
      </c>
      <c r="C151" s="1" t="s">
        <v>39</v>
      </c>
      <c r="D151" s="1" t="s">
        <v>835</v>
      </c>
      <c r="E151" s="1">
        <v>100</v>
      </c>
      <c r="F151" s="1">
        <v>120</v>
      </c>
      <c r="G151" s="1" t="b">
        <v>1</v>
      </c>
      <c r="H151" s="2">
        <v>44175.634027777778</v>
      </c>
      <c r="I151" s="1" t="s">
        <v>836</v>
      </c>
      <c r="N151" s="1">
        <v>29.702606200000002</v>
      </c>
      <c r="O151" s="1">
        <v>-98.475898740000005</v>
      </c>
      <c r="P151" s="1" t="s">
        <v>153</v>
      </c>
      <c r="Q151" s="1" t="s">
        <v>154</v>
      </c>
      <c r="R151" s="1" t="s">
        <v>174</v>
      </c>
      <c r="S151" s="1" t="s">
        <v>208</v>
      </c>
      <c r="T151" s="1" t="s">
        <v>263</v>
      </c>
      <c r="U151" s="1" t="s">
        <v>701</v>
      </c>
      <c r="V151" s="1" t="s">
        <v>160</v>
      </c>
      <c r="W151" s="1" t="s">
        <v>160</v>
      </c>
      <c r="X151" s="1" t="s">
        <v>160</v>
      </c>
      <c r="Y151" s="1" t="s">
        <v>160</v>
      </c>
      <c r="Z151" s="1" t="s">
        <v>160</v>
      </c>
      <c r="AA151" s="1" t="s">
        <v>160</v>
      </c>
      <c r="AB151" s="1" t="s">
        <v>160</v>
      </c>
      <c r="AC151" s="1" t="s">
        <v>159</v>
      </c>
      <c r="AD151" s="1" t="s">
        <v>160</v>
      </c>
      <c r="AE151" s="1" t="s">
        <v>160</v>
      </c>
      <c r="AF151" s="1" t="s">
        <v>160</v>
      </c>
      <c r="AG151" s="1" t="s">
        <v>160</v>
      </c>
      <c r="AH151" s="1">
        <v>3</v>
      </c>
      <c r="AI151" s="1" t="s">
        <v>160</v>
      </c>
      <c r="AJ151" s="1" t="s">
        <v>192</v>
      </c>
      <c r="AK151" s="1" t="s">
        <v>163</v>
      </c>
      <c r="AL151" s="1" t="s">
        <v>192</v>
      </c>
      <c r="AM151" s="1" t="s">
        <v>162</v>
      </c>
      <c r="AN151" s="1" t="s">
        <v>163</v>
      </c>
      <c r="AO151" s="1" t="s">
        <v>165</v>
      </c>
      <c r="AP151" s="1" t="s">
        <v>165</v>
      </c>
      <c r="AQ151" s="1">
        <v>1998</v>
      </c>
      <c r="AR151" s="1" t="s">
        <v>160</v>
      </c>
      <c r="AS151" s="1" t="s">
        <v>160</v>
      </c>
      <c r="AT151" s="1" t="s">
        <v>180</v>
      </c>
      <c r="AU151" s="1" t="s">
        <v>159</v>
      </c>
      <c r="AV151" s="1" t="s">
        <v>159</v>
      </c>
      <c r="AW151" s="1" t="s">
        <v>159</v>
      </c>
      <c r="AX151" s="1" t="s">
        <v>159</v>
      </c>
      <c r="AY151" s="1" t="s">
        <v>159</v>
      </c>
      <c r="AZ151" s="1" t="s">
        <v>159</v>
      </c>
      <c r="BA151" s="1" t="s">
        <v>159</v>
      </c>
      <c r="BB151" s="1" t="s">
        <v>181</v>
      </c>
      <c r="BC151" s="1" t="s">
        <v>159</v>
      </c>
      <c r="BE151" s="1" t="s">
        <v>837</v>
      </c>
      <c r="BF151" s="1" t="s">
        <v>159</v>
      </c>
    </row>
    <row r="152" spans="1:59" ht="13" x14ac:dyDescent="0.15">
      <c r="A152" s="2">
        <v>44175.630555555559</v>
      </c>
      <c r="B152" s="2">
        <v>44175.634722222225</v>
      </c>
      <c r="C152" s="1" t="s">
        <v>39</v>
      </c>
      <c r="D152" s="1" t="s">
        <v>838</v>
      </c>
      <c r="E152" s="1">
        <v>100</v>
      </c>
      <c r="F152" s="1">
        <v>378</v>
      </c>
      <c r="G152" s="1" t="b">
        <v>1</v>
      </c>
      <c r="H152" s="2">
        <v>44175.634722222225</v>
      </c>
      <c r="I152" s="1" t="s">
        <v>839</v>
      </c>
      <c r="N152" s="1">
        <v>41.902496339999999</v>
      </c>
      <c r="O152" s="1">
        <v>-87.672599790000007</v>
      </c>
      <c r="P152" s="1" t="s">
        <v>153</v>
      </c>
      <c r="Q152" s="1" t="s">
        <v>154</v>
      </c>
      <c r="R152" s="1" t="s">
        <v>174</v>
      </c>
      <c r="S152" s="1" t="s">
        <v>208</v>
      </c>
      <c r="T152" s="1" t="s">
        <v>176</v>
      </c>
      <c r="U152" s="1" t="s">
        <v>840</v>
      </c>
      <c r="V152" s="1" t="s">
        <v>160</v>
      </c>
      <c r="W152" s="1" t="s">
        <v>160</v>
      </c>
      <c r="X152" s="1" t="s">
        <v>160</v>
      </c>
      <c r="Y152" s="1" t="s">
        <v>160</v>
      </c>
      <c r="Z152" s="1" t="s">
        <v>160</v>
      </c>
      <c r="AA152" s="1" t="s">
        <v>159</v>
      </c>
      <c r="AB152" s="1" t="s">
        <v>159</v>
      </c>
      <c r="AC152" s="1" t="s">
        <v>160</v>
      </c>
      <c r="AD152" s="1" t="s">
        <v>159</v>
      </c>
      <c r="AE152" s="1" t="s">
        <v>160</v>
      </c>
      <c r="AF152" s="1" t="s">
        <v>159</v>
      </c>
      <c r="AG152" s="1" t="s">
        <v>160</v>
      </c>
      <c r="AH152" s="1">
        <v>3</v>
      </c>
      <c r="AI152" s="1" t="s">
        <v>160</v>
      </c>
      <c r="AJ152" s="1" t="s">
        <v>164</v>
      </c>
      <c r="AK152" s="1" t="s">
        <v>164</v>
      </c>
      <c r="AL152" s="1" t="s">
        <v>163</v>
      </c>
      <c r="AM152" s="1" t="s">
        <v>164</v>
      </c>
      <c r="AN152" s="1" t="s">
        <v>198</v>
      </c>
      <c r="AO152" s="1" t="s">
        <v>179</v>
      </c>
      <c r="AP152" s="1" t="s">
        <v>179</v>
      </c>
      <c r="AQ152" s="1">
        <v>1999</v>
      </c>
      <c r="AR152" s="1" t="s">
        <v>160</v>
      </c>
      <c r="AS152" s="1" t="s">
        <v>159</v>
      </c>
      <c r="AT152" s="1" t="s">
        <v>841</v>
      </c>
      <c r="AU152" s="1" t="s">
        <v>159</v>
      </c>
      <c r="AV152" s="1" t="s">
        <v>159</v>
      </c>
      <c r="AW152" s="1" t="s">
        <v>159</v>
      </c>
      <c r="AX152" s="1" t="s">
        <v>159</v>
      </c>
      <c r="AY152" s="1" t="s">
        <v>159</v>
      </c>
      <c r="AZ152" s="1" t="s">
        <v>159</v>
      </c>
      <c r="BA152" s="1" t="s">
        <v>159</v>
      </c>
      <c r="BB152" s="1" t="s">
        <v>167</v>
      </c>
      <c r="BC152" s="1" t="s">
        <v>160</v>
      </c>
      <c r="BE152" s="1" t="s">
        <v>842</v>
      </c>
      <c r="BF152" s="1" t="s">
        <v>159</v>
      </c>
    </row>
    <row r="153" spans="1:59" ht="13" x14ac:dyDescent="0.15">
      <c r="A153" s="2">
        <v>44175.632638888892</v>
      </c>
      <c r="B153" s="2">
        <v>44175.635416666664</v>
      </c>
      <c r="C153" s="1" t="s">
        <v>39</v>
      </c>
      <c r="D153" s="1" t="s">
        <v>843</v>
      </c>
      <c r="E153" s="1">
        <v>100</v>
      </c>
      <c r="F153" s="1">
        <v>236</v>
      </c>
      <c r="G153" s="1" t="b">
        <v>1</v>
      </c>
      <c r="H153" s="2">
        <v>44175.635416666664</v>
      </c>
      <c r="I153" s="1" t="s">
        <v>844</v>
      </c>
      <c r="N153" s="1">
        <v>41.945999149999999</v>
      </c>
      <c r="O153" s="1">
        <v>-87.703300479999996</v>
      </c>
      <c r="P153" s="1" t="s">
        <v>153</v>
      </c>
      <c r="Q153" s="1" t="s">
        <v>154</v>
      </c>
      <c r="R153" s="1" t="s">
        <v>155</v>
      </c>
      <c r="S153" s="1" t="s">
        <v>175</v>
      </c>
      <c r="T153" s="1" t="s">
        <v>263</v>
      </c>
      <c r="U153" s="1" t="s">
        <v>246</v>
      </c>
      <c r="V153" s="1" t="s">
        <v>159</v>
      </c>
      <c r="W153" s="1" t="s">
        <v>160</v>
      </c>
      <c r="X153" s="1" t="s">
        <v>160</v>
      </c>
      <c r="Y153" s="1" t="s">
        <v>159</v>
      </c>
      <c r="Z153" s="1" t="s">
        <v>159</v>
      </c>
      <c r="AA153" s="1" t="s">
        <v>159</v>
      </c>
      <c r="AB153" s="1" t="s">
        <v>160</v>
      </c>
      <c r="AC153" s="1" t="s">
        <v>160</v>
      </c>
      <c r="AD153" s="1" t="s">
        <v>159</v>
      </c>
      <c r="AE153" s="1" t="s">
        <v>160</v>
      </c>
      <c r="AF153" s="1" t="s">
        <v>159</v>
      </c>
      <c r="AG153" s="1" t="s">
        <v>160</v>
      </c>
      <c r="AH153" s="1">
        <v>4</v>
      </c>
      <c r="AI153" s="1" t="s">
        <v>160</v>
      </c>
      <c r="AJ153" s="1" t="s">
        <v>192</v>
      </c>
      <c r="AK153" s="1" t="s">
        <v>163</v>
      </c>
      <c r="AL153" s="1" t="s">
        <v>192</v>
      </c>
      <c r="AM153" s="1" t="s">
        <v>162</v>
      </c>
      <c r="AN153" s="1" t="s">
        <v>163</v>
      </c>
      <c r="AO153" s="1" t="s">
        <v>179</v>
      </c>
      <c r="AP153" s="1" t="s">
        <v>179</v>
      </c>
      <c r="AQ153" s="1">
        <v>1998</v>
      </c>
      <c r="AR153" s="1" t="s">
        <v>160</v>
      </c>
      <c r="AS153" s="1" t="s">
        <v>160</v>
      </c>
      <c r="AT153" s="1" t="s">
        <v>180</v>
      </c>
      <c r="AU153" s="1" t="s">
        <v>160</v>
      </c>
      <c r="AV153" s="1" t="s">
        <v>159</v>
      </c>
      <c r="AW153" s="1" t="s">
        <v>159</v>
      </c>
      <c r="AX153" s="1" t="s">
        <v>160</v>
      </c>
      <c r="AY153" s="1" t="s">
        <v>159</v>
      </c>
      <c r="AZ153" s="1" t="s">
        <v>159</v>
      </c>
      <c r="BA153" s="1" t="s">
        <v>159</v>
      </c>
      <c r="BB153" s="1" t="s">
        <v>181</v>
      </c>
      <c r="BC153" s="1" t="s">
        <v>159</v>
      </c>
      <c r="BE153" s="1" t="s">
        <v>845</v>
      </c>
      <c r="BF153" s="1" t="s">
        <v>160</v>
      </c>
      <c r="BG153" s="1" t="s">
        <v>845</v>
      </c>
    </row>
    <row r="154" spans="1:59" ht="13" x14ac:dyDescent="0.15">
      <c r="A154" s="2">
        <v>44175.629861111112</v>
      </c>
      <c r="B154" s="2">
        <v>44175.635416666664</v>
      </c>
      <c r="C154" s="1" t="s">
        <v>39</v>
      </c>
      <c r="D154" s="1" t="s">
        <v>846</v>
      </c>
      <c r="E154" s="1">
        <v>100</v>
      </c>
      <c r="F154" s="1">
        <v>496</v>
      </c>
      <c r="G154" s="1" t="b">
        <v>1</v>
      </c>
      <c r="H154" s="2">
        <v>44175.635416666664</v>
      </c>
      <c r="I154" s="1" t="s">
        <v>847</v>
      </c>
      <c r="N154" s="1">
        <v>41.945007320000002</v>
      </c>
      <c r="O154" s="1">
        <v>-87.799598689999996</v>
      </c>
      <c r="P154" s="1" t="s">
        <v>153</v>
      </c>
      <c r="Q154" s="1" t="s">
        <v>154</v>
      </c>
      <c r="R154" s="1" t="s">
        <v>174</v>
      </c>
      <c r="S154" s="1" t="s">
        <v>208</v>
      </c>
      <c r="T154" s="1" t="s">
        <v>263</v>
      </c>
      <c r="U154" s="1" t="s">
        <v>848</v>
      </c>
      <c r="V154" s="1" t="s">
        <v>160</v>
      </c>
      <c r="W154" s="1" t="s">
        <v>160</v>
      </c>
      <c r="X154" s="1" t="s">
        <v>160</v>
      </c>
      <c r="Y154" s="1" t="s">
        <v>160</v>
      </c>
      <c r="Z154" s="1" t="s">
        <v>160</v>
      </c>
      <c r="AA154" s="1" t="s">
        <v>159</v>
      </c>
      <c r="AB154" s="1" t="s">
        <v>159</v>
      </c>
      <c r="AC154" s="1" t="s">
        <v>160</v>
      </c>
      <c r="AD154" s="1" t="s">
        <v>159</v>
      </c>
      <c r="AE154" s="1" t="s">
        <v>160</v>
      </c>
      <c r="AF154" s="1" t="s">
        <v>160</v>
      </c>
      <c r="AG154" s="1" t="s">
        <v>160</v>
      </c>
      <c r="AH154" s="1">
        <v>4</v>
      </c>
      <c r="AI154" s="1" t="s">
        <v>160</v>
      </c>
      <c r="AJ154" s="1" t="s">
        <v>163</v>
      </c>
      <c r="AK154" s="1" t="s">
        <v>198</v>
      </c>
      <c r="AL154" s="1" t="s">
        <v>163</v>
      </c>
      <c r="AM154" s="1" t="s">
        <v>164</v>
      </c>
      <c r="AN154" s="1" t="s">
        <v>164</v>
      </c>
      <c r="AO154" s="1" t="s">
        <v>179</v>
      </c>
      <c r="AP154" s="1" t="s">
        <v>179</v>
      </c>
      <c r="AQ154" s="1">
        <v>1998</v>
      </c>
      <c r="AR154" s="1" t="s">
        <v>160</v>
      </c>
      <c r="AS154" s="1" t="s">
        <v>159</v>
      </c>
      <c r="AT154" s="1" t="s">
        <v>322</v>
      </c>
      <c r="AU154" s="1" t="s">
        <v>159</v>
      </c>
      <c r="AV154" s="1" t="s">
        <v>159</v>
      </c>
      <c r="AW154" s="1" t="s">
        <v>159</v>
      </c>
      <c r="AX154" s="1" t="s">
        <v>159</v>
      </c>
      <c r="AY154" s="1" t="s">
        <v>159</v>
      </c>
      <c r="AZ154" s="1" t="s">
        <v>159</v>
      </c>
      <c r="BA154" s="1" t="s">
        <v>159</v>
      </c>
      <c r="BB154" s="1" t="s">
        <v>167</v>
      </c>
      <c r="BC154" s="1" t="s">
        <v>159</v>
      </c>
      <c r="BE154" s="1" t="s">
        <v>849</v>
      </c>
      <c r="BF154" s="1" t="s">
        <v>159</v>
      </c>
    </row>
    <row r="155" spans="1:59" ht="13" x14ac:dyDescent="0.15">
      <c r="A155" s="2">
        <v>44175.634027777778</v>
      </c>
      <c r="B155" s="2">
        <v>44175.635416666664</v>
      </c>
      <c r="C155" s="1" t="s">
        <v>39</v>
      </c>
      <c r="D155" s="1" t="s">
        <v>234</v>
      </c>
      <c r="E155" s="1">
        <v>100</v>
      </c>
      <c r="F155" s="1">
        <v>122</v>
      </c>
      <c r="G155" s="1" t="b">
        <v>1</v>
      </c>
      <c r="H155" s="2">
        <v>44175.635416666664</v>
      </c>
      <c r="I155" s="1" t="s">
        <v>850</v>
      </c>
      <c r="N155" s="1">
        <v>34.048492430000003</v>
      </c>
      <c r="O155" s="1">
        <v>-118.2528992</v>
      </c>
      <c r="P155" s="1" t="s">
        <v>153</v>
      </c>
      <c r="Q155" s="1" t="s">
        <v>154</v>
      </c>
      <c r="R155" s="1" t="s">
        <v>236</v>
      </c>
      <c r="S155" s="1" t="s">
        <v>226</v>
      </c>
      <c r="T155" s="1" t="s">
        <v>157</v>
      </c>
      <c r="U155" s="1" t="s">
        <v>851</v>
      </c>
      <c r="V155" s="1" t="s">
        <v>160</v>
      </c>
      <c r="W155" s="1" t="s">
        <v>160</v>
      </c>
      <c r="X155" s="1" t="s">
        <v>160</v>
      </c>
      <c r="Y155" s="1" t="s">
        <v>160</v>
      </c>
      <c r="Z155" s="1" t="s">
        <v>160</v>
      </c>
      <c r="AA155" s="1" t="s">
        <v>160</v>
      </c>
      <c r="AB155" s="1" t="s">
        <v>160</v>
      </c>
      <c r="AC155" s="1" t="s">
        <v>160</v>
      </c>
      <c r="AD155" s="1" t="s">
        <v>160</v>
      </c>
      <c r="AE155" s="1" t="s">
        <v>160</v>
      </c>
      <c r="AF155" s="1" t="s">
        <v>160</v>
      </c>
      <c r="AG155" s="1" t="s">
        <v>160</v>
      </c>
      <c r="AI155" s="1" t="s">
        <v>160</v>
      </c>
      <c r="AJ155" s="1" t="s">
        <v>198</v>
      </c>
      <c r="AK155" s="1" t="s">
        <v>164</v>
      </c>
      <c r="AL155" s="1" t="s">
        <v>164</v>
      </c>
      <c r="AM155" s="1" t="s">
        <v>198</v>
      </c>
      <c r="AN155" s="1" t="s">
        <v>164</v>
      </c>
      <c r="AO155" s="1" t="s">
        <v>179</v>
      </c>
      <c r="AP155" s="1" t="s">
        <v>165</v>
      </c>
      <c r="AR155" s="1" t="s">
        <v>160</v>
      </c>
      <c r="AS155" s="1" t="s">
        <v>160</v>
      </c>
      <c r="AT155" s="1" t="s">
        <v>852</v>
      </c>
      <c r="AU155" s="1" t="s">
        <v>160</v>
      </c>
      <c r="AV155" s="1" t="s">
        <v>159</v>
      </c>
      <c r="AW155" s="1" t="s">
        <v>159</v>
      </c>
      <c r="AX155" s="1" t="s">
        <v>159</v>
      </c>
      <c r="AY155" s="1" t="s">
        <v>160</v>
      </c>
      <c r="AZ155" s="1" t="s">
        <v>159</v>
      </c>
      <c r="BA155" s="1" t="s">
        <v>159</v>
      </c>
      <c r="BB155" s="1" t="s">
        <v>241</v>
      </c>
      <c r="BC155" s="1" t="s">
        <v>160</v>
      </c>
      <c r="BD155" s="1" t="s">
        <v>853</v>
      </c>
      <c r="BE155" s="1" t="s">
        <v>854</v>
      </c>
      <c r="BF155" s="1" t="s">
        <v>160</v>
      </c>
    </row>
    <row r="156" spans="1:59" ht="13" x14ac:dyDescent="0.15">
      <c r="A156" s="2">
        <v>44175.629861111112</v>
      </c>
      <c r="B156" s="2">
        <v>44175.636111111111</v>
      </c>
      <c r="C156" s="1" t="s">
        <v>39</v>
      </c>
      <c r="D156" s="1" t="s">
        <v>855</v>
      </c>
      <c r="E156" s="1">
        <v>100</v>
      </c>
      <c r="F156" s="1">
        <v>547</v>
      </c>
      <c r="G156" s="1" t="b">
        <v>1</v>
      </c>
      <c r="H156" s="2">
        <v>44175.636111111111</v>
      </c>
      <c r="I156" s="1" t="s">
        <v>856</v>
      </c>
      <c r="N156" s="1">
        <v>41.945999149999999</v>
      </c>
      <c r="O156" s="1">
        <v>-87.703300479999996</v>
      </c>
      <c r="P156" s="1" t="s">
        <v>153</v>
      </c>
      <c r="Q156" s="1" t="s">
        <v>154</v>
      </c>
      <c r="R156" s="1" t="s">
        <v>174</v>
      </c>
      <c r="S156" s="1" t="s">
        <v>208</v>
      </c>
      <c r="T156" s="1" t="s">
        <v>176</v>
      </c>
      <c r="U156" s="1" t="s">
        <v>857</v>
      </c>
      <c r="V156" s="1" t="s">
        <v>160</v>
      </c>
      <c r="W156" s="1" t="s">
        <v>160</v>
      </c>
      <c r="X156" s="1" t="s">
        <v>160</v>
      </c>
      <c r="Y156" s="1" t="s">
        <v>160</v>
      </c>
      <c r="Z156" s="1" t="s">
        <v>160</v>
      </c>
      <c r="AA156" s="1" t="s">
        <v>159</v>
      </c>
      <c r="AB156" s="1" t="s">
        <v>159</v>
      </c>
      <c r="AC156" s="1" t="s">
        <v>160</v>
      </c>
      <c r="AD156" s="1" t="s">
        <v>159</v>
      </c>
      <c r="AE156" s="1" t="s">
        <v>160</v>
      </c>
      <c r="AF156" s="1" t="s">
        <v>160</v>
      </c>
      <c r="AG156" s="1" t="s">
        <v>160</v>
      </c>
      <c r="AH156" s="1">
        <v>3</v>
      </c>
      <c r="AI156" s="1" t="s">
        <v>160</v>
      </c>
      <c r="AJ156" s="1" t="s">
        <v>163</v>
      </c>
      <c r="AK156" s="1" t="s">
        <v>164</v>
      </c>
      <c r="AL156" s="1" t="s">
        <v>163</v>
      </c>
      <c r="AM156" s="1" t="s">
        <v>164</v>
      </c>
      <c r="AN156" s="1" t="s">
        <v>164</v>
      </c>
      <c r="AO156" s="1" t="s">
        <v>179</v>
      </c>
      <c r="AP156" s="1" t="s">
        <v>179</v>
      </c>
      <c r="AQ156" s="1">
        <v>2000</v>
      </c>
      <c r="AR156" s="1" t="s">
        <v>160</v>
      </c>
      <c r="AS156" s="1" t="s">
        <v>159</v>
      </c>
      <c r="AT156" s="1" t="s">
        <v>166</v>
      </c>
      <c r="AU156" s="1" t="s">
        <v>159</v>
      </c>
      <c r="AV156" s="1" t="s">
        <v>159</v>
      </c>
      <c r="AW156" s="1" t="s">
        <v>159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167</v>
      </c>
      <c r="BC156" s="1" t="s">
        <v>159</v>
      </c>
      <c r="BE156" s="1" t="s">
        <v>858</v>
      </c>
      <c r="BF156" s="1" t="s">
        <v>160</v>
      </c>
      <c r="BG156" s="1" t="s">
        <v>858</v>
      </c>
    </row>
    <row r="157" spans="1:59" ht="13" x14ac:dyDescent="0.15">
      <c r="A157" s="2">
        <v>44175.630555555559</v>
      </c>
      <c r="B157" s="2">
        <v>44175.636805555558</v>
      </c>
      <c r="C157" s="1" t="s">
        <v>39</v>
      </c>
      <c r="D157" s="1" t="s">
        <v>859</v>
      </c>
      <c r="E157" s="1">
        <v>100</v>
      </c>
      <c r="F157" s="1">
        <v>543</v>
      </c>
      <c r="G157" s="1" t="b">
        <v>1</v>
      </c>
      <c r="H157" s="2">
        <v>44175.636805555558</v>
      </c>
      <c r="I157" s="1" t="s">
        <v>860</v>
      </c>
      <c r="N157" s="1">
        <v>41.945999149999999</v>
      </c>
      <c r="O157" s="1">
        <v>-87.703300479999996</v>
      </c>
      <c r="P157" s="1" t="s">
        <v>153</v>
      </c>
      <c r="Q157" s="1" t="s">
        <v>154</v>
      </c>
      <c r="R157" s="1" t="s">
        <v>174</v>
      </c>
      <c r="S157" s="1" t="s">
        <v>208</v>
      </c>
      <c r="T157" s="1" t="s">
        <v>176</v>
      </c>
      <c r="U157" s="1" t="s">
        <v>861</v>
      </c>
      <c r="V157" s="1" t="s">
        <v>160</v>
      </c>
      <c r="W157" s="1" t="s">
        <v>160</v>
      </c>
      <c r="X157" s="1" t="s">
        <v>160</v>
      </c>
      <c r="Y157" s="1" t="s">
        <v>160</v>
      </c>
      <c r="Z157" s="1" t="s">
        <v>160</v>
      </c>
      <c r="AA157" s="1" t="s">
        <v>159</v>
      </c>
      <c r="AB157" s="1" t="s">
        <v>160</v>
      </c>
      <c r="AC157" s="1" t="s">
        <v>160</v>
      </c>
      <c r="AD157" s="1" t="s">
        <v>160</v>
      </c>
      <c r="AE157" s="1" t="s">
        <v>160</v>
      </c>
      <c r="AF157" s="1" t="s">
        <v>160</v>
      </c>
      <c r="AG157" s="1" t="s">
        <v>160</v>
      </c>
      <c r="AH157" s="1">
        <v>3</v>
      </c>
      <c r="AI157" s="1" t="s">
        <v>160</v>
      </c>
      <c r="AJ157" s="1" t="s">
        <v>164</v>
      </c>
      <c r="AK157" s="1" t="s">
        <v>164</v>
      </c>
      <c r="AL157" s="1" t="s">
        <v>163</v>
      </c>
      <c r="AM157" s="1" t="s">
        <v>164</v>
      </c>
      <c r="AN157" s="1" t="s">
        <v>164</v>
      </c>
      <c r="AO157" s="1" t="s">
        <v>179</v>
      </c>
      <c r="AP157" s="1" t="s">
        <v>179</v>
      </c>
      <c r="AQ157" s="1">
        <v>1997</v>
      </c>
      <c r="AR157" s="1" t="s">
        <v>160</v>
      </c>
      <c r="AS157" s="1" t="s">
        <v>159</v>
      </c>
      <c r="AT157" s="1" t="s">
        <v>638</v>
      </c>
      <c r="AU157" s="1" t="s">
        <v>159</v>
      </c>
      <c r="AV157" s="1" t="s">
        <v>159</v>
      </c>
      <c r="AW157" s="1" t="s">
        <v>159</v>
      </c>
      <c r="AX157" s="1" t="s">
        <v>159</v>
      </c>
      <c r="AY157" s="1" t="s">
        <v>159</v>
      </c>
      <c r="AZ157" s="1" t="s">
        <v>159</v>
      </c>
      <c r="BA157" s="1" t="s">
        <v>159</v>
      </c>
      <c r="BB157" s="1" t="s">
        <v>181</v>
      </c>
      <c r="BC157" s="1" t="s">
        <v>159</v>
      </c>
      <c r="BE157" s="1" t="s">
        <v>862</v>
      </c>
      <c r="BF157" s="1" t="s">
        <v>160</v>
      </c>
      <c r="BG157" s="1" t="s">
        <v>862</v>
      </c>
    </row>
    <row r="158" spans="1:59" ht="13" x14ac:dyDescent="0.15">
      <c r="A158" s="2">
        <v>44175.630555555559</v>
      </c>
      <c r="B158" s="2">
        <v>44175.636805555558</v>
      </c>
      <c r="C158" s="1" t="s">
        <v>39</v>
      </c>
      <c r="D158" s="1" t="s">
        <v>863</v>
      </c>
      <c r="E158" s="1">
        <v>100</v>
      </c>
      <c r="F158" s="1">
        <v>576</v>
      </c>
      <c r="G158" s="1" t="b">
        <v>1</v>
      </c>
      <c r="H158" s="2">
        <v>44175.636805555558</v>
      </c>
      <c r="I158" s="1" t="s">
        <v>864</v>
      </c>
      <c r="N158" s="1">
        <v>38.683105470000001</v>
      </c>
      <c r="O158" s="1">
        <v>-89.984199520000004</v>
      </c>
      <c r="P158" s="1" t="s">
        <v>153</v>
      </c>
      <c r="Q158" s="1" t="s">
        <v>154</v>
      </c>
      <c r="R158" s="1" t="s">
        <v>174</v>
      </c>
      <c r="S158" s="1" t="s">
        <v>208</v>
      </c>
      <c r="T158" s="1" t="s">
        <v>176</v>
      </c>
      <c r="U158" s="1" t="s">
        <v>865</v>
      </c>
      <c r="V158" s="1" t="s">
        <v>160</v>
      </c>
      <c r="W158" s="1" t="s">
        <v>160</v>
      </c>
      <c r="X158" s="1" t="s">
        <v>160</v>
      </c>
      <c r="Y158" s="1" t="s">
        <v>160</v>
      </c>
      <c r="Z158" s="1" t="s">
        <v>160</v>
      </c>
      <c r="AA158" s="1" t="s">
        <v>159</v>
      </c>
      <c r="AB158" s="1" t="s">
        <v>159</v>
      </c>
      <c r="AC158" s="1" t="s">
        <v>160</v>
      </c>
      <c r="AD158" s="1" t="s">
        <v>160</v>
      </c>
      <c r="AE158" s="1" t="s">
        <v>160</v>
      </c>
      <c r="AF158" s="1" t="s">
        <v>160</v>
      </c>
      <c r="AG158" s="1" t="s">
        <v>160</v>
      </c>
      <c r="AH158" s="1">
        <v>3</v>
      </c>
      <c r="AI158" s="1" t="s">
        <v>160</v>
      </c>
      <c r="AJ158" s="1" t="s">
        <v>198</v>
      </c>
      <c r="AK158" s="1" t="s">
        <v>164</v>
      </c>
      <c r="AL158" s="1" t="s">
        <v>163</v>
      </c>
      <c r="AM158" s="1" t="s">
        <v>198</v>
      </c>
      <c r="AN158" s="1" t="s">
        <v>198</v>
      </c>
      <c r="AO158" s="1" t="s">
        <v>179</v>
      </c>
      <c r="AP158" s="1" t="s">
        <v>179</v>
      </c>
      <c r="AQ158" s="1">
        <v>2000</v>
      </c>
      <c r="AR158" s="1" t="s">
        <v>160</v>
      </c>
      <c r="AS158" s="1" t="s">
        <v>159</v>
      </c>
      <c r="AT158" s="1" t="s">
        <v>322</v>
      </c>
      <c r="AU158" s="1" t="s">
        <v>159</v>
      </c>
      <c r="AV158" s="1" t="s">
        <v>159</v>
      </c>
      <c r="AW158" s="1" t="s">
        <v>159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181</v>
      </c>
      <c r="BC158" s="1" t="s">
        <v>160</v>
      </c>
      <c r="BE158" s="1" t="s">
        <v>866</v>
      </c>
      <c r="BF158" s="1" t="s">
        <v>160</v>
      </c>
      <c r="BG158" s="1" t="s">
        <v>866</v>
      </c>
    </row>
    <row r="159" spans="1:59" ht="13" x14ac:dyDescent="0.15">
      <c r="A159" s="2">
        <v>44175.634027777778</v>
      </c>
      <c r="B159" s="2">
        <v>44175.636805555558</v>
      </c>
      <c r="C159" s="1" t="s">
        <v>39</v>
      </c>
      <c r="D159" s="1" t="s">
        <v>838</v>
      </c>
      <c r="E159" s="1">
        <v>100</v>
      </c>
      <c r="F159" s="1">
        <v>279</v>
      </c>
      <c r="G159" s="1" t="b">
        <v>1</v>
      </c>
      <c r="H159" s="2">
        <v>44175.636805555558</v>
      </c>
      <c r="I159" s="1" t="s">
        <v>867</v>
      </c>
      <c r="N159" s="1">
        <v>41.902496339999999</v>
      </c>
      <c r="O159" s="1">
        <v>-87.672599790000007</v>
      </c>
      <c r="P159" s="1" t="s">
        <v>153</v>
      </c>
      <c r="Q159" s="1" t="s">
        <v>154</v>
      </c>
      <c r="R159" s="1" t="s">
        <v>174</v>
      </c>
      <c r="S159" s="1" t="s">
        <v>208</v>
      </c>
      <c r="T159" s="1" t="s">
        <v>176</v>
      </c>
      <c r="U159" s="1" t="s">
        <v>868</v>
      </c>
      <c r="V159" s="1" t="s">
        <v>160</v>
      </c>
      <c r="W159" s="1" t="s">
        <v>160</v>
      </c>
      <c r="X159" s="1" t="s">
        <v>160</v>
      </c>
      <c r="Y159" s="1" t="s">
        <v>160</v>
      </c>
      <c r="Z159" s="1" t="s">
        <v>160</v>
      </c>
      <c r="AA159" s="1" t="s">
        <v>159</v>
      </c>
      <c r="AB159" s="1" t="s">
        <v>160</v>
      </c>
      <c r="AC159" s="1" t="s">
        <v>160</v>
      </c>
      <c r="AD159" s="1" t="s">
        <v>159</v>
      </c>
      <c r="AE159" s="1" t="s">
        <v>160</v>
      </c>
      <c r="AF159" s="1" t="s">
        <v>159</v>
      </c>
      <c r="AG159" s="1" t="s">
        <v>160</v>
      </c>
      <c r="AH159" s="1">
        <v>5</v>
      </c>
      <c r="AI159" s="1" t="s">
        <v>159</v>
      </c>
      <c r="AJ159" s="1" t="s">
        <v>164</v>
      </c>
      <c r="AK159" s="1" t="s">
        <v>163</v>
      </c>
      <c r="AL159" s="1" t="s">
        <v>162</v>
      </c>
      <c r="AM159" s="1" t="s">
        <v>164</v>
      </c>
      <c r="AN159" s="1" t="s">
        <v>198</v>
      </c>
      <c r="AO159" s="1" t="s">
        <v>179</v>
      </c>
      <c r="AP159" s="1" t="s">
        <v>179</v>
      </c>
      <c r="AQ159" s="1">
        <v>1997</v>
      </c>
      <c r="AR159" s="1" t="s">
        <v>160</v>
      </c>
      <c r="AS159" s="1" t="s">
        <v>159</v>
      </c>
      <c r="AT159" s="1" t="s">
        <v>180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160</v>
      </c>
      <c r="BA159" s="1" t="s">
        <v>159</v>
      </c>
      <c r="BB159" s="1" t="s">
        <v>181</v>
      </c>
      <c r="BC159" s="1" t="s">
        <v>159</v>
      </c>
      <c r="BE159" s="1" t="s">
        <v>869</v>
      </c>
      <c r="BF159" s="1" t="s">
        <v>160</v>
      </c>
      <c r="BG159" s="1" t="s">
        <v>870</v>
      </c>
    </row>
    <row r="160" spans="1:59" ht="13" x14ac:dyDescent="0.15">
      <c r="A160" s="2">
        <v>44175.636111111111</v>
      </c>
      <c r="B160" s="2">
        <v>44175.636805555558</v>
      </c>
      <c r="C160" s="1" t="s">
        <v>39</v>
      </c>
      <c r="D160" s="1" t="s">
        <v>234</v>
      </c>
      <c r="E160" s="1">
        <v>100</v>
      </c>
      <c r="F160" s="1">
        <v>116</v>
      </c>
      <c r="G160" s="1" t="b">
        <v>1</v>
      </c>
      <c r="H160" s="2">
        <v>44175.636805555558</v>
      </c>
      <c r="I160" s="1" t="s">
        <v>871</v>
      </c>
      <c r="N160" s="1">
        <v>34.048492430000003</v>
      </c>
      <c r="O160" s="1">
        <v>-118.2528992</v>
      </c>
      <c r="P160" s="1" t="s">
        <v>153</v>
      </c>
      <c r="Q160" s="1" t="s">
        <v>154</v>
      </c>
      <c r="R160" s="1" t="s">
        <v>236</v>
      </c>
      <c r="S160" s="1" t="s">
        <v>310</v>
      </c>
      <c r="T160" s="1" t="s">
        <v>176</v>
      </c>
      <c r="U160" s="1" t="s">
        <v>637</v>
      </c>
      <c r="V160" s="1" t="s">
        <v>160</v>
      </c>
      <c r="W160" s="1" t="s">
        <v>160</v>
      </c>
      <c r="X160" s="1" t="s">
        <v>160</v>
      </c>
      <c r="Y160" s="1" t="s">
        <v>160</v>
      </c>
      <c r="Z160" s="1" t="s">
        <v>160</v>
      </c>
      <c r="AA160" s="1" t="s">
        <v>160</v>
      </c>
      <c r="AB160" s="1" t="s">
        <v>160</v>
      </c>
      <c r="AC160" s="1" t="s">
        <v>160</v>
      </c>
      <c r="AD160" s="1" t="s">
        <v>160</v>
      </c>
      <c r="AE160" s="1" t="s">
        <v>160</v>
      </c>
      <c r="AF160" s="1" t="s">
        <v>160</v>
      </c>
      <c r="AG160" s="1" t="s">
        <v>160</v>
      </c>
      <c r="AI160" s="1" t="s">
        <v>160</v>
      </c>
      <c r="AJ160" s="1" t="s">
        <v>164</v>
      </c>
      <c r="AK160" s="1" t="s">
        <v>198</v>
      </c>
      <c r="AL160" s="1" t="s">
        <v>192</v>
      </c>
      <c r="AM160" s="1" t="s">
        <v>163</v>
      </c>
      <c r="AN160" s="1" t="s">
        <v>192</v>
      </c>
      <c r="AO160" s="1" t="s">
        <v>179</v>
      </c>
      <c r="AP160" s="1" t="s">
        <v>239</v>
      </c>
      <c r="AR160" s="1" t="s">
        <v>160</v>
      </c>
      <c r="AS160" s="1" t="s">
        <v>160</v>
      </c>
      <c r="AT160" s="1" t="s">
        <v>872</v>
      </c>
      <c r="AU160" s="1" t="s">
        <v>159</v>
      </c>
      <c r="AV160" s="1" t="s">
        <v>159</v>
      </c>
      <c r="AW160" s="1" t="s">
        <v>159</v>
      </c>
      <c r="AX160" s="1" t="s">
        <v>159</v>
      </c>
      <c r="AY160" s="1" t="s">
        <v>160</v>
      </c>
      <c r="AZ160" s="1" t="s">
        <v>159</v>
      </c>
      <c r="BA160" s="1" t="s">
        <v>159</v>
      </c>
      <c r="BB160" s="1" t="s">
        <v>181</v>
      </c>
      <c r="BC160" s="1" t="s">
        <v>160</v>
      </c>
      <c r="BD160" s="1" t="s">
        <v>873</v>
      </c>
      <c r="BE160" s="1" t="s">
        <v>874</v>
      </c>
      <c r="BF160" s="1" t="s">
        <v>160</v>
      </c>
    </row>
    <row r="161" spans="1:59" ht="13" x14ac:dyDescent="0.15">
      <c r="A161" s="2">
        <v>44175.635416666664</v>
      </c>
      <c r="B161" s="2">
        <v>44175.637499999997</v>
      </c>
      <c r="C161" s="1" t="s">
        <v>39</v>
      </c>
      <c r="D161" s="1" t="s">
        <v>875</v>
      </c>
      <c r="E161" s="1">
        <v>100</v>
      </c>
      <c r="F161" s="1">
        <v>179</v>
      </c>
      <c r="G161" s="1" t="b">
        <v>1</v>
      </c>
      <c r="H161" s="2">
        <v>44175.637499999997</v>
      </c>
      <c r="I161" s="1" t="s">
        <v>876</v>
      </c>
      <c r="N161" s="1">
        <v>34.046997070000003</v>
      </c>
      <c r="O161" s="1">
        <v>-118.2750015</v>
      </c>
      <c r="P161" s="1" t="s">
        <v>153</v>
      </c>
      <c r="Q161" s="1" t="s">
        <v>154</v>
      </c>
      <c r="R161" s="1" t="s">
        <v>174</v>
      </c>
      <c r="S161" s="1" t="s">
        <v>208</v>
      </c>
      <c r="T161" s="1" t="s">
        <v>237</v>
      </c>
      <c r="U161" s="1" t="s">
        <v>418</v>
      </c>
      <c r="V161" s="1" t="s">
        <v>160</v>
      </c>
      <c r="W161" s="1" t="s">
        <v>160</v>
      </c>
      <c r="X161" s="1" t="s">
        <v>160</v>
      </c>
      <c r="Y161" s="1" t="s">
        <v>160</v>
      </c>
      <c r="Z161" s="1" t="s">
        <v>160</v>
      </c>
      <c r="AA161" s="1" t="s">
        <v>160</v>
      </c>
      <c r="AB161" s="1" t="s">
        <v>159</v>
      </c>
      <c r="AC161" s="1" t="s">
        <v>160</v>
      </c>
      <c r="AD161" s="1" t="s">
        <v>160</v>
      </c>
      <c r="AE161" s="1" t="s">
        <v>160</v>
      </c>
      <c r="AF161" s="1" t="s">
        <v>160</v>
      </c>
      <c r="AG161" s="1" t="s">
        <v>160</v>
      </c>
      <c r="AH161" s="1">
        <v>2</v>
      </c>
      <c r="AI161" s="1" t="s">
        <v>160</v>
      </c>
      <c r="AJ161" s="1" t="s">
        <v>163</v>
      </c>
      <c r="AK161" s="1" t="s">
        <v>192</v>
      </c>
      <c r="AL161" s="1" t="s">
        <v>163</v>
      </c>
      <c r="AM161" s="1" t="s">
        <v>192</v>
      </c>
      <c r="AN161" s="1" t="s">
        <v>163</v>
      </c>
      <c r="AO161" s="1" t="s">
        <v>165</v>
      </c>
      <c r="AP161" s="1" t="s">
        <v>165</v>
      </c>
      <c r="AQ161" s="1">
        <v>1996</v>
      </c>
      <c r="AR161" s="1" t="s">
        <v>160</v>
      </c>
      <c r="AS161" s="1" t="s">
        <v>160</v>
      </c>
      <c r="AT161" s="1" t="s">
        <v>180</v>
      </c>
      <c r="AU161" s="1" t="s">
        <v>160</v>
      </c>
      <c r="AV161" s="1" t="s">
        <v>159</v>
      </c>
      <c r="AW161" s="1" t="s">
        <v>159</v>
      </c>
      <c r="AX161" s="1" t="s">
        <v>159</v>
      </c>
      <c r="AY161" s="1" t="s">
        <v>159</v>
      </c>
      <c r="AZ161" s="1" t="s">
        <v>159</v>
      </c>
      <c r="BA161" s="1" t="s">
        <v>159</v>
      </c>
      <c r="BB161" s="1" t="s">
        <v>181</v>
      </c>
      <c r="BC161" s="1" t="s">
        <v>160</v>
      </c>
      <c r="BE161" s="1" t="s">
        <v>877</v>
      </c>
      <c r="BF161" s="1" t="s">
        <v>159</v>
      </c>
    </row>
    <row r="162" spans="1:59" ht="13" x14ac:dyDescent="0.15">
      <c r="A162" s="2">
        <v>44175.635416666664</v>
      </c>
      <c r="B162" s="2">
        <v>44175.638194444444</v>
      </c>
      <c r="C162" s="1" t="s">
        <v>39</v>
      </c>
      <c r="D162" s="1" t="s">
        <v>878</v>
      </c>
      <c r="E162" s="1">
        <v>100</v>
      </c>
      <c r="F162" s="1">
        <v>258</v>
      </c>
      <c r="G162" s="1" t="b">
        <v>1</v>
      </c>
      <c r="H162" s="2">
        <v>44175.638194444444</v>
      </c>
      <c r="I162" s="1" t="s">
        <v>879</v>
      </c>
      <c r="N162" s="1">
        <v>41.945999149999999</v>
      </c>
      <c r="O162" s="1">
        <v>-87.703300479999996</v>
      </c>
      <c r="P162" s="1" t="s">
        <v>153</v>
      </c>
      <c r="Q162" s="1" t="s">
        <v>154</v>
      </c>
      <c r="R162" s="1" t="s">
        <v>174</v>
      </c>
      <c r="S162" s="1" t="s">
        <v>208</v>
      </c>
      <c r="T162" s="1" t="s">
        <v>237</v>
      </c>
      <c r="U162" s="1" t="s">
        <v>880</v>
      </c>
      <c r="V162" s="1" t="s">
        <v>160</v>
      </c>
      <c r="W162" s="1" t="s">
        <v>159</v>
      </c>
      <c r="X162" s="1" t="s">
        <v>159</v>
      </c>
      <c r="Y162" s="1" t="s">
        <v>160</v>
      </c>
      <c r="Z162" s="1" t="s">
        <v>160</v>
      </c>
      <c r="AA162" s="1" t="s">
        <v>159</v>
      </c>
      <c r="AB162" s="1" t="s">
        <v>159</v>
      </c>
      <c r="AC162" s="1" t="s">
        <v>160</v>
      </c>
      <c r="AD162" s="1" t="s">
        <v>159</v>
      </c>
      <c r="AE162" s="1" t="s">
        <v>159</v>
      </c>
      <c r="AF162" s="1" t="s">
        <v>159</v>
      </c>
      <c r="AG162" s="1" t="s">
        <v>160</v>
      </c>
      <c r="AH162" s="1">
        <v>1</v>
      </c>
      <c r="AI162" s="1" t="s">
        <v>159</v>
      </c>
      <c r="AJ162" s="1" t="s">
        <v>163</v>
      </c>
      <c r="AK162" s="1" t="s">
        <v>163</v>
      </c>
      <c r="AL162" s="1" t="s">
        <v>162</v>
      </c>
      <c r="AM162" s="1" t="s">
        <v>163</v>
      </c>
      <c r="AN162" s="1" t="s">
        <v>162</v>
      </c>
      <c r="AO162" s="1" t="s">
        <v>165</v>
      </c>
      <c r="AP162" s="1" t="s">
        <v>165</v>
      </c>
      <c r="AQ162" s="1">
        <v>1999</v>
      </c>
      <c r="AR162" s="1" t="s">
        <v>160</v>
      </c>
      <c r="AS162" s="1" t="s">
        <v>159</v>
      </c>
      <c r="AT162" s="1" t="s">
        <v>881</v>
      </c>
      <c r="AU162" s="1" t="s">
        <v>159</v>
      </c>
      <c r="AV162" s="1" t="s">
        <v>159</v>
      </c>
      <c r="AW162" s="1" t="s">
        <v>159</v>
      </c>
      <c r="AY162" s="1" t="s">
        <v>159</v>
      </c>
      <c r="AZ162" s="1" t="s">
        <v>160</v>
      </c>
      <c r="BA162" s="1" t="s">
        <v>159</v>
      </c>
      <c r="BB162" s="1" t="s">
        <v>167</v>
      </c>
      <c r="BC162" s="1" t="s">
        <v>159</v>
      </c>
      <c r="BE162" s="1" t="s">
        <v>882</v>
      </c>
      <c r="BF162" s="1" t="s">
        <v>160</v>
      </c>
      <c r="BG162" s="1" t="s">
        <v>882</v>
      </c>
    </row>
    <row r="163" spans="1:59" ht="13" x14ac:dyDescent="0.15">
      <c r="A163" s="2">
        <v>44175.637499999997</v>
      </c>
      <c r="B163" s="2">
        <v>44175.638888888891</v>
      </c>
      <c r="C163" s="1" t="s">
        <v>39</v>
      </c>
      <c r="D163" s="1" t="s">
        <v>234</v>
      </c>
      <c r="E163" s="1">
        <v>100</v>
      </c>
      <c r="F163" s="1">
        <v>117</v>
      </c>
      <c r="G163" s="1" t="b">
        <v>1</v>
      </c>
      <c r="H163" s="2">
        <v>44175.638888888891</v>
      </c>
      <c r="I163" s="1" t="s">
        <v>883</v>
      </c>
      <c r="N163" s="1">
        <v>34.048492430000003</v>
      </c>
      <c r="O163" s="1">
        <v>-118.2528992</v>
      </c>
      <c r="P163" s="1" t="s">
        <v>153</v>
      </c>
      <c r="Q163" s="1" t="s">
        <v>154</v>
      </c>
      <c r="R163" s="1" t="s">
        <v>174</v>
      </c>
      <c r="S163" s="1" t="s">
        <v>274</v>
      </c>
      <c r="T163" s="1" t="s">
        <v>263</v>
      </c>
      <c r="U163" s="1" t="s">
        <v>884</v>
      </c>
      <c r="V163" s="1" t="s">
        <v>160</v>
      </c>
      <c r="W163" s="1" t="s">
        <v>160</v>
      </c>
      <c r="X163" s="1" t="s">
        <v>160</v>
      </c>
      <c r="Y163" s="1" t="s">
        <v>160</v>
      </c>
      <c r="Z163" s="1" t="s">
        <v>160</v>
      </c>
      <c r="AA163" s="1" t="s">
        <v>160</v>
      </c>
      <c r="AB163" s="1" t="s">
        <v>160</v>
      </c>
      <c r="AC163" s="1" t="s">
        <v>160</v>
      </c>
      <c r="AD163" s="1" t="s">
        <v>160</v>
      </c>
      <c r="AE163" s="1" t="s">
        <v>160</v>
      </c>
      <c r="AF163" s="1" t="s">
        <v>160</v>
      </c>
      <c r="AG163" s="1" t="s">
        <v>160</v>
      </c>
      <c r="AI163" s="1" t="s">
        <v>160</v>
      </c>
      <c r="AJ163" s="1" t="s">
        <v>164</v>
      </c>
      <c r="AK163" s="1" t="s">
        <v>163</v>
      </c>
      <c r="AL163" s="1" t="s">
        <v>198</v>
      </c>
      <c r="AM163" s="1" t="s">
        <v>198</v>
      </c>
      <c r="AN163" s="1" t="s">
        <v>192</v>
      </c>
      <c r="AO163" s="1" t="s">
        <v>179</v>
      </c>
      <c r="AP163" s="1" t="s">
        <v>239</v>
      </c>
      <c r="AR163" s="1" t="s">
        <v>160</v>
      </c>
      <c r="AS163" s="1" t="s">
        <v>160</v>
      </c>
      <c r="AT163" s="1" t="s">
        <v>558</v>
      </c>
      <c r="AU163" s="1" t="s">
        <v>160</v>
      </c>
      <c r="AV163" s="1" t="s">
        <v>159</v>
      </c>
      <c r="AW163" s="1" t="s">
        <v>159</v>
      </c>
      <c r="AX163" s="1" t="s">
        <v>160</v>
      </c>
      <c r="AY163" s="1" t="s">
        <v>160</v>
      </c>
      <c r="AZ163" s="1" t="s">
        <v>160</v>
      </c>
      <c r="BA163" s="1" t="s">
        <v>159</v>
      </c>
      <c r="BB163" s="1" t="s">
        <v>167</v>
      </c>
      <c r="BC163" s="1" t="s">
        <v>160</v>
      </c>
      <c r="BD163" s="1" t="s">
        <v>885</v>
      </c>
      <c r="BE163" s="1" t="s">
        <v>886</v>
      </c>
      <c r="BF163" s="1" t="s">
        <v>160</v>
      </c>
    </row>
    <row r="164" spans="1:59" ht="13" x14ac:dyDescent="0.15">
      <c r="A164" s="2">
        <v>44175.638194444444</v>
      </c>
      <c r="B164" s="2">
        <v>44175.638888888891</v>
      </c>
      <c r="C164" s="1" t="s">
        <v>39</v>
      </c>
      <c r="D164" s="1" t="s">
        <v>887</v>
      </c>
      <c r="E164" s="1">
        <v>100</v>
      </c>
      <c r="F164" s="1">
        <v>97</v>
      </c>
      <c r="G164" s="1" t="b">
        <v>1</v>
      </c>
      <c r="H164" s="2">
        <v>44175.638888888891</v>
      </c>
      <c r="I164" s="1" t="s">
        <v>888</v>
      </c>
      <c r="N164" s="1">
        <v>35.466598509999997</v>
      </c>
      <c r="O164" s="1">
        <v>-79.175796509999998</v>
      </c>
      <c r="P164" s="1" t="s">
        <v>153</v>
      </c>
      <c r="Q164" s="1" t="s">
        <v>154</v>
      </c>
      <c r="R164" s="1" t="s">
        <v>174</v>
      </c>
      <c r="S164" s="1" t="s">
        <v>208</v>
      </c>
      <c r="T164" s="1" t="s">
        <v>263</v>
      </c>
      <c r="U164" s="1" t="s">
        <v>418</v>
      </c>
      <c r="V164" s="1" t="s">
        <v>160</v>
      </c>
      <c r="W164" s="1" t="s">
        <v>160</v>
      </c>
      <c r="X164" s="1" t="s">
        <v>160</v>
      </c>
      <c r="Y164" s="1" t="s">
        <v>160</v>
      </c>
      <c r="Z164" s="1" t="s">
        <v>160</v>
      </c>
      <c r="AA164" s="1" t="s">
        <v>160</v>
      </c>
      <c r="AB164" s="1" t="s">
        <v>160</v>
      </c>
      <c r="AC164" s="1" t="s">
        <v>160</v>
      </c>
      <c r="AD164" s="1" t="s">
        <v>160</v>
      </c>
      <c r="AE164" s="1" t="s">
        <v>160</v>
      </c>
      <c r="AF164" s="1" t="s">
        <v>160</v>
      </c>
      <c r="AG164" s="1" t="s">
        <v>160</v>
      </c>
      <c r="AH164" s="1">
        <v>3</v>
      </c>
      <c r="AI164" s="1" t="s">
        <v>160</v>
      </c>
      <c r="AJ164" s="1" t="s">
        <v>192</v>
      </c>
      <c r="AK164" s="1" t="s">
        <v>192</v>
      </c>
      <c r="AL164" s="1" t="s">
        <v>163</v>
      </c>
      <c r="AM164" s="1" t="s">
        <v>192</v>
      </c>
      <c r="AN164" s="1" t="s">
        <v>163</v>
      </c>
      <c r="AO164" s="1" t="s">
        <v>165</v>
      </c>
      <c r="AP164" s="1" t="s">
        <v>165</v>
      </c>
      <c r="AQ164" s="1">
        <v>1996</v>
      </c>
      <c r="AR164" s="1" t="s">
        <v>160</v>
      </c>
      <c r="AS164" s="1" t="s">
        <v>160</v>
      </c>
      <c r="AT164" s="1" t="s">
        <v>180</v>
      </c>
      <c r="AU164" s="1" t="s">
        <v>159</v>
      </c>
      <c r="AV164" s="1" t="s">
        <v>159</v>
      </c>
      <c r="AW164" s="1" t="s">
        <v>159</v>
      </c>
      <c r="AX164" s="1" t="s">
        <v>159</v>
      </c>
      <c r="AY164" s="1" t="s">
        <v>159</v>
      </c>
      <c r="AZ164" s="1" t="s">
        <v>159</v>
      </c>
      <c r="BA164" s="1" t="s">
        <v>159</v>
      </c>
      <c r="BB164" s="1" t="s">
        <v>241</v>
      </c>
      <c r="BC164" s="1" t="s">
        <v>160</v>
      </c>
      <c r="BE164" s="1" t="s">
        <v>889</v>
      </c>
      <c r="BF164" s="1" t="s">
        <v>159</v>
      </c>
    </row>
    <row r="165" spans="1:59" ht="13" x14ac:dyDescent="0.15">
      <c r="A165" s="2">
        <v>44175.638194444444</v>
      </c>
      <c r="B165" s="2">
        <v>44175.63958333333</v>
      </c>
      <c r="C165" s="1" t="s">
        <v>39</v>
      </c>
      <c r="D165" s="1" t="s">
        <v>890</v>
      </c>
      <c r="E165" s="1">
        <v>100</v>
      </c>
      <c r="F165" s="1">
        <v>113</v>
      </c>
      <c r="G165" s="1" t="b">
        <v>1</v>
      </c>
      <c r="H165" s="2">
        <v>44175.63958333333</v>
      </c>
      <c r="I165" s="1" t="s">
        <v>891</v>
      </c>
      <c r="N165" s="1">
        <v>35.284301759999998</v>
      </c>
      <c r="O165" s="1">
        <v>-80.760002139999997</v>
      </c>
      <c r="P165" s="1" t="s">
        <v>153</v>
      </c>
      <c r="Q165" s="1" t="s">
        <v>154</v>
      </c>
      <c r="R165" s="1" t="s">
        <v>174</v>
      </c>
      <c r="S165" s="1" t="s">
        <v>208</v>
      </c>
      <c r="T165" s="1" t="s">
        <v>176</v>
      </c>
      <c r="U165" s="1" t="s">
        <v>861</v>
      </c>
      <c r="V165" s="1" t="s">
        <v>159</v>
      </c>
      <c r="W165" s="1" t="s">
        <v>160</v>
      </c>
      <c r="X165" s="1" t="s">
        <v>160</v>
      </c>
      <c r="Y165" s="1" t="s">
        <v>160</v>
      </c>
      <c r="Z165" s="1" t="s">
        <v>160</v>
      </c>
      <c r="AA165" s="1" t="s">
        <v>159</v>
      </c>
      <c r="AB165" s="1" t="s">
        <v>159</v>
      </c>
      <c r="AC165" s="1" t="s">
        <v>160</v>
      </c>
      <c r="AD165" s="1" t="s">
        <v>160</v>
      </c>
      <c r="AE165" s="1" t="s">
        <v>160</v>
      </c>
      <c r="AF165" s="1" t="s">
        <v>160</v>
      </c>
      <c r="AG165" s="1" t="s">
        <v>160</v>
      </c>
      <c r="AH165" s="1">
        <v>4</v>
      </c>
      <c r="AI165" s="1" t="s">
        <v>160</v>
      </c>
      <c r="AJ165" s="1" t="s">
        <v>164</v>
      </c>
      <c r="AK165" s="1" t="s">
        <v>164</v>
      </c>
      <c r="AL165" s="1" t="s">
        <v>163</v>
      </c>
      <c r="AM165" s="1" t="s">
        <v>164</v>
      </c>
      <c r="AN165" s="1" t="s">
        <v>164</v>
      </c>
      <c r="AO165" s="1" t="s">
        <v>179</v>
      </c>
      <c r="AP165" s="1" t="s">
        <v>179</v>
      </c>
      <c r="AQ165" s="1">
        <v>1999</v>
      </c>
      <c r="AR165" s="1" t="s">
        <v>160</v>
      </c>
      <c r="AS165" s="1" t="s">
        <v>159</v>
      </c>
      <c r="AT165" s="1" t="s">
        <v>841</v>
      </c>
      <c r="AU165" s="1" t="s">
        <v>159</v>
      </c>
      <c r="AV165" s="1" t="s">
        <v>159</v>
      </c>
      <c r="AW165" s="1" t="s">
        <v>159</v>
      </c>
      <c r="AX165" s="1" t="s">
        <v>159</v>
      </c>
      <c r="AY165" s="1" t="s">
        <v>159</v>
      </c>
      <c r="AZ165" s="1" t="s">
        <v>159</v>
      </c>
      <c r="BA165" s="1" t="s">
        <v>159</v>
      </c>
      <c r="BB165" s="1" t="s">
        <v>167</v>
      </c>
      <c r="BC165" s="1" t="s">
        <v>159</v>
      </c>
      <c r="BE165" s="1" t="s">
        <v>892</v>
      </c>
      <c r="BF165" s="1" t="s">
        <v>160</v>
      </c>
      <c r="BG165" s="1" t="s">
        <v>892</v>
      </c>
    </row>
    <row r="166" spans="1:59" ht="13" x14ac:dyDescent="0.15">
      <c r="A166" s="2">
        <v>44175.638888888891</v>
      </c>
      <c r="B166" s="2">
        <v>44175.640277777777</v>
      </c>
      <c r="C166" s="1" t="s">
        <v>39</v>
      </c>
      <c r="D166" s="1" t="s">
        <v>234</v>
      </c>
      <c r="E166" s="1">
        <v>100</v>
      </c>
      <c r="F166" s="1">
        <v>117</v>
      </c>
      <c r="G166" s="1" t="b">
        <v>1</v>
      </c>
      <c r="H166" s="2">
        <v>44175.640277777777</v>
      </c>
      <c r="I166" s="1" t="s">
        <v>893</v>
      </c>
      <c r="N166" s="1">
        <v>34.048492430000003</v>
      </c>
      <c r="O166" s="1">
        <v>-118.2528992</v>
      </c>
      <c r="P166" s="1" t="s">
        <v>153</v>
      </c>
      <c r="Q166" s="1" t="s">
        <v>154</v>
      </c>
      <c r="R166" s="1" t="s">
        <v>155</v>
      </c>
      <c r="S166" s="1" t="s">
        <v>310</v>
      </c>
      <c r="T166" s="1" t="s">
        <v>245</v>
      </c>
      <c r="U166" s="1" t="s">
        <v>894</v>
      </c>
      <c r="V166" s="1" t="s">
        <v>160</v>
      </c>
      <c r="W166" s="1" t="s">
        <v>160</v>
      </c>
      <c r="X166" s="1" t="s">
        <v>160</v>
      </c>
      <c r="Y166" s="1" t="s">
        <v>160</v>
      </c>
      <c r="Z166" s="1" t="s">
        <v>160</v>
      </c>
      <c r="AA166" s="1" t="s">
        <v>160</v>
      </c>
      <c r="AB166" s="1" t="s">
        <v>160</v>
      </c>
      <c r="AC166" s="1" t="s">
        <v>160</v>
      </c>
      <c r="AD166" s="1" t="s">
        <v>160</v>
      </c>
      <c r="AE166" s="1" t="s">
        <v>160</v>
      </c>
      <c r="AF166" s="1" t="s">
        <v>160</v>
      </c>
      <c r="AG166" s="1" t="s">
        <v>160</v>
      </c>
      <c r="AI166" s="1" t="s">
        <v>160</v>
      </c>
      <c r="AJ166" s="1" t="s">
        <v>192</v>
      </c>
      <c r="AK166" s="1" t="s">
        <v>192</v>
      </c>
      <c r="AL166" s="1" t="s">
        <v>164</v>
      </c>
      <c r="AM166" s="1" t="s">
        <v>164</v>
      </c>
      <c r="AN166" s="1" t="s">
        <v>163</v>
      </c>
      <c r="AO166" s="1" t="s">
        <v>179</v>
      </c>
      <c r="AP166" s="1" t="s">
        <v>165</v>
      </c>
      <c r="AR166" s="1" t="s">
        <v>160</v>
      </c>
      <c r="AS166" s="1" t="s">
        <v>160</v>
      </c>
      <c r="AT166" s="1" t="s">
        <v>895</v>
      </c>
      <c r="AU166" s="1" t="s">
        <v>159</v>
      </c>
      <c r="AV166" s="1" t="s">
        <v>160</v>
      </c>
      <c r="AW166" s="1" t="s">
        <v>159</v>
      </c>
      <c r="AX166" s="1" t="s">
        <v>160</v>
      </c>
      <c r="AY166" s="1" t="s">
        <v>160</v>
      </c>
      <c r="AZ166" s="1" t="s">
        <v>160</v>
      </c>
      <c r="BA166" s="1" t="s">
        <v>160</v>
      </c>
      <c r="BB166" s="1" t="s">
        <v>181</v>
      </c>
      <c r="BC166" s="1" t="s">
        <v>160</v>
      </c>
      <c r="BD166" s="1" t="s">
        <v>896</v>
      </c>
      <c r="BE166" s="1" t="s">
        <v>897</v>
      </c>
      <c r="BF166" s="1" t="s">
        <v>160</v>
      </c>
    </row>
    <row r="167" spans="1:59" ht="13" x14ac:dyDescent="0.15">
      <c r="A167" s="2">
        <v>44175.638888888891</v>
      </c>
      <c r="B167" s="2">
        <v>44175.640972222223</v>
      </c>
      <c r="C167" s="1" t="s">
        <v>39</v>
      </c>
      <c r="D167" s="1" t="s">
        <v>898</v>
      </c>
      <c r="E167" s="1">
        <v>100</v>
      </c>
      <c r="F167" s="1">
        <v>158</v>
      </c>
      <c r="G167" s="1" t="b">
        <v>1</v>
      </c>
      <c r="H167" s="2">
        <v>44175.640972222223</v>
      </c>
      <c r="I167" s="1" t="s">
        <v>899</v>
      </c>
      <c r="N167" s="1">
        <v>40.726303100000003</v>
      </c>
      <c r="O167" s="1">
        <v>-73.981796259999996</v>
      </c>
      <c r="P167" s="1" t="s">
        <v>153</v>
      </c>
      <c r="Q167" s="1" t="s">
        <v>154</v>
      </c>
      <c r="R167" s="1" t="s">
        <v>155</v>
      </c>
      <c r="S167" s="1" t="s">
        <v>274</v>
      </c>
      <c r="T167" s="1" t="s">
        <v>237</v>
      </c>
      <c r="U167" s="1" t="s">
        <v>900</v>
      </c>
      <c r="V167" s="1" t="s">
        <v>160</v>
      </c>
      <c r="W167" s="1" t="s">
        <v>160</v>
      </c>
      <c r="X167" s="1" t="s">
        <v>160</v>
      </c>
      <c r="Y167" s="1" t="s">
        <v>160</v>
      </c>
      <c r="Z167" s="1" t="s">
        <v>160</v>
      </c>
      <c r="AA167" s="1" t="s">
        <v>160</v>
      </c>
      <c r="AB167" s="1" t="s">
        <v>159</v>
      </c>
      <c r="AC167" s="1" t="s">
        <v>159</v>
      </c>
      <c r="AD167" s="1" t="s">
        <v>160</v>
      </c>
      <c r="AE167" s="1" t="s">
        <v>160</v>
      </c>
      <c r="AF167" s="1" t="s">
        <v>159</v>
      </c>
      <c r="AG167" s="1" t="s">
        <v>160</v>
      </c>
      <c r="AH167" s="1">
        <v>0</v>
      </c>
      <c r="AI167" s="1" t="s">
        <v>160</v>
      </c>
      <c r="AJ167" s="1" t="s">
        <v>192</v>
      </c>
      <c r="AK167" s="1" t="s">
        <v>164</v>
      </c>
      <c r="AL167" s="1" t="s">
        <v>163</v>
      </c>
      <c r="AM167" s="1" t="s">
        <v>192</v>
      </c>
      <c r="AN167" s="1" t="s">
        <v>163</v>
      </c>
      <c r="AO167" s="1" t="s">
        <v>179</v>
      </c>
      <c r="AP167" s="1" t="s">
        <v>179</v>
      </c>
      <c r="AQ167" s="1">
        <v>1989</v>
      </c>
      <c r="AR167" s="1" t="s">
        <v>160</v>
      </c>
      <c r="AS167" s="1" t="s">
        <v>159</v>
      </c>
      <c r="AT167" s="1" t="s">
        <v>180</v>
      </c>
      <c r="AU167" s="1" t="s">
        <v>159</v>
      </c>
      <c r="AV167" s="1" t="s">
        <v>159</v>
      </c>
      <c r="AW167" s="1" t="s">
        <v>159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241</v>
      </c>
      <c r="BC167" s="1" t="s">
        <v>159</v>
      </c>
      <c r="BE167" s="1" t="s">
        <v>901</v>
      </c>
      <c r="BF167" s="1" t="s">
        <v>160</v>
      </c>
      <c r="BG167" s="1" t="s">
        <v>901</v>
      </c>
    </row>
    <row r="168" spans="1:59" ht="13" x14ac:dyDescent="0.15">
      <c r="A168" s="2">
        <v>44175.63958333333</v>
      </c>
      <c r="B168" s="2">
        <v>44175.640972222223</v>
      </c>
      <c r="C168" s="1" t="s">
        <v>39</v>
      </c>
      <c r="D168" s="1" t="s">
        <v>902</v>
      </c>
      <c r="E168" s="1">
        <v>100</v>
      </c>
      <c r="F168" s="1">
        <v>136</v>
      </c>
      <c r="G168" s="1" t="b">
        <v>1</v>
      </c>
      <c r="H168" s="2">
        <v>44175.640972222223</v>
      </c>
      <c r="I168" s="1" t="s">
        <v>903</v>
      </c>
      <c r="N168" s="1">
        <v>41.154495240000003</v>
      </c>
      <c r="O168" s="1">
        <v>-96.138900759999999</v>
      </c>
      <c r="P168" s="1" t="s">
        <v>153</v>
      </c>
      <c r="Q168" s="1" t="s">
        <v>154</v>
      </c>
      <c r="R168" s="1" t="s">
        <v>174</v>
      </c>
      <c r="S168" s="1" t="s">
        <v>208</v>
      </c>
      <c r="T168" s="1" t="s">
        <v>176</v>
      </c>
      <c r="U168" s="1" t="s">
        <v>418</v>
      </c>
      <c r="V168" s="1" t="s">
        <v>160</v>
      </c>
      <c r="W168" s="1" t="s">
        <v>160</v>
      </c>
      <c r="X168" s="1" t="s">
        <v>160</v>
      </c>
      <c r="Y168" s="1" t="s">
        <v>160</v>
      </c>
      <c r="Z168" s="1" t="s">
        <v>160</v>
      </c>
      <c r="AA168" s="1" t="s">
        <v>160</v>
      </c>
      <c r="AB168" s="1" t="s">
        <v>160</v>
      </c>
      <c r="AC168" s="1" t="s">
        <v>160</v>
      </c>
      <c r="AD168" s="1" t="s">
        <v>160</v>
      </c>
      <c r="AE168" s="1" t="s">
        <v>160</v>
      </c>
      <c r="AF168" s="1" t="s">
        <v>160</v>
      </c>
      <c r="AG168" s="1" t="s">
        <v>160</v>
      </c>
      <c r="AH168" s="1">
        <v>4</v>
      </c>
      <c r="AI168" s="1" t="s">
        <v>160</v>
      </c>
      <c r="AJ168" s="1" t="s">
        <v>192</v>
      </c>
      <c r="AK168" s="1" t="s">
        <v>163</v>
      </c>
      <c r="AL168" s="1" t="s">
        <v>192</v>
      </c>
      <c r="AM168" s="1" t="s">
        <v>163</v>
      </c>
      <c r="AN168" s="1" t="s">
        <v>163</v>
      </c>
      <c r="AO168" s="1" t="s">
        <v>165</v>
      </c>
      <c r="AP168" s="1" t="s">
        <v>165</v>
      </c>
      <c r="AQ168" s="1">
        <v>1997</v>
      </c>
      <c r="AR168" s="1" t="s">
        <v>160</v>
      </c>
      <c r="AS168" s="1" t="s">
        <v>160</v>
      </c>
      <c r="AT168" s="1" t="s">
        <v>180</v>
      </c>
      <c r="AU168" s="1" t="s">
        <v>159</v>
      </c>
      <c r="AV168" s="1" t="s">
        <v>159</v>
      </c>
      <c r="AW168" s="1" t="s">
        <v>159</v>
      </c>
      <c r="AX168" s="1" t="s">
        <v>159</v>
      </c>
      <c r="AY168" s="1" t="s">
        <v>159</v>
      </c>
      <c r="AZ168" s="1" t="s">
        <v>159</v>
      </c>
      <c r="BA168" s="1" t="s">
        <v>159</v>
      </c>
      <c r="BB168" s="1" t="s">
        <v>241</v>
      </c>
      <c r="BC168" s="1" t="s">
        <v>160</v>
      </c>
      <c r="BE168" s="1" t="s">
        <v>904</v>
      </c>
      <c r="BF168" s="1" t="s">
        <v>159</v>
      </c>
    </row>
    <row r="169" spans="1:59" ht="13" x14ac:dyDescent="0.15">
      <c r="A169" s="2">
        <v>44175.638194444444</v>
      </c>
      <c r="B169" s="2">
        <v>44175.640972222223</v>
      </c>
      <c r="C169" s="1" t="s">
        <v>39</v>
      </c>
      <c r="D169" s="1" t="s">
        <v>905</v>
      </c>
      <c r="E169" s="1">
        <v>100</v>
      </c>
      <c r="F169" s="1">
        <v>260</v>
      </c>
      <c r="G169" s="1" t="b">
        <v>1</v>
      </c>
      <c r="H169" s="2">
        <v>44175.640972222223</v>
      </c>
      <c r="I169" s="1" t="s">
        <v>906</v>
      </c>
      <c r="N169" s="1">
        <v>35.28419495</v>
      </c>
      <c r="O169" s="1">
        <v>-80.871902469999995</v>
      </c>
      <c r="P169" s="1" t="s">
        <v>153</v>
      </c>
      <c r="Q169" s="1" t="s">
        <v>154</v>
      </c>
      <c r="R169" s="1" t="s">
        <v>174</v>
      </c>
      <c r="S169" s="1" t="s">
        <v>208</v>
      </c>
      <c r="T169" s="1" t="s">
        <v>176</v>
      </c>
      <c r="U169" s="1" t="s">
        <v>907</v>
      </c>
      <c r="V169" s="1" t="s">
        <v>160</v>
      </c>
      <c r="W169" s="1" t="s">
        <v>160</v>
      </c>
      <c r="X169" s="1" t="s">
        <v>160</v>
      </c>
      <c r="Y169" s="1" t="s">
        <v>160</v>
      </c>
      <c r="Z169" s="1" t="s">
        <v>160</v>
      </c>
      <c r="AA169" s="1" t="s">
        <v>160</v>
      </c>
      <c r="AB169" s="1" t="s">
        <v>160</v>
      </c>
      <c r="AC169" s="1" t="s">
        <v>160</v>
      </c>
      <c r="AD169" s="1" t="s">
        <v>160</v>
      </c>
      <c r="AE169" s="1" t="s">
        <v>160</v>
      </c>
      <c r="AF169" s="1" t="s">
        <v>160</v>
      </c>
      <c r="AG169" s="1" t="s">
        <v>160</v>
      </c>
      <c r="AH169" s="1">
        <v>5</v>
      </c>
      <c r="AI169" s="1" t="s">
        <v>160</v>
      </c>
      <c r="AJ169" s="1" t="s">
        <v>164</v>
      </c>
      <c r="AK169" s="1" t="s">
        <v>164</v>
      </c>
      <c r="AL169" s="1" t="s">
        <v>163</v>
      </c>
      <c r="AM169" s="1" t="s">
        <v>164</v>
      </c>
      <c r="AN169" s="1" t="s">
        <v>164</v>
      </c>
      <c r="AO169" s="1" t="s">
        <v>179</v>
      </c>
      <c r="AP169" s="1" t="s">
        <v>179</v>
      </c>
      <c r="AQ169" s="1">
        <v>1998</v>
      </c>
      <c r="AR169" s="1" t="s">
        <v>160</v>
      </c>
      <c r="AS169" s="1" t="s">
        <v>159</v>
      </c>
      <c r="AT169" s="1" t="s">
        <v>322</v>
      </c>
      <c r="AU169" s="1" t="s">
        <v>159</v>
      </c>
      <c r="AV169" s="1" t="s">
        <v>159</v>
      </c>
      <c r="AW169" s="1" t="s">
        <v>159</v>
      </c>
      <c r="AX169" s="1" t="s">
        <v>159</v>
      </c>
      <c r="AY169" s="1" t="s">
        <v>159</v>
      </c>
      <c r="AZ169" s="1" t="s">
        <v>159</v>
      </c>
      <c r="BA169" s="1" t="s">
        <v>159</v>
      </c>
      <c r="BB169" s="1" t="s">
        <v>167</v>
      </c>
      <c r="BC169" s="1" t="s">
        <v>160</v>
      </c>
      <c r="BE169" s="1" t="s">
        <v>908</v>
      </c>
      <c r="BF169" s="1" t="s">
        <v>159</v>
      </c>
    </row>
    <row r="170" spans="1:59" ht="13" x14ac:dyDescent="0.15">
      <c r="A170" s="2">
        <v>44175.638888888891</v>
      </c>
      <c r="B170" s="2">
        <v>44175.640972222223</v>
      </c>
      <c r="C170" s="1" t="s">
        <v>39</v>
      </c>
      <c r="D170" s="1" t="s">
        <v>909</v>
      </c>
      <c r="E170" s="1">
        <v>100</v>
      </c>
      <c r="F170" s="1">
        <v>203</v>
      </c>
      <c r="G170" s="1" t="b">
        <v>1</v>
      </c>
      <c r="H170" s="2">
        <v>44175.640972222223</v>
      </c>
      <c r="I170" s="1" t="s">
        <v>910</v>
      </c>
      <c r="N170" s="1">
        <v>41.902496339999999</v>
      </c>
      <c r="O170" s="1">
        <v>-87.672599790000007</v>
      </c>
      <c r="P170" s="1" t="s">
        <v>153</v>
      </c>
      <c r="Q170" s="1" t="s">
        <v>154</v>
      </c>
      <c r="R170" s="1" t="s">
        <v>174</v>
      </c>
      <c r="S170" s="1" t="s">
        <v>175</v>
      </c>
      <c r="T170" s="1" t="s">
        <v>157</v>
      </c>
      <c r="U170" s="1" t="s">
        <v>790</v>
      </c>
      <c r="V170" s="1" t="s">
        <v>160</v>
      </c>
      <c r="W170" s="1" t="s">
        <v>159</v>
      </c>
      <c r="X170" s="1" t="s">
        <v>159</v>
      </c>
      <c r="Y170" s="1" t="s">
        <v>159</v>
      </c>
      <c r="Z170" s="1" t="s">
        <v>160</v>
      </c>
      <c r="AA170" s="1" t="s">
        <v>159</v>
      </c>
      <c r="AB170" s="1" t="s">
        <v>159</v>
      </c>
      <c r="AC170" s="1" t="s">
        <v>160</v>
      </c>
      <c r="AD170" s="1" t="s">
        <v>159</v>
      </c>
      <c r="AE170" s="1" t="s">
        <v>159</v>
      </c>
      <c r="AF170" s="1" t="s">
        <v>160</v>
      </c>
      <c r="AG170" s="1" t="s">
        <v>160</v>
      </c>
      <c r="AH170" s="1">
        <v>3</v>
      </c>
      <c r="AI170" s="1" t="s">
        <v>160</v>
      </c>
      <c r="AJ170" s="1" t="s">
        <v>163</v>
      </c>
      <c r="AK170" s="1" t="s">
        <v>192</v>
      </c>
      <c r="AL170" s="1" t="s">
        <v>162</v>
      </c>
      <c r="AM170" s="1" t="s">
        <v>163</v>
      </c>
      <c r="AN170" s="1" t="s">
        <v>162</v>
      </c>
      <c r="AO170" s="1" t="s">
        <v>179</v>
      </c>
      <c r="AP170" s="1" t="s">
        <v>179</v>
      </c>
      <c r="AQ170" s="1">
        <v>2000</v>
      </c>
      <c r="AR170" s="1" t="s">
        <v>160</v>
      </c>
      <c r="AS170" s="1" t="s">
        <v>159</v>
      </c>
      <c r="AT170" s="1" t="s">
        <v>180</v>
      </c>
      <c r="AU170" s="1" t="s">
        <v>160</v>
      </c>
      <c r="AV170" s="1" t="s">
        <v>159</v>
      </c>
      <c r="AW170" s="1" t="s">
        <v>160</v>
      </c>
      <c r="AX170" s="1" t="s">
        <v>159</v>
      </c>
      <c r="AY170" s="1" t="s">
        <v>159</v>
      </c>
      <c r="AZ170" s="1" t="s">
        <v>160</v>
      </c>
      <c r="BA170" s="1" t="s">
        <v>159</v>
      </c>
      <c r="BB170" s="1" t="s">
        <v>167</v>
      </c>
      <c r="BC170" s="1" t="s">
        <v>159</v>
      </c>
      <c r="BE170" s="1" t="s">
        <v>911</v>
      </c>
      <c r="BF170" s="1" t="s">
        <v>160</v>
      </c>
      <c r="BG170" s="1" t="s">
        <v>911</v>
      </c>
    </row>
    <row r="171" spans="1:59" ht="13" x14ac:dyDescent="0.15">
      <c r="A171" s="2">
        <v>44175.637499999997</v>
      </c>
      <c r="B171" s="2">
        <v>44175.640972222223</v>
      </c>
      <c r="C171" s="1" t="s">
        <v>39</v>
      </c>
      <c r="D171" s="1" t="s">
        <v>912</v>
      </c>
      <c r="E171" s="1">
        <v>100</v>
      </c>
      <c r="F171" s="1">
        <v>309</v>
      </c>
      <c r="G171" s="1" t="b">
        <v>1</v>
      </c>
      <c r="H171" s="2">
        <v>44175.640972222223</v>
      </c>
      <c r="I171" s="1" t="s">
        <v>913</v>
      </c>
      <c r="N171" s="1">
        <v>41.945999149999999</v>
      </c>
      <c r="O171" s="1">
        <v>-87.703300479999996</v>
      </c>
      <c r="P171" s="1" t="s">
        <v>153</v>
      </c>
      <c r="Q171" s="1" t="s">
        <v>154</v>
      </c>
      <c r="R171" s="1" t="s">
        <v>155</v>
      </c>
      <c r="S171" s="1" t="s">
        <v>274</v>
      </c>
      <c r="T171" s="1" t="s">
        <v>176</v>
      </c>
      <c r="U171" s="1" t="s">
        <v>914</v>
      </c>
      <c r="V171" s="1" t="s">
        <v>160</v>
      </c>
      <c r="W171" s="1" t="s">
        <v>160</v>
      </c>
      <c r="X171" s="1" t="s">
        <v>160</v>
      </c>
      <c r="Y171" s="1" t="s">
        <v>160</v>
      </c>
      <c r="Z171" s="1" t="s">
        <v>160</v>
      </c>
      <c r="AA171" s="1" t="s">
        <v>159</v>
      </c>
      <c r="AB171" s="1" t="s">
        <v>160</v>
      </c>
      <c r="AC171" s="1" t="s">
        <v>160</v>
      </c>
      <c r="AD171" s="1" t="s">
        <v>159</v>
      </c>
      <c r="AE171" s="1" t="s">
        <v>159</v>
      </c>
      <c r="AF171" s="1" t="s">
        <v>160</v>
      </c>
      <c r="AG171" s="1" t="s">
        <v>160</v>
      </c>
      <c r="AH171" s="1">
        <v>6</v>
      </c>
      <c r="AI171" s="1" t="s">
        <v>160</v>
      </c>
      <c r="AJ171" s="1" t="s">
        <v>192</v>
      </c>
      <c r="AK171" s="1" t="s">
        <v>198</v>
      </c>
      <c r="AL171" s="1" t="s">
        <v>164</v>
      </c>
      <c r="AM171" s="1" t="s">
        <v>163</v>
      </c>
      <c r="AN171" s="1" t="s">
        <v>162</v>
      </c>
      <c r="AP171" s="1" t="s">
        <v>165</v>
      </c>
      <c r="AQ171" s="1">
        <v>1998</v>
      </c>
      <c r="AR171" s="1" t="s">
        <v>160</v>
      </c>
      <c r="AS171" s="1" t="s">
        <v>159</v>
      </c>
      <c r="AT171" s="1" t="s">
        <v>180</v>
      </c>
      <c r="AU171" s="1" t="s">
        <v>159</v>
      </c>
      <c r="AV171" s="1" t="s">
        <v>159</v>
      </c>
      <c r="AW171" s="1" t="s">
        <v>159</v>
      </c>
      <c r="AX171" s="1" t="s">
        <v>159</v>
      </c>
      <c r="AY171" s="1" t="s">
        <v>159</v>
      </c>
      <c r="AZ171" s="1" t="s">
        <v>159</v>
      </c>
      <c r="BA171" s="1" t="s">
        <v>159</v>
      </c>
      <c r="BB171" s="1" t="s">
        <v>167</v>
      </c>
      <c r="BC171" s="1" t="s">
        <v>159</v>
      </c>
      <c r="BD171" s="1" t="s">
        <v>915</v>
      </c>
      <c r="BE171" s="1" t="s">
        <v>916</v>
      </c>
      <c r="BF171" s="1" t="s">
        <v>159</v>
      </c>
    </row>
    <row r="172" spans="1:59" ht="13" x14ac:dyDescent="0.15">
      <c r="A172" s="2">
        <v>44175.640972222223</v>
      </c>
      <c r="B172" s="2">
        <v>44175.64166666667</v>
      </c>
      <c r="C172" s="1" t="s">
        <v>39</v>
      </c>
      <c r="D172" s="1" t="s">
        <v>917</v>
      </c>
      <c r="E172" s="1">
        <v>100</v>
      </c>
      <c r="F172" s="1">
        <v>81</v>
      </c>
      <c r="G172" s="1" t="b">
        <v>1</v>
      </c>
      <c r="H172" s="2">
        <v>44175.64166666667</v>
      </c>
      <c r="I172" s="1" t="s">
        <v>918</v>
      </c>
      <c r="N172" s="1">
        <v>41.945999149999999</v>
      </c>
      <c r="O172" s="1">
        <v>-87.703300479999996</v>
      </c>
      <c r="P172" s="1" t="s">
        <v>153</v>
      </c>
      <c r="Q172" s="1" t="s">
        <v>154</v>
      </c>
      <c r="R172" s="1" t="s">
        <v>174</v>
      </c>
      <c r="S172" s="1" t="s">
        <v>208</v>
      </c>
      <c r="T172" s="1" t="s">
        <v>263</v>
      </c>
      <c r="U172" s="1" t="s">
        <v>919</v>
      </c>
      <c r="V172" s="1" t="s">
        <v>160</v>
      </c>
      <c r="W172" s="1" t="s">
        <v>160</v>
      </c>
      <c r="X172" s="1" t="s">
        <v>160</v>
      </c>
      <c r="Y172" s="1" t="s">
        <v>160</v>
      </c>
      <c r="Z172" s="1" t="s">
        <v>160</v>
      </c>
      <c r="AA172" s="1" t="s">
        <v>159</v>
      </c>
      <c r="AB172" s="1" t="s">
        <v>159</v>
      </c>
      <c r="AC172" s="1" t="s">
        <v>159</v>
      </c>
      <c r="AD172" s="1" t="s">
        <v>160</v>
      </c>
      <c r="AE172" s="1" t="s">
        <v>160</v>
      </c>
      <c r="AF172" s="1" t="s">
        <v>159</v>
      </c>
      <c r="AG172" s="1" t="s">
        <v>160</v>
      </c>
      <c r="AH172" s="1">
        <v>1</v>
      </c>
      <c r="AI172" s="1" t="s">
        <v>160</v>
      </c>
      <c r="AJ172" s="1" t="s">
        <v>164</v>
      </c>
      <c r="AK172" s="1" t="s">
        <v>192</v>
      </c>
      <c r="AL172" s="1" t="s">
        <v>163</v>
      </c>
      <c r="AM172" s="1" t="s">
        <v>192</v>
      </c>
      <c r="AN172" s="1" t="s">
        <v>163</v>
      </c>
      <c r="AP172" s="1" t="s">
        <v>165</v>
      </c>
      <c r="AQ172" s="1">
        <v>1892</v>
      </c>
      <c r="AR172" s="1" t="s">
        <v>160</v>
      </c>
      <c r="AS172" s="1" t="s">
        <v>159</v>
      </c>
      <c r="AT172" s="1" t="s">
        <v>180</v>
      </c>
      <c r="AU172" s="1" t="s">
        <v>159</v>
      </c>
      <c r="AV172" s="1" t="s">
        <v>159</v>
      </c>
      <c r="AW172" s="1" t="s">
        <v>159</v>
      </c>
      <c r="AX172" s="1" t="s">
        <v>159</v>
      </c>
      <c r="AY172" s="1" t="s">
        <v>159</v>
      </c>
      <c r="AZ172" s="1" t="s">
        <v>159</v>
      </c>
      <c r="BA172" s="1" t="s">
        <v>159</v>
      </c>
      <c r="BB172" s="1" t="s">
        <v>241</v>
      </c>
      <c r="BC172" s="1" t="s">
        <v>159</v>
      </c>
      <c r="BE172" s="1" t="s">
        <v>920</v>
      </c>
      <c r="BF172" s="1" t="s">
        <v>159</v>
      </c>
    </row>
    <row r="173" spans="1:59" ht="13" x14ac:dyDescent="0.15">
      <c r="A173" s="2">
        <v>44175.640277777777</v>
      </c>
      <c r="B173" s="2">
        <v>44175.64166666667</v>
      </c>
      <c r="C173" s="1" t="s">
        <v>39</v>
      </c>
      <c r="D173" s="1" t="s">
        <v>234</v>
      </c>
      <c r="E173" s="1">
        <v>100</v>
      </c>
      <c r="F173" s="1">
        <v>116</v>
      </c>
      <c r="G173" s="1" t="b">
        <v>1</v>
      </c>
      <c r="H173" s="2">
        <v>44175.64166666667</v>
      </c>
      <c r="I173" s="1" t="s">
        <v>921</v>
      </c>
      <c r="N173" s="1">
        <v>34.048492430000003</v>
      </c>
      <c r="O173" s="1">
        <v>-118.2528992</v>
      </c>
      <c r="P173" s="1" t="s">
        <v>153</v>
      </c>
      <c r="Q173" s="1" t="s">
        <v>154</v>
      </c>
      <c r="R173" s="1" t="s">
        <v>155</v>
      </c>
      <c r="S173" s="1" t="s">
        <v>175</v>
      </c>
      <c r="T173" s="1" t="s">
        <v>237</v>
      </c>
      <c r="U173" s="1" t="s">
        <v>922</v>
      </c>
      <c r="V173" s="1" t="s">
        <v>160</v>
      </c>
      <c r="W173" s="1" t="s">
        <v>160</v>
      </c>
      <c r="X173" s="1" t="s">
        <v>160</v>
      </c>
      <c r="Y173" s="1" t="s">
        <v>160</v>
      </c>
      <c r="Z173" s="1" t="s">
        <v>160</v>
      </c>
      <c r="AA173" s="1" t="s">
        <v>160</v>
      </c>
      <c r="AB173" s="1" t="s">
        <v>160</v>
      </c>
      <c r="AC173" s="1" t="s">
        <v>160</v>
      </c>
      <c r="AD173" s="1" t="s">
        <v>160</v>
      </c>
      <c r="AE173" s="1" t="s">
        <v>160</v>
      </c>
      <c r="AF173" s="1" t="s">
        <v>160</v>
      </c>
      <c r="AG173" s="1" t="s">
        <v>160</v>
      </c>
      <c r="AI173" s="1" t="s">
        <v>160</v>
      </c>
      <c r="AJ173" s="1" t="s">
        <v>164</v>
      </c>
      <c r="AK173" s="1" t="s">
        <v>164</v>
      </c>
      <c r="AL173" s="1" t="s">
        <v>198</v>
      </c>
      <c r="AM173" s="1" t="s">
        <v>163</v>
      </c>
      <c r="AN173" s="1" t="s">
        <v>192</v>
      </c>
      <c r="AO173" s="1" t="s">
        <v>179</v>
      </c>
      <c r="AP173" s="1" t="s">
        <v>165</v>
      </c>
      <c r="AR173" s="1" t="s">
        <v>160</v>
      </c>
      <c r="AS173" s="1" t="s">
        <v>160</v>
      </c>
      <c r="AT173" s="1" t="s">
        <v>923</v>
      </c>
      <c r="AU173" s="1" t="s">
        <v>159</v>
      </c>
      <c r="AV173" s="1" t="s">
        <v>159</v>
      </c>
      <c r="AW173" s="1" t="s">
        <v>160</v>
      </c>
      <c r="AX173" s="1" t="s">
        <v>159</v>
      </c>
      <c r="AY173" s="1" t="s">
        <v>160</v>
      </c>
      <c r="AZ173" s="1" t="s">
        <v>159</v>
      </c>
      <c r="BA173" s="1" t="s">
        <v>159</v>
      </c>
      <c r="BB173" s="1" t="s">
        <v>167</v>
      </c>
      <c r="BC173" s="1" t="s">
        <v>160</v>
      </c>
      <c r="BD173" s="1" t="s">
        <v>554</v>
      </c>
      <c r="BE173" s="1" t="s">
        <v>924</v>
      </c>
      <c r="BF173" s="1" t="s">
        <v>160</v>
      </c>
    </row>
    <row r="174" spans="1:59" ht="13" x14ac:dyDescent="0.15">
      <c r="A174" s="2">
        <v>44175.63958333333</v>
      </c>
      <c r="B174" s="2">
        <v>44175.642361111109</v>
      </c>
      <c r="C174" s="1" t="s">
        <v>39</v>
      </c>
      <c r="D174" s="1" t="s">
        <v>925</v>
      </c>
      <c r="E174" s="1">
        <v>100</v>
      </c>
      <c r="F174" s="1">
        <v>239</v>
      </c>
      <c r="G174" s="1" t="b">
        <v>1</v>
      </c>
      <c r="H174" s="2">
        <v>44175.642361111109</v>
      </c>
      <c r="I174" s="1" t="s">
        <v>926</v>
      </c>
      <c r="N174" s="1">
        <v>41.809494020000002</v>
      </c>
      <c r="O174" s="1">
        <v>-87.65219879</v>
      </c>
      <c r="P174" s="1" t="s">
        <v>153</v>
      </c>
      <c r="Q174" s="1" t="s">
        <v>154</v>
      </c>
      <c r="R174" s="1" t="s">
        <v>174</v>
      </c>
      <c r="S174" s="1" t="s">
        <v>175</v>
      </c>
      <c r="T174" s="1" t="s">
        <v>176</v>
      </c>
      <c r="U174" s="1" t="s">
        <v>861</v>
      </c>
      <c r="V174" s="1" t="s">
        <v>160</v>
      </c>
      <c r="W174" s="1" t="s">
        <v>160</v>
      </c>
      <c r="X174" s="1" t="s">
        <v>160</v>
      </c>
      <c r="Y174" s="1" t="s">
        <v>160</v>
      </c>
      <c r="Z174" s="1" t="s">
        <v>160</v>
      </c>
      <c r="AA174" s="1" t="s">
        <v>160</v>
      </c>
      <c r="AB174" s="1" t="s">
        <v>160</v>
      </c>
      <c r="AC174" s="1" t="s">
        <v>160</v>
      </c>
      <c r="AD174" s="1" t="s">
        <v>160</v>
      </c>
      <c r="AE174" s="1" t="s">
        <v>160</v>
      </c>
      <c r="AF174" s="1" t="s">
        <v>160</v>
      </c>
      <c r="AG174" s="1" t="s">
        <v>160</v>
      </c>
      <c r="AH174" s="1">
        <v>4</v>
      </c>
      <c r="AI174" s="1" t="s">
        <v>160</v>
      </c>
      <c r="AJ174" s="1" t="s">
        <v>163</v>
      </c>
      <c r="AK174" s="1" t="s">
        <v>164</v>
      </c>
      <c r="AL174" s="1" t="s">
        <v>163</v>
      </c>
      <c r="AM174" s="1" t="s">
        <v>164</v>
      </c>
      <c r="AN174" s="1" t="s">
        <v>164</v>
      </c>
      <c r="AO174" s="1" t="s">
        <v>179</v>
      </c>
      <c r="AP174" s="1" t="s">
        <v>179</v>
      </c>
      <c r="AQ174" s="1">
        <v>1998</v>
      </c>
      <c r="AR174" s="1" t="s">
        <v>160</v>
      </c>
      <c r="AS174" s="1" t="s">
        <v>159</v>
      </c>
      <c r="AT174" s="1" t="s">
        <v>166</v>
      </c>
      <c r="AU174" s="1" t="s">
        <v>159</v>
      </c>
      <c r="AV174" s="1" t="s">
        <v>159</v>
      </c>
      <c r="AW174" s="1" t="s">
        <v>159</v>
      </c>
      <c r="AX174" s="1" t="s">
        <v>159</v>
      </c>
      <c r="AY174" s="1" t="s">
        <v>159</v>
      </c>
      <c r="AZ174" s="1" t="s">
        <v>159</v>
      </c>
      <c r="BA174" s="1" t="s">
        <v>159</v>
      </c>
      <c r="BB174" s="1" t="s">
        <v>167</v>
      </c>
      <c r="BC174" s="1" t="s">
        <v>160</v>
      </c>
      <c r="BE174" s="1" t="s">
        <v>927</v>
      </c>
      <c r="BF174" s="1" t="s">
        <v>160</v>
      </c>
      <c r="BG174" s="1" t="s">
        <v>927</v>
      </c>
    </row>
    <row r="175" spans="1:59" ht="13" x14ac:dyDescent="0.15">
      <c r="A175" s="2">
        <v>44175.642361111109</v>
      </c>
      <c r="B175" s="2">
        <v>44175.643750000003</v>
      </c>
      <c r="C175" s="1" t="s">
        <v>39</v>
      </c>
      <c r="D175" s="1" t="s">
        <v>234</v>
      </c>
      <c r="E175" s="1">
        <v>100</v>
      </c>
      <c r="F175" s="1">
        <v>116</v>
      </c>
      <c r="G175" s="1" t="b">
        <v>1</v>
      </c>
      <c r="H175" s="2">
        <v>44175.643750000003</v>
      </c>
      <c r="I175" s="1" t="s">
        <v>928</v>
      </c>
      <c r="N175" s="1">
        <v>34.048492430000003</v>
      </c>
      <c r="O175" s="1">
        <v>-118.2528992</v>
      </c>
      <c r="P175" s="1" t="s">
        <v>153</v>
      </c>
      <c r="Q175" s="1" t="s">
        <v>154</v>
      </c>
      <c r="R175" s="1" t="s">
        <v>236</v>
      </c>
      <c r="S175" s="1" t="s">
        <v>208</v>
      </c>
      <c r="T175" s="1" t="s">
        <v>237</v>
      </c>
      <c r="U175" s="1" t="s">
        <v>929</v>
      </c>
      <c r="V175" s="1" t="s">
        <v>160</v>
      </c>
      <c r="W175" s="1" t="s">
        <v>160</v>
      </c>
      <c r="X175" s="1" t="s">
        <v>160</v>
      </c>
      <c r="Y175" s="1" t="s">
        <v>160</v>
      </c>
      <c r="Z175" s="1" t="s">
        <v>160</v>
      </c>
      <c r="AA175" s="1" t="s">
        <v>160</v>
      </c>
      <c r="AB175" s="1" t="s">
        <v>160</v>
      </c>
      <c r="AC175" s="1" t="s">
        <v>160</v>
      </c>
      <c r="AD175" s="1" t="s">
        <v>160</v>
      </c>
      <c r="AE175" s="1" t="s">
        <v>160</v>
      </c>
      <c r="AF175" s="1" t="s">
        <v>160</v>
      </c>
      <c r="AG175" s="1" t="s">
        <v>160</v>
      </c>
      <c r="AI175" s="1" t="s">
        <v>160</v>
      </c>
      <c r="AJ175" s="1" t="s">
        <v>198</v>
      </c>
      <c r="AK175" s="1" t="s">
        <v>192</v>
      </c>
      <c r="AL175" s="1" t="s">
        <v>163</v>
      </c>
      <c r="AM175" s="1" t="s">
        <v>198</v>
      </c>
      <c r="AN175" s="1" t="s">
        <v>192</v>
      </c>
      <c r="AO175" s="1" t="s">
        <v>179</v>
      </c>
      <c r="AP175" s="1" t="s">
        <v>179</v>
      </c>
      <c r="AR175" s="1" t="s">
        <v>160</v>
      </c>
      <c r="AS175" s="1" t="s">
        <v>160</v>
      </c>
      <c r="AT175" s="1" t="s">
        <v>930</v>
      </c>
      <c r="AU175" s="1" t="s">
        <v>160</v>
      </c>
      <c r="AV175" s="1" t="s">
        <v>160</v>
      </c>
      <c r="AW175" s="1" t="s">
        <v>160</v>
      </c>
      <c r="AX175" s="1" t="s">
        <v>160</v>
      </c>
      <c r="AY175" s="1" t="s">
        <v>160</v>
      </c>
      <c r="AZ175" s="1" t="s">
        <v>160</v>
      </c>
      <c r="BA175" s="1" t="s">
        <v>160</v>
      </c>
      <c r="BB175" s="1" t="s">
        <v>241</v>
      </c>
      <c r="BC175" s="1" t="s">
        <v>160</v>
      </c>
      <c r="BD175" s="1" t="s">
        <v>931</v>
      </c>
      <c r="BE175" s="1" t="s">
        <v>932</v>
      </c>
      <c r="BF175" s="1" t="s">
        <v>160</v>
      </c>
    </row>
    <row r="176" spans="1:59" ht="13" x14ac:dyDescent="0.15">
      <c r="A176" s="2">
        <v>44175.640972222223</v>
      </c>
      <c r="B176" s="2">
        <v>44175.643750000003</v>
      </c>
      <c r="C176" s="1" t="s">
        <v>39</v>
      </c>
      <c r="D176" s="1" t="s">
        <v>933</v>
      </c>
      <c r="E176" s="1">
        <v>100</v>
      </c>
      <c r="F176" s="1">
        <v>219</v>
      </c>
      <c r="G176" s="1" t="b">
        <v>1</v>
      </c>
      <c r="H176" s="2">
        <v>44175.643750000003</v>
      </c>
      <c r="I176" s="1" t="s">
        <v>934</v>
      </c>
      <c r="N176" s="1">
        <v>41.992797850000002</v>
      </c>
      <c r="O176" s="1">
        <v>-87.805397029999995</v>
      </c>
      <c r="P176" s="1" t="s">
        <v>153</v>
      </c>
      <c r="Q176" s="1" t="s">
        <v>154</v>
      </c>
      <c r="R176" s="1" t="s">
        <v>174</v>
      </c>
      <c r="S176" s="1" t="s">
        <v>175</v>
      </c>
      <c r="T176" s="1" t="s">
        <v>176</v>
      </c>
      <c r="U176" s="1" t="s">
        <v>935</v>
      </c>
      <c r="V176" s="1" t="s">
        <v>160</v>
      </c>
      <c r="W176" s="1" t="s">
        <v>160</v>
      </c>
      <c r="X176" s="1" t="s">
        <v>160</v>
      </c>
      <c r="Y176" s="1" t="s">
        <v>160</v>
      </c>
      <c r="Z176" s="1" t="s">
        <v>160</v>
      </c>
      <c r="AA176" s="1" t="s">
        <v>160</v>
      </c>
      <c r="AB176" s="1" t="s">
        <v>160</v>
      </c>
      <c r="AC176" s="1" t="s">
        <v>160</v>
      </c>
      <c r="AD176" s="1" t="s">
        <v>160</v>
      </c>
      <c r="AE176" s="1" t="s">
        <v>160</v>
      </c>
      <c r="AF176" s="1" t="s">
        <v>160</v>
      </c>
      <c r="AG176" s="1" t="s">
        <v>160</v>
      </c>
      <c r="AH176" s="1">
        <v>5</v>
      </c>
      <c r="AI176" s="1" t="s">
        <v>160</v>
      </c>
      <c r="AJ176" s="1" t="s">
        <v>164</v>
      </c>
      <c r="AK176" s="1" t="s">
        <v>164</v>
      </c>
      <c r="AL176" s="1" t="s">
        <v>163</v>
      </c>
      <c r="AM176" s="1" t="s">
        <v>164</v>
      </c>
      <c r="AN176" s="1" t="s">
        <v>164</v>
      </c>
      <c r="AO176" s="1" t="s">
        <v>179</v>
      </c>
      <c r="AP176" s="1" t="s">
        <v>179</v>
      </c>
      <c r="AQ176" s="1">
        <v>1996</v>
      </c>
      <c r="AR176" s="1" t="s">
        <v>160</v>
      </c>
      <c r="AS176" s="1" t="s">
        <v>159</v>
      </c>
      <c r="AT176" s="1" t="s">
        <v>203</v>
      </c>
      <c r="AU176" s="1" t="s">
        <v>159</v>
      </c>
      <c r="AV176" s="1" t="s">
        <v>159</v>
      </c>
      <c r="AW176" s="1" t="s">
        <v>159</v>
      </c>
      <c r="AX176" s="1" t="s">
        <v>159</v>
      </c>
      <c r="AY176" s="1" t="s">
        <v>159</v>
      </c>
      <c r="AZ176" s="1" t="s">
        <v>159</v>
      </c>
      <c r="BA176" s="1" t="s">
        <v>159</v>
      </c>
      <c r="BB176" s="1" t="s">
        <v>167</v>
      </c>
      <c r="BC176" s="1" t="s">
        <v>160</v>
      </c>
      <c r="BE176" s="1" t="s">
        <v>936</v>
      </c>
      <c r="BF176" s="1" t="s">
        <v>160</v>
      </c>
      <c r="BG176" s="1" t="s">
        <v>936</v>
      </c>
    </row>
    <row r="177" spans="1:59" ht="13" x14ac:dyDescent="0.15">
      <c r="A177" s="2">
        <v>44175.64166666667</v>
      </c>
      <c r="B177" s="2">
        <v>44175.643750000003</v>
      </c>
      <c r="C177" s="1" t="s">
        <v>39</v>
      </c>
      <c r="D177" s="1" t="s">
        <v>937</v>
      </c>
      <c r="E177" s="1">
        <v>100</v>
      </c>
      <c r="F177" s="1">
        <v>169</v>
      </c>
      <c r="G177" s="1" t="b">
        <v>1</v>
      </c>
      <c r="H177" s="2">
        <v>44175.643750000003</v>
      </c>
      <c r="I177" s="1" t="s">
        <v>938</v>
      </c>
      <c r="N177" s="1">
        <v>33.057998660000003</v>
      </c>
      <c r="O177" s="1">
        <v>-80.010101320000004</v>
      </c>
      <c r="P177" s="1" t="s">
        <v>153</v>
      </c>
      <c r="Q177" s="1" t="s">
        <v>154</v>
      </c>
      <c r="R177" s="1" t="s">
        <v>155</v>
      </c>
      <c r="S177" s="1" t="s">
        <v>226</v>
      </c>
      <c r="T177" s="1" t="s">
        <v>157</v>
      </c>
      <c r="U177" s="1" t="s">
        <v>202</v>
      </c>
      <c r="V177" s="1" t="s">
        <v>159</v>
      </c>
      <c r="W177" s="1" t="s">
        <v>160</v>
      </c>
      <c r="X177" s="1" t="s">
        <v>160</v>
      </c>
      <c r="Y177" s="1" t="s">
        <v>160</v>
      </c>
      <c r="Z177" s="1" t="s">
        <v>160</v>
      </c>
      <c r="AA177" s="1" t="s">
        <v>159</v>
      </c>
      <c r="AB177" s="1" t="s">
        <v>160</v>
      </c>
      <c r="AC177" s="1" t="s">
        <v>160</v>
      </c>
      <c r="AD177" s="1" t="s">
        <v>159</v>
      </c>
      <c r="AE177" s="1" t="s">
        <v>160</v>
      </c>
      <c r="AF177" s="1" t="s">
        <v>159</v>
      </c>
      <c r="AG177" s="1" t="s">
        <v>160</v>
      </c>
      <c r="AH177" s="1">
        <v>5</v>
      </c>
      <c r="AI177" s="1" t="s">
        <v>160</v>
      </c>
      <c r="AJ177" s="1" t="s">
        <v>163</v>
      </c>
      <c r="AK177" s="1" t="s">
        <v>164</v>
      </c>
      <c r="AL177" s="1" t="s">
        <v>192</v>
      </c>
      <c r="AM177" s="1" t="s">
        <v>163</v>
      </c>
      <c r="AN177" s="1" t="s">
        <v>162</v>
      </c>
      <c r="AO177" s="1" t="s">
        <v>179</v>
      </c>
      <c r="AP177" s="1" t="s">
        <v>179</v>
      </c>
      <c r="AQ177" s="1">
        <v>1999</v>
      </c>
      <c r="AR177" s="1" t="s">
        <v>160</v>
      </c>
      <c r="AS177" s="1" t="s">
        <v>159</v>
      </c>
      <c r="AT177" s="1" t="s">
        <v>180</v>
      </c>
      <c r="AU177" s="1" t="s">
        <v>159</v>
      </c>
      <c r="AV177" s="1" t="s">
        <v>159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181</v>
      </c>
      <c r="BC177" s="1" t="s">
        <v>159</v>
      </c>
      <c r="BE177" s="1" t="s">
        <v>939</v>
      </c>
      <c r="BF177" s="1" t="s">
        <v>159</v>
      </c>
    </row>
    <row r="178" spans="1:59" ht="13" x14ac:dyDescent="0.15">
      <c r="A178" s="2">
        <v>44175.643750000003</v>
      </c>
      <c r="B178" s="2">
        <v>44175.645138888889</v>
      </c>
      <c r="C178" s="1" t="s">
        <v>39</v>
      </c>
      <c r="D178" s="1" t="s">
        <v>940</v>
      </c>
      <c r="E178" s="1">
        <v>100</v>
      </c>
      <c r="F178" s="1">
        <v>136</v>
      </c>
      <c r="G178" s="1" t="b">
        <v>1</v>
      </c>
      <c r="H178" s="2">
        <v>44175.645138888889</v>
      </c>
      <c r="I178" s="1" t="s">
        <v>941</v>
      </c>
      <c r="N178" s="1">
        <v>41.891998289999997</v>
      </c>
      <c r="O178" s="1">
        <v>-87.641601559999998</v>
      </c>
      <c r="P178" s="1" t="s">
        <v>153</v>
      </c>
      <c r="Q178" s="1" t="s">
        <v>154</v>
      </c>
      <c r="R178" s="1" t="s">
        <v>174</v>
      </c>
      <c r="S178" s="1" t="s">
        <v>175</v>
      </c>
      <c r="T178" s="1" t="s">
        <v>176</v>
      </c>
      <c r="U178" s="1" t="s">
        <v>251</v>
      </c>
      <c r="V178" s="1" t="s">
        <v>160</v>
      </c>
      <c r="W178" s="1" t="s">
        <v>159</v>
      </c>
      <c r="X178" s="1" t="s">
        <v>160</v>
      </c>
      <c r="Y178" s="1" t="s">
        <v>160</v>
      </c>
      <c r="Z178" s="1" t="s">
        <v>160</v>
      </c>
      <c r="AA178" s="1" t="s">
        <v>159</v>
      </c>
      <c r="AB178" s="1" t="s">
        <v>159</v>
      </c>
      <c r="AC178" s="1" t="s">
        <v>159</v>
      </c>
      <c r="AD178" s="1" t="s">
        <v>160</v>
      </c>
      <c r="AE178" s="1" t="s">
        <v>160</v>
      </c>
      <c r="AF178" s="1" t="s">
        <v>159</v>
      </c>
      <c r="AG178" s="1" t="s">
        <v>160</v>
      </c>
      <c r="AH178" s="1">
        <v>2</v>
      </c>
      <c r="AI178" s="1" t="s">
        <v>160</v>
      </c>
      <c r="AJ178" s="1" t="s">
        <v>164</v>
      </c>
      <c r="AK178" s="1" t="s">
        <v>163</v>
      </c>
      <c r="AL178" s="1" t="s">
        <v>192</v>
      </c>
      <c r="AM178" s="1" t="s">
        <v>164</v>
      </c>
      <c r="AN178" s="1" t="s">
        <v>163</v>
      </c>
      <c r="AO178" s="1" t="s">
        <v>179</v>
      </c>
      <c r="AP178" s="1" t="s">
        <v>179</v>
      </c>
      <c r="AQ178" s="1">
        <v>1985</v>
      </c>
      <c r="AR178" s="1" t="s">
        <v>160</v>
      </c>
      <c r="AS178" s="1" t="s">
        <v>159</v>
      </c>
      <c r="AT178" s="1" t="s">
        <v>312</v>
      </c>
      <c r="AU178" s="1" t="s">
        <v>159</v>
      </c>
      <c r="AV178" s="1" t="s">
        <v>159</v>
      </c>
      <c r="AW178" s="1" t="s">
        <v>159</v>
      </c>
      <c r="AX178" s="1" t="s">
        <v>159</v>
      </c>
      <c r="AY178" s="1" t="s">
        <v>159</v>
      </c>
      <c r="AZ178" s="1" t="s">
        <v>159</v>
      </c>
      <c r="BA178" s="1" t="s">
        <v>159</v>
      </c>
      <c r="BB178" s="1" t="s">
        <v>241</v>
      </c>
      <c r="BC178" s="1" t="s">
        <v>159</v>
      </c>
      <c r="BE178" s="1" t="s">
        <v>942</v>
      </c>
      <c r="BF178" s="1" t="s">
        <v>159</v>
      </c>
    </row>
    <row r="179" spans="1:59" ht="13" x14ac:dyDescent="0.15">
      <c r="A179" s="2">
        <v>44175.643750000003</v>
      </c>
      <c r="B179" s="2">
        <v>44175.645138888889</v>
      </c>
      <c r="C179" s="1" t="s">
        <v>39</v>
      </c>
      <c r="D179" s="1" t="s">
        <v>234</v>
      </c>
      <c r="E179" s="1">
        <v>100</v>
      </c>
      <c r="F179" s="1">
        <v>115</v>
      </c>
      <c r="G179" s="1" t="b">
        <v>1</v>
      </c>
      <c r="H179" s="2">
        <v>44175.645138888889</v>
      </c>
      <c r="I179" s="1" t="s">
        <v>943</v>
      </c>
      <c r="N179" s="1">
        <v>34.048492430000003</v>
      </c>
      <c r="O179" s="1">
        <v>-118.2528992</v>
      </c>
      <c r="P179" s="1" t="s">
        <v>153</v>
      </c>
      <c r="Q179" s="1" t="s">
        <v>154</v>
      </c>
      <c r="R179" s="1" t="s">
        <v>236</v>
      </c>
      <c r="S179" s="1" t="s">
        <v>226</v>
      </c>
      <c r="T179" s="1" t="s">
        <v>237</v>
      </c>
      <c r="U179" s="1" t="s">
        <v>944</v>
      </c>
      <c r="V179" s="1" t="s">
        <v>160</v>
      </c>
      <c r="W179" s="1" t="s">
        <v>160</v>
      </c>
      <c r="X179" s="1" t="s">
        <v>160</v>
      </c>
      <c r="Y179" s="1" t="s">
        <v>160</v>
      </c>
      <c r="Z179" s="1" t="s">
        <v>160</v>
      </c>
      <c r="AA179" s="1" t="s">
        <v>160</v>
      </c>
      <c r="AB179" s="1" t="s">
        <v>160</v>
      </c>
      <c r="AC179" s="1" t="s">
        <v>160</v>
      </c>
      <c r="AD179" s="1" t="s">
        <v>160</v>
      </c>
      <c r="AE179" s="1" t="s">
        <v>160</v>
      </c>
      <c r="AF179" s="1" t="s">
        <v>160</v>
      </c>
      <c r="AG179" s="1" t="s">
        <v>160</v>
      </c>
      <c r="AI179" s="1" t="s">
        <v>160</v>
      </c>
      <c r="AJ179" s="1" t="s">
        <v>192</v>
      </c>
      <c r="AK179" s="1" t="s">
        <v>192</v>
      </c>
      <c r="AL179" s="1" t="s">
        <v>163</v>
      </c>
      <c r="AM179" s="1" t="s">
        <v>164</v>
      </c>
      <c r="AN179" s="1" t="s">
        <v>192</v>
      </c>
      <c r="AO179" s="1" t="s">
        <v>179</v>
      </c>
      <c r="AP179" s="1" t="s">
        <v>239</v>
      </c>
      <c r="AR179" s="1" t="s">
        <v>160</v>
      </c>
      <c r="AS179" s="1" t="s">
        <v>160</v>
      </c>
      <c r="AT179" s="1" t="s">
        <v>872</v>
      </c>
      <c r="AU179" s="1" t="s">
        <v>160</v>
      </c>
      <c r="AV179" s="1" t="s">
        <v>159</v>
      </c>
      <c r="AW179" s="1" t="s">
        <v>159</v>
      </c>
      <c r="AX179" s="1" t="s">
        <v>159</v>
      </c>
      <c r="AY179" s="1" t="s">
        <v>159</v>
      </c>
      <c r="AZ179" s="1" t="s">
        <v>160</v>
      </c>
      <c r="BA179" s="1" t="s">
        <v>159</v>
      </c>
      <c r="BB179" s="1" t="s">
        <v>241</v>
      </c>
      <c r="BC179" s="1" t="s">
        <v>160</v>
      </c>
      <c r="BD179" s="1" t="s">
        <v>361</v>
      </c>
      <c r="BE179" s="1" t="s">
        <v>945</v>
      </c>
      <c r="BF179" s="1" t="s">
        <v>160</v>
      </c>
    </row>
    <row r="180" spans="1:59" ht="13" x14ac:dyDescent="0.15">
      <c r="A180" s="2">
        <v>44175.643055555556</v>
      </c>
      <c r="B180" s="2">
        <v>44175.645833333336</v>
      </c>
      <c r="C180" s="1" t="s">
        <v>39</v>
      </c>
      <c r="D180" s="1" t="s">
        <v>946</v>
      </c>
      <c r="E180" s="1">
        <v>100</v>
      </c>
      <c r="F180" s="1">
        <v>201</v>
      </c>
      <c r="G180" s="1" t="b">
        <v>1</v>
      </c>
      <c r="H180" s="2">
        <v>44175.645833333336</v>
      </c>
      <c r="I180" s="1" t="s">
        <v>947</v>
      </c>
      <c r="N180" s="1">
        <v>41.923004149999997</v>
      </c>
      <c r="O180" s="1">
        <v>-87.753097530000005</v>
      </c>
      <c r="P180" s="1" t="s">
        <v>153</v>
      </c>
      <c r="Q180" s="1" t="s">
        <v>154</v>
      </c>
      <c r="R180" s="1" t="s">
        <v>155</v>
      </c>
      <c r="S180" s="1" t="s">
        <v>208</v>
      </c>
      <c r="T180" s="1" t="s">
        <v>237</v>
      </c>
      <c r="U180" s="1" t="s">
        <v>948</v>
      </c>
      <c r="V180" s="1" t="s">
        <v>160</v>
      </c>
      <c r="W180" s="1" t="s">
        <v>159</v>
      </c>
      <c r="X180" s="1" t="s">
        <v>160</v>
      </c>
      <c r="Y180" s="1" t="s">
        <v>160</v>
      </c>
      <c r="Z180" s="1" t="s">
        <v>160</v>
      </c>
      <c r="AA180" s="1" t="s">
        <v>159</v>
      </c>
      <c r="AB180" s="1" t="s">
        <v>159</v>
      </c>
      <c r="AC180" s="1" t="s">
        <v>160</v>
      </c>
      <c r="AD180" s="1" t="s">
        <v>159</v>
      </c>
      <c r="AE180" s="1" t="s">
        <v>160</v>
      </c>
      <c r="AF180" s="1" t="s">
        <v>159</v>
      </c>
      <c r="AG180" s="1" t="s">
        <v>160</v>
      </c>
      <c r="AH180" s="1" t="s">
        <v>949</v>
      </c>
      <c r="AI180" s="1" t="s">
        <v>160</v>
      </c>
      <c r="AJ180" s="1" t="s">
        <v>163</v>
      </c>
      <c r="AK180" s="1" t="s">
        <v>192</v>
      </c>
      <c r="AL180" s="1" t="s">
        <v>163</v>
      </c>
      <c r="AM180" s="1" t="s">
        <v>192</v>
      </c>
      <c r="AN180" s="1" t="s">
        <v>162</v>
      </c>
      <c r="AO180" s="1" t="s">
        <v>165</v>
      </c>
      <c r="AP180" s="1" t="s">
        <v>165</v>
      </c>
      <c r="AR180" s="1" t="s">
        <v>160</v>
      </c>
      <c r="AS180" s="1" t="s">
        <v>159</v>
      </c>
      <c r="AT180" s="1" t="s">
        <v>950</v>
      </c>
      <c r="AU180" s="1" t="s">
        <v>159</v>
      </c>
      <c r="AV180" s="1" t="s">
        <v>159</v>
      </c>
      <c r="AW180" s="1" t="s">
        <v>159</v>
      </c>
      <c r="AX180" s="1" t="s">
        <v>159</v>
      </c>
      <c r="AY180" s="1" t="s">
        <v>159</v>
      </c>
      <c r="AZ180" s="1" t="s">
        <v>160</v>
      </c>
      <c r="BA180" s="1" t="s">
        <v>159</v>
      </c>
      <c r="BB180" s="1" t="s">
        <v>167</v>
      </c>
      <c r="BC180" s="1" t="s">
        <v>159</v>
      </c>
      <c r="BE180" s="1" t="s">
        <v>951</v>
      </c>
      <c r="BF180" s="1" t="s">
        <v>160</v>
      </c>
      <c r="BG180" s="1" t="s">
        <v>951</v>
      </c>
    </row>
    <row r="181" spans="1:59" ht="13" x14ac:dyDescent="0.15">
      <c r="A181" s="2">
        <v>44175.643750000003</v>
      </c>
      <c r="B181" s="2">
        <v>44175.645833333336</v>
      </c>
      <c r="C181" s="1" t="s">
        <v>39</v>
      </c>
      <c r="D181" s="1" t="s">
        <v>952</v>
      </c>
      <c r="E181" s="1">
        <v>100</v>
      </c>
      <c r="F181" s="1">
        <v>162</v>
      </c>
      <c r="G181" s="1" t="b">
        <v>1</v>
      </c>
      <c r="H181" s="2">
        <v>44175.645833333336</v>
      </c>
      <c r="I181" s="1" t="s">
        <v>953</v>
      </c>
      <c r="N181" s="1">
        <v>41.801803589999999</v>
      </c>
      <c r="O181" s="1">
        <v>-87.599296570000007</v>
      </c>
      <c r="P181" s="1" t="s">
        <v>153</v>
      </c>
      <c r="Q181" s="1" t="s">
        <v>154</v>
      </c>
      <c r="R181" s="1" t="s">
        <v>174</v>
      </c>
      <c r="S181" s="1" t="s">
        <v>208</v>
      </c>
      <c r="T181" s="1" t="s">
        <v>263</v>
      </c>
      <c r="U181" s="1" t="s">
        <v>806</v>
      </c>
      <c r="V181" s="1" t="s">
        <v>160</v>
      </c>
      <c r="W181" s="1" t="s">
        <v>160</v>
      </c>
      <c r="X181" s="1" t="s">
        <v>160</v>
      </c>
      <c r="Y181" s="1" t="s">
        <v>160</v>
      </c>
      <c r="Z181" s="1" t="s">
        <v>160</v>
      </c>
      <c r="AA181" s="1" t="s">
        <v>160</v>
      </c>
      <c r="AB181" s="1" t="s">
        <v>160</v>
      </c>
      <c r="AC181" s="1" t="s">
        <v>160</v>
      </c>
      <c r="AD181" s="1" t="s">
        <v>160</v>
      </c>
      <c r="AE181" s="1" t="s">
        <v>160</v>
      </c>
      <c r="AF181" s="1" t="s">
        <v>160</v>
      </c>
      <c r="AG181" s="1" t="s">
        <v>160</v>
      </c>
      <c r="AH181" s="1">
        <v>5</v>
      </c>
      <c r="AI181" s="1" t="s">
        <v>160</v>
      </c>
      <c r="AJ181" s="1" t="s">
        <v>164</v>
      </c>
      <c r="AK181" s="1" t="s">
        <v>164</v>
      </c>
      <c r="AL181" s="1" t="s">
        <v>163</v>
      </c>
      <c r="AM181" s="1" t="s">
        <v>164</v>
      </c>
      <c r="AN181" s="1" t="s">
        <v>164</v>
      </c>
      <c r="AO181" s="1" t="s">
        <v>179</v>
      </c>
      <c r="AP181" s="1" t="s">
        <v>179</v>
      </c>
      <c r="AQ181" s="1">
        <v>1999</v>
      </c>
      <c r="AR181" s="1" t="s">
        <v>160</v>
      </c>
      <c r="AS181" s="1" t="s">
        <v>159</v>
      </c>
      <c r="AT181" s="1" t="s">
        <v>203</v>
      </c>
      <c r="AU181" s="1" t="s">
        <v>159</v>
      </c>
      <c r="AV181" s="1" t="s">
        <v>159</v>
      </c>
      <c r="AW181" s="1" t="s">
        <v>159</v>
      </c>
      <c r="AX181" s="1" t="s">
        <v>159</v>
      </c>
      <c r="AY181" s="1" t="s">
        <v>159</v>
      </c>
      <c r="AZ181" s="1" t="s">
        <v>159</v>
      </c>
      <c r="BA181" s="1" t="s">
        <v>159</v>
      </c>
      <c r="BB181" s="1" t="s">
        <v>167</v>
      </c>
      <c r="BC181" s="1" t="s">
        <v>160</v>
      </c>
      <c r="BE181" s="1" t="s">
        <v>954</v>
      </c>
      <c r="BF181" s="1" t="s">
        <v>160</v>
      </c>
      <c r="BG181" s="1" t="s">
        <v>954</v>
      </c>
    </row>
    <row r="182" spans="1:59" ht="13" x14ac:dyDescent="0.15">
      <c r="A182" s="2">
        <v>44175.645138888889</v>
      </c>
      <c r="B182" s="2">
        <v>44175.646527777775</v>
      </c>
      <c r="C182" s="1" t="s">
        <v>39</v>
      </c>
      <c r="D182" s="1" t="s">
        <v>955</v>
      </c>
      <c r="E182" s="1">
        <v>100</v>
      </c>
      <c r="F182" s="1">
        <v>69</v>
      </c>
      <c r="G182" s="1" t="b">
        <v>1</v>
      </c>
      <c r="H182" s="2">
        <v>44175.646527777775</v>
      </c>
      <c r="I182" s="1" t="s">
        <v>956</v>
      </c>
      <c r="N182" s="1">
        <v>41.8710022</v>
      </c>
      <c r="O182" s="1">
        <v>-87.628898620000001</v>
      </c>
      <c r="P182" s="1" t="s">
        <v>153</v>
      </c>
      <c r="Q182" s="1" t="s">
        <v>154</v>
      </c>
      <c r="R182" s="1" t="s">
        <v>174</v>
      </c>
      <c r="S182" s="1" t="s">
        <v>175</v>
      </c>
      <c r="T182" s="1" t="s">
        <v>157</v>
      </c>
      <c r="U182" s="1" t="s">
        <v>900</v>
      </c>
      <c r="V182" s="1" t="s">
        <v>160</v>
      </c>
      <c r="W182" s="1" t="s">
        <v>160</v>
      </c>
      <c r="X182" s="1" t="s">
        <v>160</v>
      </c>
      <c r="Y182" s="1" t="s">
        <v>160</v>
      </c>
      <c r="Z182" s="1" t="s">
        <v>160</v>
      </c>
      <c r="AA182" s="1" t="s">
        <v>159</v>
      </c>
      <c r="AB182" s="1" t="s">
        <v>160</v>
      </c>
      <c r="AC182" s="1" t="s">
        <v>159</v>
      </c>
      <c r="AD182" s="1" t="s">
        <v>159</v>
      </c>
      <c r="AE182" s="1" t="s">
        <v>160</v>
      </c>
      <c r="AF182" s="1" t="s">
        <v>159</v>
      </c>
      <c r="AG182" s="1" t="s">
        <v>160</v>
      </c>
      <c r="AH182" s="1">
        <v>3</v>
      </c>
      <c r="AI182" s="1" t="s">
        <v>160</v>
      </c>
      <c r="AJ182" s="1" t="s">
        <v>164</v>
      </c>
      <c r="AK182" s="1" t="s">
        <v>163</v>
      </c>
      <c r="AL182" s="1" t="s">
        <v>192</v>
      </c>
      <c r="AM182" s="1" t="s">
        <v>163</v>
      </c>
      <c r="AN182" s="1" t="s">
        <v>162</v>
      </c>
      <c r="AO182" s="1" t="s">
        <v>179</v>
      </c>
      <c r="AP182" s="1" t="s">
        <v>179</v>
      </c>
      <c r="AQ182" s="1">
        <v>1989</v>
      </c>
      <c r="AR182" s="1" t="s">
        <v>160</v>
      </c>
      <c r="AS182" s="1" t="s">
        <v>160</v>
      </c>
      <c r="AT182" s="1" t="s">
        <v>166</v>
      </c>
      <c r="AU182" s="1" t="s">
        <v>159</v>
      </c>
      <c r="AV182" s="1" t="s">
        <v>159</v>
      </c>
      <c r="AW182" s="1" t="s">
        <v>160</v>
      </c>
      <c r="AX182" s="1" t="s">
        <v>159</v>
      </c>
      <c r="AY182" s="1" t="s">
        <v>159</v>
      </c>
      <c r="AZ182" s="1" t="s">
        <v>159</v>
      </c>
      <c r="BA182" s="1" t="s">
        <v>159</v>
      </c>
      <c r="BB182" s="1" t="s">
        <v>241</v>
      </c>
      <c r="BC182" s="1" t="s">
        <v>160</v>
      </c>
      <c r="BE182" s="1" t="s">
        <v>957</v>
      </c>
      <c r="BF182" s="1" t="s">
        <v>159</v>
      </c>
    </row>
    <row r="183" spans="1:59" ht="13" x14ac:dyDescent="0.15">
      <c r="A183" s="2">
        <v>44175.645138888889</v>
      </c>
      <c r="B183" s="2">
        <v>44175.646527777775</v>
      </c>
      <c r="C183" s="1" t="s">
        <v>39</v>
      </c>
      <c r="D183" s="1" t="s">
        <v>234</v>
      </c>
      <c r="E183" s="1">
        <v>100</v>
      </c>
      <c r="F183" s="1">
        <v>117</v>
      </c>
      <c r="G183" s="1" t="b">
        <v>1</v>
      </c>
      <c r="H183" s="2">
        <v>44175.646527777775</v>
      </c>
      <c r="I183" s="1" t="s">
        <v>958</v>
      </c>
      <c r="N183" s="1">
        <v>34.048492430000003</v>
      </c>
      <c r="O183" s="1">
        <v>-118.2528992</v>
      </c>
      <c r="P183" s="1" t="s">
        <v>153</v>
      </c>
      <c r="Q183" s="1" t="s">
        <v>154</v>
      </c>
      <c r="R183" s="1" t="s">
        <v>174</v>
      </c>
      <c r="S183" s="1" t="s">
        <v>208</v>
      </c>
      <c r="T183" s="1" t="s">
        <v>263</v>
      </c>
      <c r="U183" s="1" t="s">
        <v>959</v>
      </c>
      <c r="V183" s="1" t="s">
        <v>160</v>
      </c>
      <c r="W183" s="1" t="s">
        <v>160</v>
      </c>
      <c r="X183" s="1" t="s">
        <v>160</v>
      </c>
      <c r="Y183" s="1" t="s">
        <v>160</v>
      </c>
      <c r="Z183" s="1" t="s">
        <v>160</v>
      </c>
      <c r="AA183" s="1" t="s">
        <v>160</v>
      </c>
      <c r="AB183" s="1" t="s">
        <v>160</v>
      </c>
      <c r="AC183" s="1" t="s">
        <v>160</v>
      </c>
      <c r="AD183" s="1" t="s">
        <v>160</v>
      </c>
      <c r="AE183" s="1" t="s">
        <v>160</v>
      </c>
      <c r="AF183" s="1" t="s">
        <v>160</v>
      </c>
      <c r="AG183" s="1" t="s">
        <v>160</v>
      </c>
      <c r="AI183" s="1" t="s">
        <v>160</v>
      </c>
      <c r="AJ183" s="1" t="s">
        <v>198</v>
      </c>
      <c r="AK183" s="1" t="s">
        <v>192</v>
      </c>
      <c r="AL183" s="1" t="s">
        <v>163</v>
      </c>
      <c r="AM183" s="1" t="s">
        <v>192</v>
      </c>
      <c r="AN183" s="1" t="s">
        <v>163</v>
      </c>
      <c r="AO183" s="1" t="s">
        <v>179</v>
      </c>
      <c r="AP183" s="1" t="s">
        <v>179</v>
      </c>
      <c r="AR183" s="1" t="s">
        <v>160</v>
      </c>
      <c r="AS183" s="1" t="s">
        <v>160</v>
      </c>
      <c r="AT183" s="1" t="s">
        <v>731</v>
      </c>
      <c r="AU183" s="1" t="s">
        <v>159</v>
      </c>
      <c r="AV183" s="1" t="s">
        <v>159</v>
      </c>
      <c r="AW183" s="1" t="s">
        <v>160</v>
      </c>
      <c r="AX183" s="1" t="s">
        <v>160</v>
      </c>
      <c r="AY183" s="1" t="s">
        <v>160</v>
      </c>
      <c r="AZ183" s="1" t="s">
        <v>159</v>
      </c>
      <c r="BA183" s="1" t="s">
        <v>159</v>
      </c>
      <c r="BB183" s="1" t="s">
        <v>181</v>
      </c>
      <c r="BC183" s="1" t="s">
        <v>160</v>
      </c>
      <c r="BD183" s="1" t="s">
        <v>960</v>
      </c>
      <c r="BE183" s="1" t="s">
        <v>961</v>
      </c>
      <c r="BF183" s="1" t="s">
        <v>160</v>
      </c>
    </row>
    <row r="184" spans="1:59" ht="13" x14ac:dyDescent="0.15">
      <c r="A184" s="2">
        <v>44175.644444444442</v>
      </c>
      <c r="B184" s="2">
        <v>44175.647222222222</v>
      </c>
      <c r="C184" s="1" t="s">
        <v>39</v>
      </c>
      <c r="D184" s="1" t="s">
        <v>962</v>
      </c>
      <c r="E184" s="1">
        <v>100</v>
      </c>
      <c r="F184" s="1">
        <v>201</v>
      </c>
      <c r="G184" s="1" t="b">
        <v>1</v>
      </c>
      <c r="H184" s="2">
        <v>44175.647222222222</v>
      </c>
      <c r="I184" s="1" t="s">
        <v>963</v>
      </c>
      <c r="N184" s="1">
        <v>41.850006100000002</v>
      </c>
      <c r="O184" s="1">
        <v>-87.716499330000005</v>
      </c>
      <c r="P184" s="1" t="s">
        <v>153</v>
      </c>
      <c r="Q184" s="1" t="s">
        <v>154</v>
      </c>
      <c r="R184" s="1" t="s">
        <v>174</v>
      </c>
      <c r="S184" s="1" t="s">
        <v>175</v>
      </c>
      <c r="T184" s="1" t="s">
        <v>263</v>
      </c>
      <c r="U184" s="1" t="s">
        <v>861</v>
      </c>
      <c r="V184" s="1" t="s">
        <v>160</v>
      </c>
      <c r="W184" s="1" t="s">
        <v>160</v>
      </c>
      <c r="X184" s="1" t="s">
        <v>160</v>
      </c>
      <c r="Y184" s="1" t="s">
        <v>160</v>
      </c>
      <c r="Z184" s="1" t="s">
        <v>160</v>
      </c>
      <c r="AA184" s="1" t="s">
        <v>159</v>
      </c>
      <c r="AB184" s="1" t="s">
        <v>160</v>
      </c>
      <c r="AC184" s="1" t="s">
        <v>160</v>
      </c>
      <c r="AD184" s="1" t="s">
        <v>160</v>
      </c>
      <c r="AE184" s="1" t="s">
        <v>160</v>
      </c>
      <c r="AF184" s="1" t="s">
        <v>160</v>
      </c>
      <c r="AG184" s="1" t="s">
        <v>160</v>
      </c>
      <c r="AH184" s="1">
        <v>4</v>
      </c>
      <c r="AI184" s="1" t="s">
        <v>160</v>
      </c>
      <c r="AJ184" s="1" t="s">
        <v>164</v>
      </c>
      <c r="AK184" s="1" t="s">
        <v>164</v>
      </c>
      <c r="AL184" s="1" t="s">
        <v>163</v>
      </c>
      <c r="AM184" s="1" t="s">
        <v>192</v>
      </c>
      <c r="AN184" s="1" t="s">
        <v>164</v>
      </c>
      <c r="AO184" s="1" t="s">
        <v>179</v>
      </c>
      <c r="AP184" s="1" t="s">
        <v>179</v>
      </c>
      <c r="AQ184" s="1">
        <v>1998</v>
      </c>
      <c r="AR184" s="1" t="s">
        <v>160</v>
      </c>
      <c r="AS184" s="1" t="s">
        <v>159</v>
      </c>
      <c r="AT184" s="1" t="s">
        <v>322</v>
      </c>
      <c r="AU184" s="1" t="s">
        <v>159</v>
      </c>
      <c r="AV184" s="1" t="s">
        <v>159</v>
      </c>
      <c r="AW184" s="1" t="s">
        <v>159</v>
      </c>
      <c r="AX184" s="1" t="s">
        <v>159</v>
      </c>
      <c r="AY184" s="1" t="s">
        <v>159</v>
      </c>
      <c r="AZ184" s="1" t="s">
        <v>159</v>
      </c>
      <c r="BA184" s="1" t="s">
        <v>159</v>
      </c>
      <c r="BB184" s="1" t="s">
        <v>167</v>
      </c>
      <c r="BC184" s="1" t="s">
        <v>160</v>
      </c>
      <c r="BE184" s="1" t="s">
        <v>964</v>
      </c>
      <c r="BF184" s="1" t="s">
        <v>160</v>
      </c>
      <c r="BG184" s="1" t="s">
        <v>964</v>
      </c>
    </row>
    <row r="185" spans="1:59" ht="13" x14ac:dyDescent="0.15">
      <c r="A185" s="2">
        <v>44175.645833333336</v>
      </c>
      <c r="B185" s="2">
        <v>44175.647916666669</v>
      </c>
      <c r="C185" s="1" t="s">
        <v>39</v>
      </c>
      <c r="D185" s="1" t="s">
        <v>965</v>
      </c>
      <c r="E185" s="1">
        <v>100</v>
      </c>
      <c r="F185" s="1">
        <v>170</v>
      </c>
      <c r="G185" s="1" t="b">
        <v>1</v>
      </c>
      <c r="H185" s="2">
        <v>44175.647916666669</v>
      </c>
      <c r="I185" s="1" t="s">
        <v>966</v>
      </c>
      <c r="N185" s="1">
        <v>20.74409485</v>
      </c>
      <c r="O185" s="1">
        <v>-156.4474945</v>
      </c>
      <c r="P185" s="1" t="s">
        <v>153</v>
      </c>
      <c r="Q185" s="1" t="s">
        <v>154</v>
      </c>
      <c r="R185" s="1" t="s">
        <v>174</v>
      </c>
      <c r="S185" s="1" t="s">
        <v>175</v>
      </c>
      <c r="T185" s="1" t="s">
        <v>237</v>
      </c>
      <c r="U185" s="1" t="s">
        <v>967</v>
      </c>
      <c r="V185" s="1" t="s">
        <v>160</v>
      </c>
      <c r="W185" s="1" t="s">
        <v>159</v>
      </c>
      <c r="X185" s="1" t="s">
        <v>159</v>
      </c>
      <c r="Y185" s="1" t="s">
        <v>159</v>
      </c>
      <c r="Z185" s="1" t="s">
        <v>159</v>
      </c>
      <c r="AA185" s="1" t="s">
        <v>159</v>
      </c>
      <c r="AB185" s="1" t="s">
        <v>160</v>
      </c>
      <c r="AC185" s="1" t="s">
        <v>160</v>
      </c>
      <c r="AD185" s="1" t="s">
        <v>159</v>
      </c>
      <c r="AE185" s="1" t="s">
        <v>160</v>
      </c>
      <c r="AF185" s="1" t="s">
        <v>159</v>
      </c>
      <c r="AG185" s="1" t="s">
        <v>160</v>
      </c>
      <c r="AI185" s="1" t="s">
        <v>160</v>
      </c>
      <c r="AJ185" s="1" t="s">
        <v>163</v>
      </c>
      <c r="AK185" s="1" t="s">
        <v>162</v>
      </c>
      <c r="AL185" s="1" t="s">
        <v>163</v>
      </c>
      <c r="AM185" s="1" t="s">
        <v>163</v>
      </c>
      <c r="AN185" s="1" t="s">
        <v>162</v>
      </c>
      <c r="AO185" s="1" t="s">
        <v>179</v>
      </c>
      <c r="AP185" s="1" t="s">
        <v>179</v>
      </c>
      <c r="AR185" s="1" t="s">
        <v>160</v>
      </c>
      <c r="AS185" s="1" t="s">
        <v>159</v>
      </c>
      <c r="AT185" s="1" t="s">
        <v>322</v>
      </c>
      <c r="AU185" s="1" t="s">
        <v>160</v>
      </c>
      <c r="AV185" s="1" t="s">
        <v>159</v>
      </c>
      <c r="AW185" s="1" t="s">
        <v>159</v>
      </c>
      <c r="AX185" s="1" t="s">
        <v>160</v>
      </c>
      <c r="AY185" s="1" t="s">
        <v>159</v>
      </c>
      <c r="AZ185" s="1" t="s">
        <v>159</v>
      </c>
      <c r="BA185" s="1" t="s">
        <v>159</v>
      </c>
      <c r="BB185" s="1" t="s">
        <v>167</v>
      </c>
      <c r="BC185" s="1" t="s">
        <v>159</v>
      </c>
      <c r="BE185" s="1" t="s">
        <v>968</v>
      </c>
      <c r="BF185" s="1" t="s">
        <v>160</v>
      </c>
      <c r="BG185" s="1" t="s">
        <v>968</v>
      </c>
    </row>
    <row r="186" spans="1:59" ht="13" x14ac:dyDescent="0.15">
      <c r="A186" s="2">
        <v>44175.645833333336</v>
      </c>
      <c r="B186" s="2">
        <v>44175.647916666669</v>
      </c>
      <c r="C186" s="1" t="s">
        <v>39</v>
      </c>
      <c r="D186" s="1" t="s">
        <v>969</v>
      </c>
      <c r="E186" s="1">
        <v>100</v>
      </c>
      <c r="F186" s="1">
        <v>207</v>
      </c>
      <c r="G186" s="1" t="b">
        <v>1</v>
      </c>
      <c r="H186" s="2">
        <v>44175.647916666669</v>
      </c>
      <c r="I186" s="1" t="s">
        <v>970</v>
      </c>
      <c r="N186" s="1">
        <v>42.010696410000001</v>
      </c>
      <c r="O186" s="1">
        <v>-87.665702820000007</v>
      </c>
      <c r="P186" s="1" t="s">
        <v>153</v>
      </c>
      <c r="Q186" s="1" t="s">
        <v>154</v>
      </c>
      <c r="R186" s="1" t="s">
        <v>174</v>
      </c>
      <c r="S186" s="1" t="s">
        <v>175</v>
      </c>
      <c r="T186" s="1" t="s">
        <v>263</v>
      </c>
      <c r="U186" s="1" t="s">
        <v>861</v>
      </c>
      <c r="V186" s="1" t="s">
        <v>160</v>
      </c>
      <c r="W186" s="1" t="s">
        <v>160</v>
      </c>
      <c r="X186" s="1" t="s">
        <v>160</v>
      </c>
      <c r="Y186" s="1" t="s">
        <v>160</v>
      </c>
      <c r="Z186" s="1" t="s">
        <v>160</v>
      </c>
      <c r="AA186" s="1" t="s">
        <v>160</v>
      </c>
      <c r="AB186" s="1" t="s">
        <v>160</v>
      </c>
      <c r="AC186" s="1" t="s">
        <v>160</v>
      </c>
      <c r="AD186" s="1" t="s">
        <v>160</v>
      </c>
      <c r="AE186" s="1" t="s">
        <v>160</v>
      </c>
      <c r="AF186" s="1" t="s">
        <v>160</v>
      </c>
      <c r="AG186" s="1" t="s">
        <v>160</v>
      </c>
      <c r="AH186" s="1">
        <v>4</v>
      </c>
      <c r="AI186" s="1" t="s">
        <v>160</v>
      </c>
      <c r="AJ186" s="1" t="s">
        <v>164</v>
      </c>
      <c r="AK186" s="1" t="s">
        <v>164</v>
      </c>
      <c r="AL186" s="1" t="s">
        <v>163</v>
      </c>
      <c r="AM186" s="1" t="s">
        <v>164</v>
      </c>
      <c r="AN186" s="1" t="s">
        <v>164</v>
      </c>
      <c r="AO186" s="1" t="s">
        <v>179</v>
      </c>
      <c r="AP186" s="1" t="s">
        <v>179</v>
      </c>
      <c r="AQ186" s="1">
        <v>1999</v>
      </c>
      <c r="AR186" s="1" t="s">
        <v>160</v>
      </c>
      <c r="AS186" s="1" t="s">
        <v>159</v>
      </c>
      <c r="AT186" s="1" t="s">
        <v>322</v>
      </c>
      <c r="AU186" s="1" t="s">
        <v>159</v>
      </c>
      <c r="AV186" s="1" t="s">
        <v>159</v>
      </c>
      <c r="AW186" s="1" t="s">
        <v>159</v>
      </c>
      <c r="AX186" s="1" t="s">
        <v>159</v>
      </c>
      <c r="AY186" s="1" t="s">
        <v>159</v>
      </c>
      <c r="AZ186" s="1" t="s">
        <v>159</v>
      </c>
      <c r="BA186" s="1" t="s">
        <v>159</v>
      </c>
      <c r="BB186" s="1" t="s">
        <v>181</v>
      </c>
      <c r="BC186" s="1" t="s">
        <v>159</v>
      </c>
      <c r="BE186" s="1" t="s">
        <v>971</v>
      </c>
      <c r="BF186" s="1" t="s">
        <v>160</v>
      </c>
      <c r="BG186" s="1" t="s">
        <v>971</v>
      </c>
    </row>
    <row r="187" spans="1:59" ht="13" x14ac:dyDescent="0.15">
      <c r="A187" s="2">
        <v>44175.645833333336</v>
      </c>
      <c r="B187" s="2">
        <v>44175.647916666669</v>
      </c>
      <c r="C187" s="1" t="s">
        <v>39</v>
      </c>
      <c r="D187" s="1" t="s">
        <v>972</v>
      </c>
      <c r="E187" s="1">
        <v>100</v>
      </c>
      <c r="F187" s="1">
        <v>181</v>
      </c>
      <c r="G187" s="1" t="b">
        <v>1</v>
      </c>
      <c r="H187" s="2">
        <v>44175.647916666669</v>
      </c>
      <c r="I187" s="1" t="s">
        <v>973</v>
      </c>
      <c r="N187" s="1">
        <v>39.145294190000001</v>
      </c>
      <c r="O187" s="1">
        <v>-81.034103389999999</v>
      </c>
      <c r="P187" s="1" t="s">
        <v>153</v>
      </c>
      <c r="Q187" s="1" t="s">
        <v>154</v>
      </c>
      <c r="R187" s="1" t="s">
        <v>236</v>
      </c>
      <c r="S187" s="1" t="s">
        <v>274</v>
      </c>
      <c r="T187" s="1" t="s">
        <v>157</v>
      </c>
      <c r="U187" s="1" t="s">
        <v>674</v>
      </c>
      <c r="V187" s="1" t="s">
        <v>159</v>
      </c>
      <c r="W187" s="1" t="s">
        <v>160</v>
      </c>
      <c r="X187" s="1" t="s">
        <v>159</v>
      </c>
      <c r="Y187" s="1" t="s">
        <v>159</v>
      </c>
      <c r="Z187" s="1" t="s">
        <v>159</v>
      </c>
      <c r="AA187" s="1" t="s">
        <v>159</v>
      </c>
      <c r="AB187" s="1" t="s">
        <v>160</v>
      </c>
      <c r="AC187" s="1" t="s">
        <v>160</v>
      </c>
      <c r="AD187" s="1" t="s">
        <v>159</v>
      </c>
      <c r="AE187" s="1" t="s">
        <v>159</v>
      </c>
      <c r="AF187" s="1" t="s">
        <v>159</v>
      </c>
      <c r="AG187" s="1" t="s">
        <v>159</v>
      </c>
      <c r="AH187" s="1">
        <v>1</v>
      </c>
      <c r="AI187" s="1" t="s">
        <v>159</v>
      </c>
      <c r="AJ187" s="1" t="s">
        <v>163</v>
      </c>
      <c r="AK187" s="1" t="s">
        <v>162</v>
      </c>
      <c r="AL187" s="1" t="s">
        <v>163</v>
      </c>
      <c r="AM187" s="1" t="s">
        <v>162</v>
      </c>
      <c r="AN187" s="1" t="s">
        <v>192</v>
      </c>
      <c r="AO187" s="1" t="s">
        <v>165</v>
      </c>
      <c r="AP187" s="1" t="s">
        <v>165</v>
      </c>
      <c r="AQ187" s="1">
        <v>1998</v>
      </c>
      <c r="AR187" s="1" t="s">
        <v>160</v>
      </c>
      <c r="AS187" s="1" t="s">
        <v>159</v>
      </c>
      <c r="AT187" s="1" t="s">
        <v>180</v>
      </c>
      <c r="AU187" s="1" t="s">
        <v>159</v>
      </c>
      <c r="AV187" s="1" t="s">
        <v>159</v>
      </c>
      <c r="AW187" s="1" t="s">
        <v>159</v>
      </c>
      <c r="AX187" s="1" t="s">
        <v>159</v>
      </c>
      <c r="AY187" s="1" t="s">
        <v>159</v>
      </c>
      <c r="AZ187" s="1" t="s">
        <v>159</v>
      </c>
      <c r="BA187" s="1" t="s">
        <v>159</v>
      </c>
      <c r="BB187" s="1" t="s">
        <v>181</v>
      </c>
      <c r="BC187" s="1" t="s">
        <v>159</v>
      </c>
      <c r="BE187" s="1" t="s">
        <v>974</v>
      </c>
      <c r="BF187" s="1" t="s">
        <v>159</v>
      </c>
    </row>
    <row r="188" spans="1:59" ht="13" x14ac:dyDescent="0.15">
      <c r="A188" s="2">
        <v>44175.647222222222</v>
      </c>
      <c r="B188" s="2">
        <v>44175.648611111108</v>
      </c>
      <c r="C188" s="1" t="s">
        <v>39</v>
      </c>
      <c r="D188" s="1" t="s">
        <v>234</v>
      </c>
      <c r="E188" s="1">
        <v>100</v>
      </c>
      <c r="F188" s="1">
        <v>116</v>
      </c>
      <c r="G188" s="1" t="b">
        <v>1</v>
      </c>
      <c r="H188" s="2">
        <v>44175.648611111108</v>
      </c>
      <c r="I188" s="1" t="s">
        <v>975</v>
      </c>
      <c r="N188" s="1">
        <v>34.048492430000003</v>
      </c>
      <c r="O188" s="1">
        <v>-118.2528992</v>
      </c>
      <c r="P188" s="1" t="s">
        <v>153</v>
      </c>
      <c r="Q188" s="1" t="s">
        <v>154</v>
      </c>
      <c r="R188" s="1" t="s">
        <v>236</v>
      </c>
      <c r="S188" s="1" t="s">
        <v>208</v>
      </c>
      <c r="T188" s="1" t="s">
        <v>245</v>
      </c>
      <c r="U188" s="1" t="s">
        <v>976</v>
      </c>
      <c r="V188" s="1" t="s">
        <v>160</v>
      </c>
      <c r="W188" s="1" t="s">
        <v>160</v>
      </c>
      <c r="X188" s="1" t="s">
        <v>160</v>
      </c>
      <c r="Y188" s="1" t="s">
        <v>160</v>
      </c>
      <c r="Z188" s="1" t="s">
        <v>160</v>
      </c>
      <c r="AA188" s="1" t="s">
        <v>160</v>
      </c>
      <c r="AB188" s="1" t="s">
        <v>160</v>
      </c>
      <c r="AC188" s="1" t="s">
        <v>160</v>
      </c>
      <c r="AD188" s="1" t="s">
        <v>160</v>
      </c>
      <c r="AE188" s="1" t="s">
        <v>160</v>
      </c>
      <c r="AF188" s="1" t="s">
        <v>160</v>
      </c>
      <c r="AG188" s="1" t="s">
        <v>160</v>
      </c>
      <c r="AI188" s="1" t="s">
        <v>160</v>
      </c>
      <c r="AJ188" s="1" t="s">
        <v>163</v>
      </c>
      <c r="AK188" s="1" t="s">
        <v>164</v>
      </c>
      <c r="AL188" s="1" t="s">
        <v>164</v>
      </c>
      <c r="AM188" s="1" t="s">
        <v>163</v>
      </c>
      <c r="AN188" s="1" t="s">
        <v>164</v>
      </c>
      <c r="AO188" s="1" t="s">
        <v>179</v>
      </c>
      <c r="AP188" s="1" t="s">
        <v>165</v>
      </c>
      <c r="AR188" s="1" t="s">
        <v>160</v>
      </c>
      <c r="AS188" s="1" t="s">
        <v>160</v>
      </c>
      <c r="AT188" s="1" t="s">
        <v>459</v>
      </c>
      <c r="AU188" s="1" t="s">
        <v>160</v>
      </c>
      <c r="AV188" s="1" t="s">
        <v>159</v>
      </c>
      <c r="AW188" s="1" t="s">
        <v>160</v>
      </c>
      <c r="AX188" s="1" t="s">
        <v>159</v>
      </c>
      <c r="AY188" s="1" t="s">
        <v>160</v>
      </c>
      <c r="AZ188" s="1" t="s">
        <v>160</v>
      </c>
      <c r="BA188" s="1" t="s">
        <v>160</v>
      </c>
      <c r="BB188" s="1" t="s">
        <v>181</v>
      </c>
      <c r="BC188" s="1" t="s">
        <v>160</v>
      </c>
      <c r="BD188" s="1" t="s">
        <v>365</v>
      </c>
      <c r="BE188" s="1" t="s">
        <v>977</v>
      </c>
      <c r="BF188" s="1" t="s">
        <v>160</v>
      </c>
    </row>
    <row r="189" spans="1:59" ht="13" x14ac:dyDescent="0.15">
      <c r="A189" s="2">
        <v>44175.643750000003</v>
      </c>
      <c r="B189" s="2">
        <v>44175.648611111108</v>
      </c>
      <c r="C189" s="1" t="s">
        <v>39</v>
      </c>
      <c r="D189" s="1" t="s">
        <v>978</v>
      </c>
      <c r="E189" s="1">
        <v>100</v>
      </c>
      <c r="F189" s="1">
        <v>457</v>
      </c>
      <c r="G189" s="1" t="b">
        <v>1</v>
      </c>
      <c r="H189" s="2">
        <v>44175.648611111108</v>
      </c>
      <c r="I189" s="1" t="s">
        <v>979</v>
      </c>
      <c r="N189" s="1">
        <v>32.69169617</v>
      </c>
      <c r="O189" s="1">
        <v>-117.11509700000001</v>
      </c>
      <c r="P189" s="1" t="s">
        <v>153</v>
      </c>
      <c r="Q189" s="1" t="s">
        <v>154</v>
      </c>
      <c r="R189" s="1" t="s">
        <v>174</v>
      </c>
      <c r="S189" s="1" t="s">
        <v>274</v>
      </c>
      <c r="T189" s="1" t="s">
        <v>263</v>
      </c>
      <c r="U189" s="1" t="s">
        <v>976</v>
      </c>
      <c r="V189" s="1" t="s">
        <v>160</v>
      </c>
      <c r="W189" s="1" t="s">
        <v>160</v>
      </c>
      <c r="X189" s="1" t="s">
        <v>160</v>
      </c>
      <c r="Y189" s="1" t="s">
        <v>160</v>
      </c>
      <c r="Z189" s="1" t="s">
        <v>160</v>
      </c>
      <c r="AA189" s="1" t="s">
        <v>159</v>
      </c>
      <c r="AB189" s="1" t="s">
        <v>159</v>
      </c>
      <c r="AC189" s="1" t="s">
        <v>160</v>
      </c>
      <c r="AD189" s="1" t="s">
        <v>160</v>
      </c>
      <c r="AE189" s="1" t="s">
        <v>160</v>
      </c>
      <c r="AF189" s="1" t="s">
        <v>160</v>
      </c>
      <c r="AG189" s="1" t="s">
        <v>160</v>
      </c>
      <c r="AH189" s="1">
        <v>4</v>
      </c>
      <c r="AI189" s="1" t="s">
        <v>160</v>
      </c>
      <c r="AJ189" s="1" t="s">
        <v>163</v>
      </c>
      <c r="AK189" s="1" t="s">
        <v>162</v>
      </c>
      <c r="AL189" s="1" t="s">
        <v>163</v>
      </c>
      <c r="AM189" s="1" t="s">
        <v>162</v>
      </c>
      <c r="AN189" s="1" t="s">
        <v>192</v>
      </c>
      <c r="AO189" s="1" t="s">
        <v>179</v>
      </c>
      <c r="AP189" s="1" t="s">
        <v>179</v>
      </c>
      <c r="AQ189" s="3">
        <v>34085</v>
      </c>
      <c r="AR189" s="1" t="s">
        <v>160</v>
      </c>
      <c r="AS189" s="1" t="s">
        <v>160</v>
      </c>
      <c r="AT189" s="1" t="s">
        <v>180</v>
      </c>
      <c r="AU189" s="1" t="s">
        <v>159</v>
      </c>
      <c r="AV189" s="1" t="s">
        <v>159</v>
      </c>
      <c r="AW189" s="1" t="s">
        <v>159</v>
      </c>
      <c r="AX189" s="1" t="s">
        <v>159</v>
      </c>
      <c r="AY189" s="1" t="s">
        <v>159</v>
      </c>
      <c r="AZ189" s="1" t="s">
        <v>160</v>
      </c>
      <c r="BA189" s="1" t="s">
        <v>159</v>
      </c>
      <c r="BB189" s="1" t="s">
        <v>167</v>
      </c>
      <c r="BC189" s="1" t="s">
        <v>160</v>
      </c>
      <c r="BE189" s="1" t="s">
        <v>980</v>
      </c>
      <c r="BF189" s="1" t="s">
        <v>160</v>
      </c>
      <c r="BG189" s="1" t="s">
        <v>981</v>
      </c>
    </row>
    <row r="190" spans="1:59" ht="13" x14ac:dyDescent="0.15">
      <c r="A190" s="2">
        <v>44175.648611111108</v>
      </c>
      <c r="B190" s="2">
        <v>44175.65</v>
      </c>
      <c r="C190" s="1" t="s">
        <v>39</v>
      </c>
      <c r="D190" s="1" t="s">
        <v>234</v>
      </c>
      <c r="E190" s="1">
        <v>100</v>
      </c>
      <c r="F190" s="1">
        <v>116</v>
      </c>
      <c r="G190" s="1" t="b">
        <v>1</v>
      </c>
      <c r="H190" s="2">
        <v>44175.65</v>
      </c>
      <c r="I190" s="1" t="s">
        <v>982</v>
      </c>
      <c r="N190" s="1">
        <v>34.048492430000003</v>
      </c>
      <c r="O190" s="1">
        <v>-118.2528992</v>
      </c>
      <c r="P190" s="1" t="s">
        <v>153</v>
      </c>
      <c r="Q190" s="1" t="s">
        <v>154</v>
      </c>
      <c r="R190" s="1" t="s">
        <v>236</v>
      </c>
      <c r="S190" s="1" t="s">
        <v>175</v>
      </c>
      <c r="T190" s="1" t="s">
        <v>176</v>
      </c>
      <c r="U190" s="1" t="s">
        <v>983</v>
      </c>
      <c r="V190" s="1" t="s">
        <v>160</v>
      </c>
      <c r="W190" s="1" t="s">
        <v>160</v>
      </c>
      <c r="X190" s="1" t="s">
        <v>160</v>
      </c>
      <c r="Y190" s="1" t="s">
        <v>160</v>
      </c>
      <c r="Z190" s="1" t="s">
        <v>160</v>
      </c>
      <c r="AA190" s="1" t="s">
        <v>160</v>
      </c>
      <c r="AB190" s="1" t="s">
        <v>160</v>
      </c>
      <c r="AC190" s="1" t="s">
        <v>160</v>
      </c>
      <c r="AD190" s="1" t="s">
        <v>160</v>
      </c>
      <c r="AE190" s="1" t="s">
        <v>160</v>
      </c>
      <c r="AF190" s="1" t="s">
        <v>160</v>
      </c>
      <c r="AG190" s="1" t="s">
        <v>160</v>
      </c>
      <c r="AI190" s="1" t="s">
        <v>160</v>
      </c>
      <c r="AJ190" s="1" t="s">
        <v>164</v>
      </c>
      <c r="AK190" s="1" t="s">
        <v>192</v>
      </c>
      <c r="AL190" s="1" t="s">
        <v>192</v>
      </c>
      <c r="AM190" s="1" t="s">
        <v>198</v>
      </c>
      <c r="AN190" s="1" t="s">
        <v>163</v>
      </c>
      <c r="AO190" s="1" t="s">
        <v>179</v>
      </c>
      <c r="AP190" s="1" t="s">
        <v>179</v>
      </c>
      <c r="AR190" s="1" t="s">
        <v>160</v>
      </c>
      <c r="AS190" s="1" t="s">
        <v>160</v>
      </c>
      <c r="AT190" s="1" t="s">
        <v>633</v>
      </c>
      <c r="AU190" s="1" t="s">
        <v>159</v>
      </c>
      <c r="AV190" s="1" t="s">
        <v>159</v>
      </c>
      <c r="AW190" s="1" t="s">
        <v>159</v>
      </c>
      <c r="AX190" s="1" t="s">
        <v>160</v>
      </c>
      <c r="AY190" s="1" t="s">
        <v>160</v>
      </c>
      <c r="AZ190" s="1" t="s">
        <v>160</v>
      </c>
      <c r="BA190" s="1" t="s">
        <v>159</v>
      </c>
      <c r="BB190" s="1" t="s">
        <v>241</v>
      </c>
      <c r="BC190" s="1" t="s">
        <v>160</v>
      </c>
      <c r="BD190" s="1" t="s">
        <v>984</v>
      </c>
      <c r="BE190" s="1" t="s">
        <v>985</v>
      </c>
      <c r="BF190" s="1" t="s">
        <v>160</v>
      </c>
    </row>
    <row r="191" spans="1:59" ht="13" x14ac:dyDescent="0.15">
      <c r="A191" s="2">
        <v>44175.648611111108</v>
      </c>
      <c r="B191" s="2">
        <v>44175.65</v>
      </c>
      <c r="C191" s="1" t="s">
        <v>39</v>
      </c>
      <c r="D191" s="1" t="s">
        <v>986</v>
      </c>
      <c r="E191" s="1">
        <v>100</v>
      </c>
      <c r="F191" s="1">
        <v>135</v>
      </c>
      <c r="G191" s="1" t="b">
        <v>1</v>
      </c>
      <c r="H191" s="2">
        <v>44175.65</v>
      </c>
      <c r="I191" s="1" t="s">
        <v>987</v>
      </c>
      <c r="N191" s="1">
        <v>41.920898440000002</v>
      </c>
      <c r="O191" s="1">
        <v>-87.704299930000005</v>
      </c>
      <c r="P191" s="1" t="s">
        <v>153</v>
      </c>
      <c r="Q191" s="1" t="s">
        <v>154</v>
      </c>
      <c r="R191" s="1" t="s">
        <v>174</v>
      </c>
      <c r="S191" s="1" t="s">
        <v>208</v>
      </c>
      <c r="T191" s="1" t="s">
        <v>176</v>
      </c>
      <c r="U191" s="1" t="s">
        <v>806</v>
      </c>
      <c r="V191" s="1" t="s">
        <v>160</v>
      </c>
      <c r="W191" s="1" t="s">
        <v>160</v>
      </c>
      <c r="X191" s="1" t="s">
        <v>160</v>
      </c>
      <c r="Y191" s="1" t="s">
        <v>160</v>
      </c>
      <c r="Z191" s="1" t="s">
        <v>160</v>
      </c>
      <c r="AA191" s="1" t="s">
        <v>160</v>
      </c>
      <c r="AB191" s="1" t="s">
        <v>160</v>
      </c>
      <c r="AC191" s="1" t="s">
        <v>160</v>
      </c>
      <c r="AD191" s="1" t="s">
        <v>160</v>
      </c>
      <c r="AE191" s="1" t="s">
        <v>160</v>
      </c>
      <c r="AF191" s="1" t="s">
        <v>160</v>
      </c>
      <c r="AG191" s="1" t="s">
        <v>160</v>
      </c>
      <c r="AH191" s="1">
        <v>5</v>
      </c>
      <c r="AI191" s="1" t="s">
        <v>160</v>
      </c>
      <c r="AJ191" s="1" t="s">
        <v>198</v>
      </c>
      <c r="AK191" s="1" t="s">
        <v>164</v>
      </c>
      <c r="AL191" s="1" t="s">
        <v>164</v>
      </c>
      <c r="AM191" s="1" t="s">
        <v>164</v>
      </c>
      <c r="AN191" s="1" t="s">
        <v>164</v>
      </c>
      <c r="AO191" s="1" t="s">
        <v>179</v>
      </c>
      <c r="AP191" s="1" t="s">
        <v>179</v>
      </c>
      <c r="AQ191" s="1">
        <v>1997</v>
      </c>
      <c r="AR191" s="1" t="s">
        <v>159</v>
      </c>
      <c r="AS191" s="1" t="s">
        <v>159</v>
      </c>
      <c r="AT191" s="1" t="s">
        <v>166</v>
      </c>
      <c r="AU191" s="1" t="s">
        <v>159</v>
      </c>
      <c r="AV191" s="1" t="s">
        <v>159</v>
      </c>
      <c r="AW191" s="1" t="s">
        <v>159</v>
      </c>
      <c r="AX191" s="1" t="s">
        <v>159</v>
      </c>
      <c r="AY191" s="1" t="s">
        <v>159</v>
      </c>
      <c r="AZ191" s="1" t="s">
        <v>159</v>
      </c>
      <c r="BA191" s="1" t="s">
        <v>159</v>
      </c>
      <c r="BB191" s="1" t="s">
        <v>167</v>
      </c>
      <c r="BC191" s="1" t="s">
        <v>159</v>
      </c>
      <c r="BE191" s="1" t="s">
        <v>988</v>
      </c>
      <c r="BF191" s="1" t="s">
        <v>160</v>
      </c>
      <c r="BG191" s="1" t="s">
        <v>988</v>
      </c>
    </row>
    <row r="192" spans="1:59" ht="13" x14ac:dyDescent="0.15">
      <c r="A192" s="2">
        <v>44175.642361111109</v>
      </c>
      <c r="B192" s="2">
        <v>44175.65</v>
      </c>
      <c r="C192" s="1" t="s">
        <v>39</v>
      </c>
      <c r="D192" s="1" t="s">
        <v>989</v>
      </c>
      <c r="E192" s="1">
        <v>100</v>
      </c>
      <c r="F192" s="1">
        <v>677</v>
      </c>
      <c r="G192" s="1" t="b">
        <v>1</v>
      </c>
      <c r="H192" s="2">
        <v>44175.65</v>
      </c>
      <c r="I192" s="1" t="s">
        <v>990</v>
      </c>
      <c r="N192" s="1">
        <v>26.116806029999999</v>
      </c>
      <c r="O192" s="1">
        <v>-80.429901119999997</v>
      </c>
      <c r="P192" s="1" t="s">
        <v>153</v>
      </c>
      <c r="Q192" s="1" t="s">
        <v>154</v>
      </c>
      <c r="R192" s="1" t="s">
        <v>174</v>
      </c>
      <c r="S192" s="1" t="s">
        <v>208</v>
      </c>
      <c r="T192" s="1" t="s">
        <v>263</v>
      </c>
      <c r="U192" s="1" t="s">
        <v>570</v>
      </c>
      <c r="V192" s="1" t="s">
        <v>160</v>
      </c>
      <c r="W192" s="1" t="s">
        <v>160</v>
      </c>
      <c r="X192" s="1" t="s">
        <v>160</v>
      </c>
      <c r="Y192" s="1" t="s">
        <v>160</v>
      </c>
      <c r="Z192" s="1" t="s">
        <v>160</v>
      </c>
      <c r="AA192" s="1" t="s">
        <v>160</v>
      </c>
      <c r="AB192" s="1" t="s">
        <v>159</v>
      </c>
      <c r="AC192" s="1" t="s">
        <v>159</v>
      </c>
      <c r="AD192" s="1" t="s">
        <v>160</v>
      </c>
      <c r="AE192" s="1" t="s">
        <v>160</v>
      </c>
      <c r="AF192" s="1" t="s">
        <v>160</v>
      </c>
      <c r="AG192" s="1" t="s">
        <v>160</v>
      </c>
      <c r="AH192" s="1">
        <v>2</v>
      </c>
      <c r="AI192" s="1" t="s">
        <v>160</v>
      </c>
      <c r="AJ192" s="1" t="s">
        <v>192</v>
      </c>
      <c r="AK192" s="1" t="s">
        <v>163</v>
      </c>
      <c r="AL192" s="1" t="s">
        <v>163</v>
      </c>
      <c r="AM192" s="1" t="s">
        <v>162</v>
      </c>
      <c r="AN192" s="1" t="s">
        <v>163</v>
      </c>
      <c r="AO192" s="1" t="s">
        <v>165</v>
      </c>
      <c r="AP192" s="1" t="s">
        <v>165</v>
      </c>
      <c r="AQ192" s="1">
        <v>1997</v>
      </c>
      <c r="AR192" s="1" t="s">
        <v>160</v>
      </c>
      <c r="AS192" s="1" t="s">
        <v>160</v>
      </c>
      <c r="AT192" s="1" t="s">
        <v>180</v>
      </c>
      <c r="AU192" s="1" t="s">
        <v>159</v>
      </c>
      <c r="AV192" s="1" t="s">
        <v>159</v>
      </c>
      <c r="AW192" s="1" t="s">
        <v>159</v>
      </c>
      <c r="AX192" s="1" t="s">
        <v>159</v>
      </c>
      <c r="AY192" s="1" t="s">
        <v>159</v>
      </c>
      <c r="AZ192" s="1" t="s">
        <v>159</v>
      </c>
      <c r="BA192" s="1" t="s">
        <v>159</v>
      </c>
      <c r="BB192" s="1" t="s">
        <v>241</v>
      </c>
      <c r="BC192" s="1" t="s">
        <v>159</v>
      </c>
      <c r="BE192" s="1" t="s">
        <v>991</v>
      </c>
      <c r="BF192" s="1" t="s">
        <v>159</v>
      </c>
    </row>
    <row r="193" spans="1:59" ht="13" x14ac:dyDescent="0.15">
      <c r="A193" s="2">
        <v>44175.649305555555</v>
      </c>
      <c r="B193" s="2">
        <v>44175.650694444441</v>
      </c>
      <c r="C193" s="1" t="s">
        <v>39</v>
      </c>
      <c r="D193" s="1" t="s">
        <v>992</v>
      </c>
      <c r="E193" s="1">
        <v>100</v>
      </c>
      <c r="F193" s="1">
        <v>143</v>
      </c>
      <c r="G193" s="1" t="b">
        <v>1</v>
      </c>
      <c r="H193" s="2">
        <v>44175.650694444441</v>
      </c>
      <c r="I193" s="1" t="s">
        <v>993</v>
      </c>
      <c r="N193" s="1">
        <v>41.746704100000002</v>
      </c>
      <c r="O193" s="1">
        <v>-87.720703130000004</v>
      </c>
      <c r="P193" s="1" t="s">
        <v>153</v>
      </c>
      <c r="Q193" s="1" t="s">
        <v>154</v>
      </c>
      <c r="R193" s="1" t="s">
        <v>174</v>
      </c>
      <c r="S193" s="1" t="s">
        <v>208</v>
      </c>
      <c r="T193" s="1" t="s">
        <v>176</v>
      </c>
      <c r="U193" s="1" t="s">
        <v>806</v>
      </c>
      <c r="V193" s="1" t="s">
        <v>159</v>
      </c>
      <c r="W193" s="1" t="s">
        <v>160</v>
      </c>
      <c r="X193" s="1" t="s">
        <v>160</v>
      </c>
      <c r="Y193" s="1" t="s">
        <v>160</v>
      </c>
      <c r="Z193" s="1" t="s">
        <v>160</v>
      </c>
      <c r="AA193" s="1" t="s">
        <v>160</v>
      </c>
      <c r="AB193" s="1" t="s">
        <v>160</v>
      </c>
      <c r="AC193" s="1" t="s">
        <v>160</v>
      </c>
      <c r="AD193" s="1" t="s">
        <v>160</v>
      </c>
      <c r="AE193" s="1" t="s">
        <v>160</v>
      </c>
      <c r="AF193" s="1" t="s">
        <v>160</v>
      </c>
      <c r="AG193" s="1" t="s">
        <v>160</v>
      </c>
      <c r="AH193" s="1">
        <v>3</v>
      </c>
      <c r="AI193" s="1" t="s">
        <v>160</v>
      </c>
      <c r="AJ193" s="1" t="s">
        <v>198</v>
      </c>
      <c r="AK193" s="1" t="s">
        <v>164</v>
      </c>
      <c r="AL193" s="1" t="s">
        <v>164</v>
      </c>
      <c r="AM193" s="1" t="s">
        <v>198</v>
      </c>
      <c r="AN193" s="1" t="s">
        <v>198</v>
      </c>
      <c r="AO193" s="1" t="s">
        <v>179</v>
      </c>
      <c r="AP193" s="1" t="s">
        <v>179</v>
      </c>
      <c r="AQ193" s="1">
        <v>2000</v>
      </c>
      <c r="AR193" s="1" t="s">
        <v>159</v>
      </c>
      <c r="AS193" s="1" t="s">
        <v>159</v>
      </c>
      <c r="AT193" s="1" t="s">
        <v>210</v>
      </c>
      <c r="AU193" s="1" t="s">
        <v>159</v>
      </c>
      <c r="AV193" s="1" t="s">
        <v>159</v>
      </c>
      <c r="AW193" s="1" t="s">
        <v>159</v>
      </c>
      <c r="AX193" s="1" t="s">
        <v>159</v>
      </c>
      <c r="AY193" s="1" t="s">
        <v>159</v>
      </c>
      <c r="AZ193" s="1" t="s">
        <v>159</v>
      </c>
      <c r="BA193" s="1" t="s">
        <v>159</v>
      </c>
      <c r="BB193" s="1" t="s">
        <v>167</v>
      </c>
      <c r="BC193" s="1" t="s">
        <v>159</v>
      </c>
      <c r="BE193" s="1" t="s">
        <v>994</v>
      </c>
      <c r="BF193" s="1" t="s">
        <v>160</v>
      </c>
      <c r="BG193" s="1" t="s">
        <v>994</v>
      </c>
    </row>
    <row r="194" spans="1:59" ht="13" x14ac:dyDescent="0.15">
      <c r="A194" s="2">
        <v>44175.648611111108</v>
      </c>
      <c r="B194" s="2">
        <v>44175.650694444441</v>
      </c>
      <c r="C194" s="1" t="s">
        <v>39</v>
      </c>
      <c r="D194" s="1" t="s">
        <v>995</v>
      </c>
      <c r="E194" s="1">
        <v>100</v>
      </c>
      <c r="F194" s="1">
        <v>231</v>
      </c>
      <c r="G194" s="1" t="b">
        <v>1</v>
      </c>
      <c r="H194" s="2">
        <v>44175.650694444441</v>
      </c>
      <c r="I194" s="1" t="s">
        <v>996</v>
      </c>
      <c r="N194" s="1">
        <v>33.310302729999997</v>
      </c>
      <c r="O194" s="1">
        <v>-96.767303470000002</v>
      </c>
      <c r="P194" s="1" t="s">
        <v>153</v>
      </c>
      <c r="Q194" s="1" t="s">
        <v>154</v>
      </c>
      <c r="R194" s="1" t="s">
        <v>174</v>
      </c>
      <c r="S194" s="1" t="s">
        <v>226</v>
      </c>
      <c r="T194" s="1" t="s">
        <v>176</v>
      </c>
      <c r="U194" s="1" t="s">
        <v>261</v>
      </c>
      <c r="V194" s="1" t="s">
        <v>159</v>
      </c>
      <c r="W194" s="1" t="s">
        <v>160</v>
      </c>
      <c r="X194" s="1" t="s">
        <v>160</v>
      </c>
      <c r="Y194" s="1" t="s">
        <v>159</v>
      </c>
      <c r="Z194" s="1" t="s">
        <v>160</v>
      </c>
      <c r="AA194" s="1" t="s">
        <v>159</v>
      </c>
      <c r="AB194" s="1" t="s">
        <v>159</v>
      </c>
      <c r="AC194" s="1" t="s">
        <v>160</v>
      </c>
      <c r="AD194" s="1" t="s">
        <v>159</v>
      </c>
      <c r="AE194" s="1" t="s">
        <v>159</v>
      </c>
      <c r="AF194" s="1" t="s">
        <v>160</v>
      </c>
      <c r="AG194" s="1" t="s">
        <v>160</v>
      </c>
      <c r="AI194" s="1" t="s">
        <v>160</v>
      </c>
      <c r="AJ194" s="1" t="s">
        <v>162</v>
      </c>
      <c r="AK194" s="1" t="s">
        <v>163</v>
      </c>
      <c r="AL194" s="1" t="s">
        <v>162</v>
      </c>
      <c r="AM194" s="1" t="s">
        <v>163</v>
      </c>
      <c r="AN194" s="1" t="s">
        <v>162</v>
      </c>
      <c r="AO194" s="1" t="s">
        <v>165</v>
      </c>
      <c r="AP194" s="1" t="s">
        <v>165</v>
      </c>
      <c r="AR194" s="1" t="s">
        <v>160</v>
      </c>
      <c r="AS194" s="1" t="s">
        <v>159</v>
      </c>
      <c r="AT194" s="1" t="s">
        <v>322</v>
      </c>
      <c r="AU194" s="1" t="s">
        <v>159</v>
      </c>
      <c r="AV194" s="1" t="s">
        <v>160</v>
      </c>
      <c r="AW194" s="1" t="s">
        <v>159</v>
      </c>
      <c r="AX194" s="1" t="s">
        <v>159</v>
      </c>
      <c r="AY194" s="1" t="s">
        <v>159</v>
      </c>
      <c r="AZ194" s="1" t="s">
        <v>160</v>
      </c>
      <c r="BA194" s="1" t="s">
        <v>159</v>
      </c>
      <c r="BB194" s="1" t="s">
        <v>167</v>
      </c>
      <c r="BC194" s="1" t="s">
        <v>159</v>
      </c>
      <c r="BE194" s="1" t="s">
        <v>997</v>
      </c>
      <c r="BF194" s="1" t="s">
        <v>160</v>
      </c>
      <c r="BG194" s="1" t="s">
        <v>997</v>
      </c>
    </row>
    <row r="195" spans="1:59" ht="13" x14ac:dyDescent="0.15">
      <c r="A195" s="2">
        <v>44175.65</v>
      </c>
      <c r="B195" s="2">
        <v>44175.651388888888</v>
      </c>
      <c r="C195" s="1" t="s">
        <v>39</v>
      </c>
      <c r="D195" s="1" t="s">
        <v>998</v>
      </c>
      <c r="E195" s="1">
        <v>100</v>
      </c>
      <c r="F195" s="1">
        <v>154</v>
      </c>
      <c r="G195" s="1" t="b">
        <v>1</v>
      </c>
      <c r="H195" s="2">
        <v>44175.651388888888</v>
      </c>
      <c r="I195" s="1" t="s">
        <v>999</v>
      </c>
      <c r="N195" s="1">
        <v>32.653701779999999</v>
      </c>
      <c r="O195" s="1">
        <v>-97.374198910000004</v>
      </c>
      <c r="P195" s="1" t="s">
        <v>153</v>
      </c>
      <c r="Q195" s="1" t="s">
        <v>154</v>
      </c>
      <c r="R195" s="1" t="s">
        <v>155</v>
      </c>
      <c r="S195" s="1" t="s">
        <v>208</v>
      </c>
      <c r="T195" s="1" t="s">
        <v>176</v>
      </c>
      <c r="U195" s="1" t="s">
        <v>202</v>
      </c>
      <c r="V195" s="1" t="s">
        <v>160</v>
      </c>
      <c r="W195" s="1" t="s">
        <v>160</v>
      </c>
      <c r="X195" s="1" t="s">
        <v>160</v>
      </c>
      <c r="Y195" s="1" t="s">
        <v>160</v>
      </c>
      <c r="Z195" s="1" t="s">
        <v>160</v>
      </c>
      <c r="AA195" s="1" t="s">
        <v>159</v>
      </c>
      <c r="AB195" s="1" t="s">
        <v>160</v>
      </c>
      <c r="AC195" s="1" t="s">
        <v>160</v>
      </c>
      <c r="AD195" s="1" t="s">
        <v>159</v>
      </c>
      <c r="AE195" s="1" t="s">
        <v>160</v>
      </c>
      <c r="AF195" s="1" t="s">
        <v>160</v>
      </c>
      <c r="AG195" s="1" t="s">
        <v>160</v>
      </c>
      <c r="AH195" s="1">
        <v>6</v>
      </c>
      <c r="AI195" s="1" t="s">
        <v>160</v>
      </c>
      <c r="AJ195" s="1" t="s">
        <v>192</v>
      </c>
      <c r="AK195" s="1" t="s">
        <v>164</v>
      </c>
      <c r="AL195" s="1" t="s">
        <v>192</v>
      </c>
      <c r="AM195" s="1" t="s">
        <v>162</v>
      </c>
      <c r="AN195" s="1" t="s">
        <v>163</v>
      </c>
      <c r="AO195" s="1" t="s">
        <v>179</v>
      </c>
      <c r="AP195" s="1" t="s">
        <v>179</v>
      </c>
      <c r="AQ195" s="1">
        <v>1997</v>
      </c>
      <c r="AR195" s="1" t="s">
        <v>160</v>
      </c>
      <c r="AS195" s="1" t="s">
        <v>160</v>
      </c>
      <c r="AT195" s="1" t="s">
        <v>180</v>
      </c>
      <c r="AU195" s="1" t="s">
        <v>159</v>
      </c>
      <c r="AV195" s="1" t="s">
        <v>159</v>
      </c>
      <c r="AW195" s="1" t="s">
        <v>159</v>
      </c>
      <c r="AX195" s="1" t="s">
        <v>159</v>
      </c>
      <c r="AY195" s="1" t="s">
        <v>159</v>
      </c>
      <c r="AZ195" s="1" t="s">
        <v>159</v>
      </c>
      <c r="BA195" s="1" t="s">
        <v>159</v>
      </c>
      <c r="BB195" s="1" t="s">
        <v>181</v>
      </c>
      <c r="BC195" s="1" t="s">
        <v>159</v>
      </c>
      <c r="BE195" s="1" t="s">
        <v>1000</v>
      </c>
      <c r="BF195" s="1" t="s">
        <v>159</v>
      </c>
    </row>
    <row r="196" spans="1:59" ht="13" x14ac:dyDescent="0.15">
      <c r="A196" s="2">
        <v>44175.65</v>
      </c>
      <c r="B196" s="2">
        <v>44175.651388888888</v>
      </c>
      <c r="C196" s="1" t="s">
        <v>39</v>
      </c>
      <c r="D196" s="1" t="s">
        <v>234</v>
      </c>
      <c r="E196" s="1">
        <v>100</v>
      </c>
      <c r="F196" s="1">
        <v>116</v>
      </c>
      <c r="G196" s="1" t="b">
        <v>1</v>
      </c>
      <c r="H196" s="2">
        <v>44175.651388888888</v>
      </c>
      <c r="I196" s="1" t="s">
        <v>1001</v>
      </c>
      <c r="N196" s="1">
        <v>34.048492430000003</v>
      </c>
      <c r="O196" s="1">
        <v>-118.2528992</v>
      </c>
      <c r="P196" s="1" t="s">
        <v>153</v>
      </c>
      <c r="Q196" s="1" t="s">
        <v>154</v>
      </c>
      <c r="R196" s="1" t="s">
        <v>174</v>
      </c>
      <c r="S196" s="1" t="s">
        <v>208</v>
      </c>
      <c r="T196" s="1" t="s">
        <v>176</v>
      </c>
      <c r="U196" s="1" t="s">
        <v>436</v>
      </c>
      <c r="V196" s="1" t="s">
        <v>160</v>
      </c>
      <c r="W196" s="1" t="s">
        <v>160</v>
      </c>
      <c r="X196" s="1" t="s">
        <v>160</v>
      </c>
      <c r="Y196" s="1" t="s">
        <v>160</v>
      </c>
      <c r="Z196" s="1" t="s">
        <v>160</v>
      </c>
      <c r="AA196" s="1" t="s">
        <v>160</v>
      </c>
      <c r="AB196" s="1" t="s">
        <v>160</v>
      </c>
      <c r="AC196" s="1" t="s">
        <v>160</v>
      </c>
      <c r="AD196" s="1" t="s">
        <v>160</v>
      </c>
      <c r="AE196" s="1" t="s">
        <v>160</v>
      </c>
      <c r="AF196" s="1" t="s">
        <v>160</v>
      </c>
      <c r="AG196" s="1" t="s">
        <v>160</v>
      </c>
      <c r="AI196" s="1" t="s">
        <v>160</v>
      </c>
      <c r="AJ196" s="1" t="s">
        <v>163</v>
      </c>
      <c r="AK196" s="1" t="s">
        <v>164</v>
      </c>
      <c r="AL196" s="1" t="s">
        <v>163</v>
      </c>
      <c r="AM196" s="1" t="s">
        <v>163</v>
      </c>
      <c r="AN196" s="1" t="s">
        <v>192</v>
      </c>
      <c r="AO196" s="1" t="s">
        <v>179</v>
      </c>
      <c r="AP196" s="1" t="s">
        <v>239</v>
      </c>
      <c r="AR196" s="1" t="s">
        <v>160</v>
      </c>
      <c r="AS196" s="1" t="s">
        <v>160</v>
      </c>
      <c r="AT196" s="1" t="s">
        <v>1002</v>
      </c>
      <c r="AU196" s="1" t="s">
        <v>160</v>
      </c>
      <c r="AV196" s="1" t="s">
        <v>160</v>
      </c>
      <c r="AW196" s="1" t="s">
        <v>159</v>
      </c>
      <c r="AX196" s="1" t="s">
        <v>159</v>
      </c>
      <c r="AY196" s="1" t="s">
        <v>160</v>
      </c>
      <c r="AZ196" s="1" t="s">
        <v>160</v>
      </c>
      <c r="BA196" s="1" t="s">
        <v>160</v>
      </c>
      <c r="BB196" s="1" t="s">
        <v>241</v>
      </c>
      <c r="BC196" s="1" t="s">
        <v>160</v>
      </c>
      <c r="BD196" s="1" t="s">
        <v>1003</v>
      </c>
      <c r="BE196" s="1" t="s">
        <v>1004</v>
      </c>
      <c r="BF196" s="1" t="s">
        <v>160</v>
      </c>
    </row>
    <row r="197" spans="1:59" ht="13" x14ac:dyDescent="0.15">
      <c r="A197" s="2">
        <v>44175.65</v>
      </c>
      <c r="B197" s="2">
        <v>44175.651388888888</v>
      </c>
      <c r="C197" s="1" t="s">
        <v>39</v>
      </c>
      <c r="D197" s="1" t="s">
        <v>1005</v>
      </c>
      <c r="E197" s="1">
        <v>100</v>
      </c>
      <c r="F197" s="1">
        <v>121</v>
      </c>
      <c r="G197" s="1" t="b">
        <v>1</v>
      </c>
      <c r="H197" s="2">
        <v>44175.651388888888</v>
      </c>
      <c r="I197" s="1" t="s">
        <v>1006</v>
      </c>
      <c r="N197" s="1">
        <v>40.903900149999998</v>
      </c>
      <c r="O197" s="1">
        <v>-73.83699799</v>
      </c>
      <c r="P197" s="1" t="s">
        <v>153</v>
      </c>
      <c r="Q197" s="1" t="s">
        <v>154</v>
      </c>
      <c r="R197" s="1" t="s">
        <v>174</v>
      </c>
      <c r="S197" s="1" t="s">
        <v>208</v>
      </c>
      <c r="T197" s="1" t="s">
        <v>263</v>
      </c>
      <c r="U197" s="1" t="s">
        <v>418</v>
      </c>
      <c r="V197" s="1" t="s">
        <v>160</v>
      </c>
      <c r="W197" s="1" t="s">
        <v>160</v>
      </c>
      <c r="X197" s="1" t="s">
        <v>160</v>
      </c>
      <c r="Y197" s="1" t="s">
        <v>160</v>
      </c>
      <c r="Z197" s="1" t="s">
        <v>160</v>
      </c>
      <c r="AA197" s="1" t="s">
        <v>160</v>
      </c>
      <c r="AB197" s="1" t="s">
        <v>160</v>
      </c>
      <c r="AC197" s="1" t="s">
        <v>159</v>
      </c>
      <c r="AD197" s="1" t="s">
        <v>159</v>
      </c>
      <c r="AE197" s="1" t="s">
        <v>160</v>
      </c>
      <c r="AF197" s="1" t="s">
        <v>159</v>
      </c>
      <c r="AG197" s="1" t="s">
        <v>160</v>
      </c>
      <c r="AH197" s="1">
        <v>2</v>
      </c>
      <c r="AI197" s="1" t="s">
        <v>160</v>
      </c>
      <c r="AJ197" s="1" t="s">
        <v>163</v>
      </c>
      <c r="AK197" s="1" t="s">
        <v>192</v>
      </c>
      <c r="AL197" s="1" t="s">
        <v>163</v>
      </c>
      <c r="AM197" s="1" t="s">
        <v>163</v>
      </c>
      <c r="AN197" s="1" t="s">
        <v>162</v>
      </c>
      <c r="AO197" s="1" t="s">
        <v>165</v>
      </c>
      <c r="AP197" s="1" t="s">
        <v>165</v>
      </c>
      <c r="AQ197" s="1">
        <v>1997</v>
      </c>
      <c r="AR197" s="1" t="s">
        <v>160</v>
      </c>
      <c r="AS197" s="1" t="s">
        <v>160</v>
      </c>
      <c r="AT197" s="1" t="s">
        <v>180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159</v>
      </c>
      <c r="BA197" s="1" t="s">
        <v>159</v>
      </c>
      <c r="BB197" s="1" t="s">
        <v>241</v>
      </c>
      <c r="BC197" s="1" t="s">
        <v>160</v>
      </c>
      <c r="BE197" s="1" t="s">
        <v>1007</v>
      </c>
      <c r="BF197" s="1" t="s">
        <v>159</v>
      </c>
    </row>
    <row r="198" spans="1:59" ht="13" x14ac:dyDescent="0.15">
      <c r="A198" s="2">
        <v>44175.652083333334</v>
      </c>
      <c r="B198" s="2">
        <v>44175.652777777781</v>
      </c>
      <c r="C198" s="1" t="s">
        <v>39</v>
      </c>
      <c r="D198" s="1" t="s">
        <v>1008</v>
      </c>
      <c r="E198" s="1">
        <v>100</v>
      </c>
      <c r="F198" s="1">
        <v>89</v>
      </c>
      <c r="G198" s="1" t="b">
        <v>1</v>
      </c>
      <c r="H198" s="2">
        <v>44175.652777777781</v>
      </c>
      <c r="I198" s="1" t="s">
        <v>1009</v>
      </c>
      <c r="N198" s="1">
        <v>42.365295410000002</v>
      </c>
      <c r="O198" s="1">
        <v>-87.947196959999999</v>
      </c>
      <c r="P198" s="1" t="s">
        <v>153</v>
      </c>
      <c r="Q198" s="1" t="s">
        <v>154</v>
      </c>
      <c r="R198" s="1" t="s">
        <v>174</v>
      </c>
      <c r="S198" s="1" t="s">
        <v>208</v>
      </c>
      <c r="T198" s="1" t="s">
        <v>263</v>
      </c>
      <c r="U198" s="1" t="s">
        <v>418</v>
      </c>
      <c r="V198" s="1" t="s">
        <v>160</v>
      </c>
      <c r="W198" s="1" t="s">
        <v>160</v>
      </c>
      <c r="X198" s="1" t="s">
        <v>160</v>
      </c>
      <c r="Y198" s="1" t="s">
        <v>160</v>
      </c>
      <c r="Z198" s="1" t="s">
        <v>160</v>
      </c>
      <c r="AA198" s="1" t="s">
        <v>160</v>
      </c>
      <c r="AB198" s="1" t="s">
        <v>160</v>
      </c>
      <c r="AC198" s="1" t="s">
        <v>160</v>
      </c>
      <c r="AD198" s="1" t="s">
        <v>160</v>
      </c>
      <c r="AE198" s="1" t="s">
        <v>160</v>
      </c>
      <c r="AF198" s="1" t="s">
        <v>160</v>
      </c>
      <c r="AG198" s="1" t="s">
        <v>160</v>
      </c>
      <c r="AH198" s="1">
        <v>3</v>
      </c>
      <c r="AI198" s="1" t="s">
        <v>160</v>
      </c>
      <c r="AJ198" s="1" t="s">
        <v>163</v>
      </c>
      <c r="AK198" s="1" t="s">
        <v>163</v>
      </c>
      <c r="AL198" s="1" t="s">
        <v>192</v>
      </c>
      <c r="AM198" s="1" t="s">
        <v>163</v>
      </c>
      <c r="AN198" s="1" t="s">
        <v>162</v>
      </c>
      <c r="AO198" s="1" t="s">
        <v>165</v>
      </c>
      <c r="AP198" s="1" t="s">
        <v>165</v>
      </c>
      <c r="AQ198" s="1">
        <v>1997</v>
      </c>
      <c r="AR198" s="1" t="s">
        <v>160</v>
      </c>
      <c r="AS198" s="1" t="s">
        <v>160</v>
      </c>
      <c r="AT198" s="1" t="s">
        <v>180</v>
      </c>
      <c r="AU198" s="1" t="s">
        <v>159</v>
      </c>
      <c r="AV198" s="1" t="s">
        <v>159</v>
      </c>
      <c r="AW198" s="1" t="s">
        <v>159</v>
      </c>
      <c r="AX198" s="1" t="s">
        <v>159</v>
      </c>
      <c r="AY198" s="1" t="s">
        <v>159</v>
      </c>
      <c r="AZ198" s="1" t="s">
        <v>159</v>
      </c>
      <c r="BA198" s="1" t="s">
        <v>159</v>
      </c>
      <c r="BB198" s="1" t="s">
        <v>241</v>
      </c>
      <c r="BC198" s="1" t="s">
        <v>160</v>
      </c>
      <c r="BE198" s="1" t="s">
        <v>1010</v>
      </c>
      <c r="BF198" s="1" t="s">
        <v>159</v>
      </c>
    </row>
    <row r="199" spans="1:59" ht="13" x14ac:dyDescent="0.15">
      <c r="A199" s="2">
        <v>44175.652083333334</v>
      </c>
      <c r="B199" s="2">
        <v>44175.65347222222</v>
      </c>
      <c r="C199" s="1" t="s">
        <v>39</v>
      </c>
      <c r="D199" s="1" t="s">
        <v>234</v>
      </c>
      <c r="E199" s="1">
        <v>100</v>
      </c>
      <c r="F199" s="1">
        <v>116</v>
      </c>
      <c r="G199" s="1" t="b">
        <v>1</v>
      </c>
      <c r="H199" s="2">
        <v>44175.65347222222</v>
      </c>
      <c r="I199" s="1" t="s">
        <v>1011</v>
      </c>
      <c r="N199" s="1">
        <v>34.048492430000003</v>
      </c>
      <c r="O199" s="1">
        <v>-118.2528992</v>
      </c>
      <c r="P199" s="1" t="s">
        <v>153</v>
      </c>
      <c r="Q199" s="1" t="s">
        <v>154</v>
      </c>
      <c r="R199" s="1" t="s">
        <v>174</v>
      </c>
      <c r="S199" s="1" t="s">
        <v>226</v>
      </c>
      <c r="T199" s="1" t="s">
        <v>237</v>
      </c>
      <c r="U199" s="1" t="s">
        <v>1012</v>
      </c>
      <c r="V199" s="1" t="s">
        <v>160</v>
      </c>
      <c r="W199" s="1" t="s">
        <v>160</v>
      </c>
      <c r="X199" s="1" t="s">
        <v>160</v>
      </c>
      <c r="Y199" s="1" t="s">
        <v>160</v>
      </c>
      <c r="Z199" s="1" t="s">
        <v>160</v>
      </c>
      <c r="AA199" s="1" t="s">
        <v>160</v>
      </c>
      <c r="AB199" s="1" t="s">
        <v>160</v>
      </c>
      <c r="AC199" s="1" t="s">
        <v>160</v>
      </c>
      <c r="AD199" s="1" t="s">
        <v>160</v>
      </c>
      <c r="AE199" s="1" t="s">
        <v>160</v>
      </c>
      <c r="AF199" s="1" t="s">
        <v>160</v>
      </c>
      <c r="AG199" s="1" t="s">
        <v>160</v>
      </c>
      <c r="AI199" s="1" t="s">
        <v>160</v>
      </c>
      <c r="AJ199" s="1" t="s">
        <v>163</v>
      </c>
      <c r="AK199" s="1" t="s">
        <v>192</v>
      </c>
      <c r="AL199" s="1" t="s">
        <v>192</v>
      </c>
      <c r="AM199" s="1" t="s">
        <v>198</v>
      </c>
      <c r="AN199" s="1" t="s">
        <v>192</v>
      </c>
      <c r="AO199" s="1" t="s">
        <v>179</v>
      </c>
      <c r="AP199" s="1" t="s">
        <v>165</v>
      </c>
      <c r="AR199" s="1" t="s">
        <v>160</v>
      </c>
      <c r="AS199" s="1" t="s">
        <v>160</v>
      </c>
      <c r="AT199" s="1" t="s">
        <v>1013</v>
      </c>
      <c r="AU199" s="1" t="s">
        <v>159</v>
      </c>
      <c r="AV199" s="1" t="s">
        <v>160</v>
      </c>
      <c r="AW199" s="1" t="s">
        <v>160</v>
      </c>
      <c r="AX199" s="1" t="s">
        <v>160</v>
      </c>
      <c r="AY199" s="1" t="s">
        <v>160</v>
      </c>
      <c r="AZ199" s="1" t="s">
        <v>159</v>
      </c>
      <c r="BA199" s="1" t="s">
        <v>160</v>
      </c>
      <c r="BB199" s="1" t="s">
        <v>241</v>
      </c>
      <c r="BC199" s="1" t="s">
        <v>160</v>
      </c>
      <c r="BD199" s="1" t="s">
        <v>1014</v>
      </c>
      <c r="BE199" s="1" t="s">
        <v>1015</v>
      </c>
      <c r="BF199" s="1" t="s">
        <v>160</v>
      </c>
    </row>
    <row r="200" spans="1:59" ht="13" x14ac:dyDescent="0.15">
      <c r="A200" s="2">
        <v>44175.652083333334</v>
      </c>
      <c r="B200" s="2">
        <v>44175.65347222222</v>
      </c>
      <c r="C200" s="1" t="s">
        <v>39</v>
      </c>
      <c r="D200" s="1" t="s">
        <v>1016</v>
      </c>
      <c r="E200" s="1">
        <v>100</v>
      </c>
      <c r="F200" s="1">
        <v>143</v>
      </c>
      <c r="G200" s="1" t="b">
        <v>1</v>
      </c>
      <c r="H200" s="2">
        <v>44175.65347222222</v>
      </c>
      <c r="I200" s="1" t="s">
        <v>1017</v>
      </c>
      <c r="N200" s="1">
        <v>35.313507080000001</v>
      </c>
      <c r="O200" s="1">
        <v>-81.559898380000007</v>
      </c>
      <c r="P200" s="1" t="s">
        <v>153</v>
      </c>
      <c r="Q200" s="1" t="s">
        <v>154</v>
      </c>
      <c r="R200" s="1" t="s">
        <v>174</v>
      </c>
      <c r="S200" s="1" t="s">
        <v>208</v>
      </c>
      <c r="T200" s="1" t="s">
        <v>176</v>
      </c>
      <c r="U200" s="1" t="s">
        <v>861</v>
      </c>
      <c r="V200" s="1" t="s">
        <v>159</v>
      </c>
      <c r="W200" s="1" t="s">
        <v>160</v>
      </c>
      <c r="X200" s="1" t="s">
        <v>160</v>
      </c>
      <c r="Y200" s="1" t="s">
        <v>160</v>
      </c>
      <c r="Z200" s="1" t="s">
        <v>160</v>
      </c>
      <c r="AA200" s="1" t="s">
        <v>160</v>
      </c>
      <c r="AB200" s="1" t="s">
        <v>160</v>
      </c>
      <c r="AC200" s="1" t="s">
        <v>160</v>
      </c>
      <c r="AD200" s="1" t="s">
        <v>160</v>
      </c>
      <c r="AE200" s="1" t="s">
        <v>160</v>
      </c>
      <c r="AF200" s="1" t="s">
        <v>160</v>
      </c>
      <c r="AG200" s="1" t="s">
        <v>160</v>
      </c>
      <c r="AH200" s="1">
        <v>5</v>
      </c>
      <c r="AI200" s="1" t="s">
        <v>160</v>
      </c>
      <c r="AJ200" s="1" t="s">
        <v>198</v>
      </c>
      <c r="AK200" s="1" t="s">
        <v>198</v>
      </c>
      <c r="AL200" s="1" t="s">
        <v>164</v>
      </c>
      <c r="AM200" s="1" t="s">
        <v>198</v>
      </c>
      <c r="AN200" s="1" t="s">
        <v>198</v>
      </c>
      <c r="AO200" s="1" t="s">
        <v>179</v>
      </c>
      <c r="AP200" s="1" t="s">
        <v>179</v>
      </c>
      <c r="AQ200" s="1">
        <v>1999</v>
      </c>
      <c r="AR200" s="1" t="s">
        <v>160</v>
      </c>
      <c r="AS200" s="1" t="s">
        <v>159</v>
      </c>
      <c r="AT200" s="1" t="s">
        <v>841</v>
      </c>
      <c r="AU200" s="1" t="s">
        <v>159</v>
      </c>
      <c r="AV200" s="1" t="s">
        <v>159</v>
      </c>
      <c r="AW200" s="1" t="s">
        <v>159</v>
      </c>
      <c r="AX200" s="1" t="s">
        <v>159</v>
      </c>
      <c r="AY200" s="1" t="s">
        <v>159</v>
      </c>
      <c r="AZ200" s="1" t="s">
        <v>159</v>
      </c>
      <c r="BA200" s="1" t="s">
        <v>159</v>
      </c>
      <c r="BB200" s="1" t="s">
        <v>167</v>
      </c>
      <c r="BC200" s="1" t="s">
        <v>160</v>
      </c>
      <c r="BE200" s="1" t="s">
        <v>1018</v>
      </c>
      <c r="BF200" s="1" t="s">
        <v>160</v>
      </c>
      <c r="BG200" s="1" t="s">
        <v>1018</v>
      </c>
    </row>
    <row r="201" spans="1:59" ht="13" x14ac:dyDescent="0.15">
      <c r="A201" s="2">
        <v>44175.651388888888</v>
      </c>
      <c r="B201" s="2">
        <v>44175.654166666667</v>
      </c>
      <c r="C201" s="1" t="s">
        <v>39</v>
      </c>
      <c r="D201" s="1" t="s">
        <v>1019</v>
      </c>
      <c r="E201" s="1">
        <v>100</v>
      </c>
      <c r="F201" s="1">
        <v>188</v>
      </c>
      <c r="G201" s="1" t="b">
        <v>1</v>
      </c>
      <c r="H201" s="2">
        <v>44175.654166666667</v>
      </c>
      <c r="I201" s="1" t="s">
        <v>1020</v>
      </c>
      <c r="N201" s="1">
        <v>44.781799319999998</v>
      </c>
      <c r="O201" s="1">
        <v>-93.516502380000006</v>
      </c>
      <c r="P201" s="1" t="s">
        <v>153</v>
      </c>
      <c r="Q201" s="1" t="s">
        <v>154</v>
      </c>
      <c r="R201" s="1" t="s">
        <v>155</v>
      </c>
      <c r="S201" s="1" t="s">
        <v>274</v>
      </c>
      <c r="T201" s="1" t="s">
        <v>245</v>
      </c>
      <c r="U201" s="1" t="s">
        <v>1021</v>
      </c>
      <c r="V201" s="1" t="s">
        <v>159</v>
      </c>
      <c r="W201" s="1" t="s">
        <v>159</v>
      </c>
      <c r="X201" s="1" t="s">
        <v>159</v>
      </c>
      <c r="Y201" s="1" t="s">
        <v>159</v>
      </c>
      <c r="Z201" s="1" t="s">
        <v>160</v>
      </c>
      <c r="AA201" s="1" t="s">
        <v>159</v>
      </c>
      <c r="AB201" s="1" t="s">
        <v>160</v>
      </c>
      <c r="AC201" s="1" t="s">
        <v>160</v>
      </c>
      <c r="AD201" s="1" t="s">
        <v>159</v>
      </c>
      <c r="AE201" s="1" t="s">
        <v>159</v>
      </c>
      <c r="AF201" s="1" t="s">
        <v>160</v>
      </c>
      <c r="AG201" s="1" t="s">
        <v>160</v>
      </c>
      <c r="AI201" s="1" t="s">
        <v>159</v>
      </c>
      <c r="AJ201" s="1" t="s">
        <v>192</v>
      </c>
      <c r="AK201" s="1" t="s">
        <v>162</v>
      </c>
      <c r="AL201" s="1" t="s">
        <v>192</v>
      </c>
      <c r="AM201" s="1" t="s">
        <v>163</v>
      </c>
      <c r="AN201" s="1" t="s">
        <v>162</v>
      </c>
      <c r="AO201" s="1" t="s">
        <v>179</v>
      </c>
      <c r="AP201" s="1" t="s">
        <v>179</v>
      </c>
      <c r="AR201" s="1" t="s">
        <v>159</v>
      </c>
      <c r="AS201" s="1" t="s">
        <v>159</v>
      </c>
      <c r="AT201" s="1" t="s">
        <v>322</v>
      </c>
      <c r="AU201" s="1" t="s">
        <v>159</v>
      </c>
      <c r="AV201" s="1" t="s">
        <v>159</v>
      </c>
      <c r="AW201" s="1" t="s">
        <v>160</v>
      </c>
      <c r="AX201" s="1" t="s">
        <v>160</v>
      </c>
      <c r="AY201" s="1" t="s">
        <v>159</v>
      </c>
      <c r="AZ201" s="1" t="s">
        <v>160</v>
      </c>
      <c r="BA201" s="1" t="s">
        <v>159</v>
      </c>
      <c r="BB201" s="1" t="s">
        <v>181</v>
      </c>
      <c r="BC201" s="1" t="s">
        <v>159</v>
      </c>
      <c r="BE201" s="1" t="s">
        <v>1022</v>
      </c>
      <c r="BF201" s="1" t="s">
        <v>160</v>
      </c>
      <c r="BG201" s="1" t="s">
        <v>1022</v>
      </c>
    </row>
    <row r="202" spans="1:59" ht="13" x14ac:dyDescent="0.15">
      <c r="A202" s="2">
        <v>44175.652777777781</v>
      </c>
      <c r="B202" s="2">
        <v>44175.654861111114</v>
      </c>
      <c r="C202" s="1" t="s">
        <v>39</v>
      </c>
      <c r="D202" s="1" t="s">
        <v>1023</v>
      </c>
      <c r="E202" s="1">
        <v>100</v>
      </c>
      <c r="F202" s="1">
        <v>162</v>
      </c>
      <c r="G202" s="1" t="b">
        <v>1</v>
      </c>
      <c r="H202" s="2">
        <v>44175.654861111114</v>
      </c>
      <c r="I202" s="1" t="s">
        <v>1024</v>
      </c>
      <c r="N202" s="1">
        <v>35.473999020000001</v>
      </c>
      <c r="O202" s="1">
        <v>-80.872901920000004</v>
      </c>
      <c r="P202" s="1" t="s">
        <v>153</v>
      </c>
      <c r="Q202" s="1" t="s">
        <v>154</v>
      </c>
      <c r="R202" s="1" t="s">
        <v>174</v>
      </c>
      <c r="S202" s="1" t="s">
        <v>175</v>
      </c>
      <c r="T202" s="1" t="s">
        <v>263</v>
      </c>
      <c r="U202" s="1" t="s">
        <v>935</v>
      </c>
      <c r="V202" s="1" t="s">
        <v>160</v>
      </c>
      <c r="W202" s="1" t="s">
        <v>160</v>
      </c>
      <c r="X202" s="1" t="s">
        <v>160</v>
      </c>
      <c r="Y202" s="1" t="s">
        <v>160</v>
      </c>
      <c r="Z202" s="1" t="s">
        <v>160</v>
      </c>
      <c r="AA202" s="1" t="s">
        <v>160</v>
      </c>
      <c r="AB202" s="1" t="s">
        <v>160</v>
      </c>
      <c r="AC202" s="1" t="s">
        <v>160</v>
      </c>
      <c r="AD202" s="1" t="s">
        <v>160</v>
      </c>
      <c r="AE202" s="1" t="s">
        <v>160</v>
      </c>
      <c r="AF202" s="1" t="s">
        <v>160</v>
      </c>
      <c r="AG202" s="1" t="s">
        <v>160</v>
      </c>
      <c r="AH202" s="1">
        <v>5</v>
      </c>
      <c r="AI202" s="1" t="s">
        <v>160</v>
      </c>
      <c r="AJ202" s="1" t="s">
        <v>198</v>
      </c>
      <c r="AK202" s="1" t="s">
        <v>164</v>
      </c>
      <c r="AL202" s="1" t="s">
        <v>163</v>
      </c>
      <c r="AM202" s="1" t="s">
        <v>164</v>
      </c>
      <c r="AN202" s="1" t="s">
        <v>164</v>
      </c>
      <c r="AO202" s="1" t="s">
        <v>165</v>
      </c>
      <c r="AP202" s="1" t="s">
        <v>165</v>
      </c>
      <c r="AQ202" s="1">
        <v>1997</v>
      </c>
      <c r="AR202" s="1" t="s">
        <v>160</v>
      </c>
      <c r="AS202" s="1" t="s">
        <v>159</v>
      </c>
      <c r="AT202" s="1" t="s">
        <v>322</v>
      </c>
      <c r="AU202" s="1" t="s">
        <v>159</v>
      </c>
      <c r="AV202" s="1" t="s">
        <v>159</v>
      </c>
      <c r="AW202" s="1" t="s">
        <v>159</v>
      </c>
      <c r="AX202" s="1" t="s">
        <v>159</v>
      </c>
      <c r="AY202" s="1" t="s">
        <v>159</v>
      </c>
      <c r="AZ202" s="1" t="s">
        <v>159</v>
      </c>
      <c r="BA202" s="1" t="s">
        <v>159</v>
      </c>
      <c r="BB202" s="1" t="s">
        <v>167</v>
      </c>
      <c r="BC202" s="1" t="s">
        <v>160</v>
      </c>
      <c r="BE202" s="1" t="s">
        <v>1025</v>
      </c>
      <c r="BF202" s="1" t="s">
        <v>160</v>
      </c>
      <c r="BG202" s="1" t="s">
        <v>1025</v>
      </c>
    </row>
    <row r="203" spans="1:59" ht="13" x14ac:dyDescent="0.15">
      <c r="A203" s="2">
        <v>44175.65347222222</v>
      </c>
      <c r="B203" s="2">
        <v>44175.654861111114</v>
      </c>
      <c r="C203" s="1" t="s">
        <v>39</v>
      </c>
      <c r="D203" s="1" t="s">
        <v>234</v>
      </c>
      <c r="E203" s="1">
        <v>100</v>
      </c>
      <c r="F203" s="1">
        <v>117</v>
      </c>
      <c r="G203" s="1" t="b">
        <v>1</v>
      </c>
      <c r="H203" s="2">
        <v>44175.654861111114</v>
      </c>
      <c r="I203" s="1" t="s">
        <v>1026</v>
      </c>
      <c r="N203" s="1">
        <v>34.048492430000003</v>
      </c>
      <c r="O203" s="1">
        <v>-118.2528992</v>
      </c>
      <c r="P203" s="1" t="s">
        <v>153</v>
      </c>
      <c r="Q203" s="1" t="s">
        <v>154</v>
      </c>
      <c r="R203" s="1" t="s">
        <v>155</v>
      </c>
      <c r="S203" s="1" t="s">
        <v>274</v>
      </c>
      <c r="T203" s="1" t="s">
        <v>245</v>
      </c>
      <c r="U203" s="1" t="s">
        <v>1027</v>
      </c>
      <c r="V203" s="1" t="s">
        <v>160</v>
      </c>
      <c r="W203" s="1" t="s">
        <v>160</v>
      </c>
      <c r="X203" s="1" t="s">
        <v>160</v>
      </c>
      <c r="Y203" s="1" t="s">
        <v>160</v>
      </c>
      <c r="Z203" s="1" t="s">
        <v>160</v>
      </c>
      <c r="AA203" s="1" t="s">
        <v>160</v>
      </c>
      <c r="AB203" s="1" t="s">
        <v>160</v>
      </c>
      <c r="AC203" s="1" t="s">
        <v>160</v>
      </c>
      <c r="AD203" s="1" t="s">
        <v>160</v>
      </c>
      <c r="AE203" s="1" t="s">
        <v>160</v>
      </c>
      <c r="AF203" s="1" t="s">
        <v>160</v>
      </c>
      <c r="AG203" s="1" t="s">
        <v>160</v>
      </c>
      <c r="AI203" s="1" t="s">
        <v>160</v>
      </c>
      <c r="AJ203" s="1" t="s">
        <v>164</v>
      </c>
      <c r="AK203" s="1" t="s">
        <v>164</v>
      </c>
      <c r="AL203" s="1" t="s">
        <v>163</v>
      </c>
      <c r="AM203" s="1" t="s">
        <v>163</v>
      </c>
      <c r="AN203" s="1" t="s">
        <v>164</v>
      </c>
      <c r="AO203" s="1" t="s">
        <v>179</v>
      </c>
      <c r="AP203" s="1" t="s">
        <v>179</v>
      </c>
      <c r="AR203" s="1" t="s">
        <v>160</v>
      </c>
      <c r="AS203" s="1" t="s">
        <v>160</v>
      </c>
      <c r="AT203" s="1" t="s">
        <v>534</v>
      </c>
      <c r="AU203" s="1" t="s">
        <v>160</v>
      </c>
      <c r="AV203" s="1" t="s">
        <v>160</v>
      </c>
      <c r="AW203" s="1" t="s">
        <v>159</v>
      </c>
      <c r="AX203" s="1" t="s">
        <v>159</v>
      </c>
      <c r="AY203" s="1" t="s">
        <v>159</v>
      </c>
      <c r="AZ203" s="1" t="s">
        <v>159</v>
      </c>
      <c r="BA203" s="1" t="s">
        <v>159</v>
      </c>
      <c r="BB203" s="1" t="s">
        <v>181</v>
      </c>
      <c r="BC203" s="1" t="s">
        <v>160</v>
      </c>
      <c r="BD203" s="1" t="s">
        <v>1028</v>
      </c>
      <c r="BE203" s="1" t="s">
        <v>1029</v>
      </c>
      <c r="BF203" s="1" t="s">
        <v>160</v>
      </c>
    </row>
    <row r="204" spans="1:59" ht="13" x14ac:dyDescent="0.15">
      <c r="A204" s="2">
        <v>44175.651388888888</v>
      </c>
      <c r="B204" s="2">
        <v>44175.654861111114</v>
      </c>
      <c r="C204" s="1" t="s">
        <v>39</v>
      </c>
      <c r="D204" s="1" t="s">
        <v>1030</v>
      </c>
      <c r="E204" s="1">
        <v>100</v>
      </c>
      <c r="F204" s="1">
        <v>307</v>
      </c>
      <c r="G204" s="1" t="b">
        <v>1</v>
      </c>
      <c r="H204" s="2">
        <v>44175.654861111114</v>
      </c>
      <c r="I204" s="1" t="s">
        <v>1031</v>
      </c>
      <c r="N204" s="1">
        <v>32.473999020000001</v>
      </c>
      <c r="O204" s="1">
        <v>-94.706199650000002</v>
      </c>
      <c r="P204" s="1" t="s">
        <v>153</v>
      </c>
      <c r="Q204" s="1" t="s">
        <v>154</v>
      </c>
      <c r="R204" s="1" t="s">
        <v>174</v>
      </c>
      <c r="S204" s="1" t="s">
        <v>274</v>
      </c>
      <c r="T204" s="1" t="s">
        <v>176</v>
      </c>
      <c r="U204" s="1" t="s">
        <v>868</v>
      </c>
      <c r="V204" s="1" t="s">
        <v>160</v>
      </c>
      <c r="W204" s="1" t="s">
        <v>160</v>
      </c>
      <c r="X204" s="1" t="s">
        <v>160</v>
      </c>
      <c r="Y204" s="1" t="s">
        <v>160</v>
      </c>
      <c r="Z204" s="1" t="s">
        <v>160</v>
      </c>
      <c r="AA204" s="1" t="s">
        <v>159</v>
      </c>
      <c r="AB204" s="1" t="s">
        <v>160</v>
      </c>
      <c r="AC204" s="1" t="s">
        <v>160</v>
      </c>
      <c r="AD204" s="1" t="s">
        <v>160</v>
      </c>
      <c r="AE204" s="1" t="s">
        <v>160</v>
      </c>
      <c r="AF204" s="1" t="s">
        <v>160</v>
      </c>
      <c r="AG204" s="1" t="s">
        <v>160</v>
      </c>
      <c r="AH204" s="1">
        <v>5</v>
      </c>
      <c r="AI204" s="1" t="s">
        <v>160</v>
      </c>
      <c r="AJ204" s="1" t="s">
        <v>163</v>
      </c>
      <c r="AK204" s="1" t="s">
        <v>162</v>
      </c>
      <c r="AL204" s="1" t="s">
        <v>192</v>
      </c>
      <c r="AM204" s="1" t="s">
        <v>163</v>
      </c>
      <c r="AN204" s="1" t="s">
        <v>162</v>
      </c>
      <c r="AO204" s="1" t="s">
        <v>165</v>
      </c>
      <c r="AP204" s="1" t="s">
        <v>165</v>
      </c>
      <c r="AQ204" s="3">
        <v>36997</v>
      </c>
      <c r="AR204" s="1" t="s">
        <v>160</v>
      </c>
      <c r="AS204" s="1" t="s">
        <v>159</v>
      </c>
      <c r="AT204" s="1" t="s">
        <v>180</v>
      </c>
      <c r="AU204" s="1" t="s">
        <v>159</v>
      </c>
      <c r="AV204" s="1" t="s">
        <v>159</v>
      </c>
      <c r="AW204" s="1" t="s">
        <v>159</v>
      </c>
      <c r="AX204" s="1" t="s">
        <v>159</v>
      </c>
      <c r="AY204" s="1" t="s">
        <v>160</v>
      </c>
      <c r="AZ204" s="1" t="s">
        <v>160</v>
      </c>
      <c r="BA204" s="1" t="s">
        <v>159</v>
      </c>
      <c r="BB204" s="1" t="s">
        <v>167</v>
      </c>
      <c r="BC204" s="1" t="s">
        <v>160</v>
      </c>
      <c r="BE204" s="1" t="s">
        <v>1032</v>
      </c>
      <c r="BF204" s="1" t="s">
        <v>160</v>
      </c>
      <c r="BG204" s="1" t="s">
        <v>1033</v>
      </c>
    </row>
    <row r="205" spans="1:59" ht="13" x14ac:dyDescent="0.15">
      <c r="A205" s="2">
        <v>44175.65347222222</v>
      </c>
      <c r="B205" s="2">
        <v>44175.655555555553</v>
      </c>
      <c r="C205" s="1" t="s">
        <v>39</v>
      </c>
      <c r="D205" s="1" t="s">
        <v>1034</v>
      </c>
      <c r="E205" s="1">
        <v>100</v>
      </c>
      <c r="F205" s="1">
        <v>164</v>
      </c>
      <c r="G205" s="1" t="b">
        <v>1</v>
      </c>
      <c r="H205" s="2">
        <v>44175.655555555553</v>
      </c>
      <c r="I205" s="1" t="s">
        <v>1035</v>
      </c>
      <c r="N205" s="1">
        <v>42.075302120000003</v>
      </c>
      <c r="O205" s="1">
        <v>-80.067100519999997</v>
      </c>
      <c r="P205" s="1" t="s">
        <v>153</v>
      </c>
      <c r="Q205" s="1" t="s">
        <v>154</v>
      </c>
      <c r="R205" s="1" t="s">
        <v>174</v>
      </c>
      <c r="S205" s="1" t="s">
        <v>274</v>
      </c>
      <c r="T205" s="1" t="s">
        <v>263</v>
      </c>
      <c r="U205" s="1" t="s">
        <v>418</v>
      </c>
      <c r="V205" s="1" t="s">
        <v>160</v>
      </c>
      <c r="W205" s="1" t="s">
        <v>160</v>
      </c>
      <c r="X205" s="1" t="s">
        <v>160</v>
      </c>
      <c r="Y205" s="1" t="s">
        <v>160</v>
      </c>
      <c r="Z205" s="1" t="s">
        <v>160</v>
      </c>
      <c r="AA205" s="1" t="s">
        <v>160</v>
      </c>
      <c r="AB205" s="1" t="s">
        <v>160</v>
      </c>
      <c r="AC205" s="1" t="s">
        <v>160</v>
      </c>
      <c r="AD205" s="1" t="s">
        <v>160</v>
      </c>
      <c r="AE205" s="1" t="s">
        <v>160</v>
      </c>
      <c r="AF205" s="1" t="s">
        <v>160</v>
      </c>
      <c r="AG205" s="1" t="s">
        <v>160</v>
      </c>
      <c r="AH205" s="1">
        <v>3</v>
      </c>
      <c r="AI205" s="1" t="s">
        <v>160</v>
      </c>
      <c r="AJ205" s="1" t="s">
        <v>192</v>
      </c>
      <c r="AK205" s="1" t="s">
        <v>163</v>
      </c>
      <c r="AL205" s="1" t="s">
        <v>192</v>
      </c>
      <c r="AM205" s="1" t="s">
        <v>192</v>
      </c>
      <c r="AN205" s="1" t="s">
        <v>163</v>
      </c>
      <c r="AO205" s="1" t="s">
        <v>179</v>
      </c>
      <c r="AP205" s="1" t="s">
        <v>179</v>
      </c>
      <c r="AQ205" s="1">
        <v>1996</v>
      </c>
      <c r="AR205" s="1" t="s">
        <v>160</v>
      </c>
      <c r="AS205" s="1" t="s">
        <v>160</v>
      </c>
      <c r="AT205" s="1" t="s">
        <v>180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167</v>
      </c>
      <c r="BC205" s="1" t="s">
        <v>160</v>
      </c>
      <c r="BE205" s="1" t="s">
        <v>1036</v>
      </c>
      <c r="BF205" s="1" t="s">
        <v>159</v>
      </c>
    </row>
    <row r="206" spans="1:59" ht="13" x14ac:dyDescent="0.15">
      <c r="A206" s="2">
        <v>44175.654166666667</v>
      </c>
      <c r="B206" s="2">
        <v>44175.655555555553</v>
      </c>
      <c r="C206" s="1" t="s">
        <v>39</v>
      </c>
      <c r="D206" s="1" t="s">
        <v>1037</v>
      </c>
      <c r="E206" s="1">
        <v>100</v>
      </c>
      <c r="F206" s="1">
        <v>135</v>
      </c>
      <c r="G206" s="1" t="b">
        <v>1</v>
      </c>
      <c r="H206" s="2">
        <v>44175.655555555553</v>
      </c>
      <c r="I206" s="1" t="s">
        <v>1038</v>
      </c>
      <c r="N206" s="1">
        <v>27.726196290000001</v>
      </c>
      <c r="O206" s="1">
        <v>-97.407798769999999</v>
      </c>
      <c r="P206" s="1" t="s">
        <v>153</v>
      </c>
      <c r="Q206" s="1" t="s">
        <v>154</v>
      </c>
      <c r="R206" s="1" t="s">
        <v>155</v>
      </c>
      <c r="S206" s="1" t="s">
        <v>208</v>
      </c>
      <c r="T206" s="1" t="s">
        <v>176</v>
      </c>
      <c r="U206" s="1" t="s">
        <v>1039</v>
      </c>
      <c r="V206" s="1" t="s">
        <v>160</v>
      </c>
      <c r="W206" s="1" t="s">
        <v>160</v>
      </c>
      <c r="X206" s="1" t="s">
        <v>160</v>
      </c>
      <c r="Y206" s="1" t="s">
        <v>160</v>
      </c>
      <c r="Z206" s="1" t="s">
        <v>160</v>
      </c>
      <c r="AA206" s="1" t="s">
        <v>160</v>
      </c>
      <c r="AB206" s="1" t="s">
        <v>160</v>
      </c>
      <c r="AC206" s="1" t="s">
        <v>160</v>
      </c>
      <c r="AD206" s="1" t="s">
        <v>159</v>
      </c>
      <c r="AE206" s="1" t="s">
        <v>160</v>
      </c>
      <c r="AF206" s="1" t="s">
        <v>160</v>
      </c>
      <c r="AG206" s="1" t="s">
        <v>160</v>
      </c>
      <c r="AH206" s="1">
        <v>6</v>
      </c>
      <c r="AI206" s="1" t="s">
        <v>160</v>
      </c>
      <c r="AJ206" s="1" t="s">
        <v>163</v>
      </c>
      <c r="AK206" s="1" t="s">
        <v>192</v>
      </c>
      <c r="AL206" s="1" t="s">
        <v>162</v>
      </c>
      <c r="AM206" s="1" t="s">
        <v>164</v>
      </c>
      <c r="AN206" s="1" t="s">
        <v>163</v>
      </c>
      <c r="AO206" s="1" t="s">
        <v>165</v>
      </c>
      <c r="AP206" s="1" t="s">
        <v>165</v>
      </c>
      <c r="AQ206" s="1">
        <v>1997</v>
      </c>
      <c r="AR206" s="1" t="s">
        <v>160</v>
      </c>
      <c r="AS206" s="1" t="s">
        <v>159</v>
      </c>
      <c r="AT206" s="1" t="s">
        <v>180</v>
      </c>
      <c r="AU206" s="1" t="s">
        <v>159</v>
      </c>
      <c r="AV206" s="1" t="s">
        <v>159</v>
      </c>
      <c r="AW206" s="1" t="s">
        <v>159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181</v>
      </c>
      <c r="BC206" s="1" t="s">
        <v>160</v>
      </c>
      <c r="BE206" s="1" t="s">
        <v>1040</v>
      </c>
      <c r="BF206" s="1" t="s">
        <v>159</v>
      </c>
    </row>
    <row r="207" spans="1:59" ht="13" x14ac:dyDescent="0.15">
      <c r="A207" s="2">
        <v>44175.654861111114</v>
      </c>
      <c r="B207" s="2">
        <v>44175.65625</v>
      </c>
      <c r="C207" s="1" t="s">
        <v>39</v>
      </c>
      <c r="D207" s="1" t="s">
        <v>234</v>
      </c>
      <c r="E207" s="1">
        <v>100</v>
      </c>
      <c r="F207" s="1">
        <v>117</v>
      </c>
      <c r="G207" s="1" t="b">
        <v>1</v>
      </c>
      <c r="H207" s="2">
        <v>44175.65625</v>
      </c>
      <c r="I207" s="1" t="s">
        <v>1041</v>
      </c>
      <c r="N207" s="1">
        <v>34.048492430000003</v>
      </c>
      <c r="O207" s="1">
        <v>-118.2528992</v>
      </c>
      <c r="P207" s="1" t="s">
        <v>153</v>
      </c>
      <c r="Q207" s="1" t="s">
        <v>154</v>
      </c>
      <c r="R207" s="1" t="s">
        <v>155</v>
      </c>
      <c r="S207" s="1" t="s">
        <v>175</v>
      </c>
      <c r="T207" s="1" t="s">
        <v>237</v>
      </c>
      <c r="U207" s="1" t="s">
        <v>1042</v>
      </c>
      <c r="V207" s="1" t="s">
        <v>160</v>
      </c>
      <c r="W207" s="1" t="s">
        <v>160</v>
      </c>
      <c r="X207" s="1" t="s">
        <v>160</v>
      </c>
      <c r="Y207" s="1" t="s">
        <v>160</v>
      </c>
      <c r="Z207" s="1" t="s">
        <v>160</v>
      </c>
      <c r="AA207" s="1" t="s">
        <v>160</v>
      </c>
      <c r="AB207" s="1" t="s">
        <v>160</v>
      </c>
      <c r="AC207" s="1" t="s">
        <v>160</v>
      </c>
      <c r="AD207" s="1" t="s">
        <v>160</v>
      </c>
      <c r="AE207" s="1" t="s">
        <v>160</v>
      </c>
      <c r="AF207" s="1" t="s">
        <v>160</v>
      </c>
      <c r="AG207" s="1" t="s">
        <v>160</v>
      </c>
      <c r="AI207" s="1" t="s">
        <v>160</v>
      </c>
      <c r="AJ207" s="1" t="s">
        <v>163</v>
      </c>
      <c r="AK207" s="1" t="s">
        <v>164</v>
      </c>
      <c r="AL207" s="1" t="s">
        <v>192</v>
      </c>
      <c r="AM207" s="1" t="s">
        <v>163</v>
      </c>
      <c r="AN207" s="1" t="s">
        <v>198</v>
      </c>
      <c r="AO207" s="1" t="s">
        <v>179</v>
      </c>
      <c r="AP207" s="1" t="s">
        <v>165</v>
      </c>
      <c r="AR207" s="1" t="s">
        <v>160</v>
      </c>
      <c r="AS207" s="1" t="s">
        <v>160</v>
      </c>
      <c r="AT207" s="1" t="s">
        <v>852</v>
      </c>
      <c r="AU207" s="1" t="s">
        <v>159</v>
      </c>
      <c r="AV207" s="1" t="s">
        <v>159</v>
      </c>
      <c r="AW207" s="1" t="s">
        <v>159</v>
      </c>
      <c r="AX207" s="1" t="s">
        <v>159</v>
      </c>
      <c r="AY207" s="1" t="s">
        <v>160</v>
      </c>
      <c r="AZ207" s="1" t="s">
        <v>160</v>
      </c>
      <c r="BA207" s="1" t="s">
        <v>160</v>
      </c>
      <c r="BB207" s="1" t="s">
        <v>181</v>
      </c>
      <c r="BC207" s="1" t="s">
        <v>160</v>
      </c>
      <c r="BD207" s="1" t="s">
        <v>1043</v>
      </c>
      <c r="BE207" s="1" t="s">
        <v>1044</v>
      </c>
      <c r="BF207" s="1" t="s">
        <v>160</v>
      </c>
    </row>
    <row r="208" spans="1:59" ht="13" x14ac:dyDescent="0.15">
      <c r="A208" s="2">
        <v>44175.654166666667</v>
      </c>
      <c r="B208" s="2">
        <v>44175.65625</v>
      </c>
      <c r="C208" s="1" t="s">
        <v>39</v>
      </c>
      <c r="D208" s="1" t="s">
        <v>1045</v>
      </c>
      <c r="E208" s="1">
        <v>100</v>
      </c>
      <c r="F208" s="1">
        <v>201</v>
      </c>
      <c r="G208" s="1" t="b">
        <v>1</v>
      </c>
      <c r="H208" s="2">
        <v>44175.65625</v>
      </c>
      <c r="I208" s="1" t="s">
        <v>1046</v>
      </c>
      <c r="N208" s="1">
        <v>41.857696529999998</v>
      </c>
      <c r="O208" s="1">
        <v>-87.856201170000006</v>
      </c>
      <c r="P208" s="1" t="s">
        <v>153</v>
      </c>
      <c r="Q208" s="1" t="s">
        <v>154</v>
      </c>
      <c r="R208" s="1" t="s">
        <v>174</v>
      </c>
      <c r="S208" s="1" t="s">
        <v>208</v>
      </c>
      <c r="T208" s="1" t="s">
        <v>157</v>
      </c>
      <c r="U208" s="1" t="s">
        <v>1047</v>
      </c>
      <c r="V208" s="1" t="s">
        <v>160</v>
      </c>
      <c r="W208" s="1" t="s">
        <v>159</v>
      </c>
      <c r="X208" s="1" t="s">
        <v>159</v>
      </c>
      <c r="Y208" s="1" t="s">
        <v>159</v>
      </c>
      <c r="Z208" s="1" t="s">
        <v>159</v>
      </c>
      <c r="AA208" s="1" t="s">
        <v>159</v>
      </c>
      <c r="AB208" s="1" t="s">
        <v>160</v>
      </c>
      <c r="AC208" s="1" t="s">
        <v>160</v>
      </c>
      <c r="AD208" s="1" t="s">
        <v>159</v>
      </c>
      <c r="AE208" s="1" t="s">
        <v>160</v>
      </c>
      <c r="AF208" s="1" t="s">
        <v>159</v>
      </c>
      <c r="AG208" s="1" t="s">
        <v>159</v>
      </c>
      <c r="AI208" s="1" t="s">
        <v>160</v>
      </c>
      <c r="AJ208" s="1" t="s">
        <v>163</v>
      </c>
      <c r="AK208" s="1" t="s">
        <v>162</v>
      </c>
      <c r="AL208" s="1" t="s">
        <v>192</v>
      </c>
      <c r="AM208" s="1" t="s">
        <v>163</v>
      </c>
      <c r="AN208" s="1" t="s">
        <v>163</v>
      </c>
      <c r="AO208" s="1" t="s">
        <v>179</v>
      </c>
      <c r="AP208" s="1" t="s">
        <v>179</v>
      </c>
      <c r="AR208" s="1" t="s">
        <v>159</v>
      </c>
      <c r="AS208" s="1" t="s">
        <v>159</v>
      </c>
      <c r="AT208" s="1" t="s">
        <v>180</v>
      </c>
      <c r="AU208" s="1" t="s">
        <v>159</v>
      </c>
      <c r="AV208" s="1" t="s">
        <v>160</v>
      </c>
      <c r="AW208" s="1" t="s">
        <v>159</v>
      </c>
      <c r="AX208" s="1" t="s">
        <v>159</v>
      </c>
      <c r="AY208" s="1" t="s">
        <v>159</v>
      </c>
      <c r="AZ208" s="1" t="s">
        <v>160</v>
      </c>
      <c r="BA208" s="1" t="s">
        <v>159</v>
      </c>
      <c r="BB208" s="1" t="s">
        <v>167</v>
      </c>
      <c r="BC208" s="1" t="s">
        <v>159</v>
      </c>
      <c r="BE208" s="1" t="s">
        <v>1048</v>
      </c>
      <c r="BF208" s="1" t="s">
        <v>160</v>
      </c>
      <c r="BG208" s="1" t="s">
        <v>1048</v>
      </c>
    </row>
    <row r="209" spans="1:59" ht="13" x14ac:dyDescent="0.15">
      <c r="A209" s="2">
        <v>44175.655555555553</v>
      </c>
      <c r="B209" s="2">
        <v>44175.656944444447</v>
      </c>
      <c r="C209" s="1" t="s">
        <v>39</v>
      </c>
      <c r="D209" s="1" t="s">
        <v>1049</v>
      </c>
      <c r="E209" s="1">
        <v>100</v>
      </c>
      <c r="F209" s="1">
        <v>122</v>
      </c>
      <c r="G209" s="1" t="b">
        <v>1</v>
      </c>
      <c r="H209" s="2">
        <v>44175.656944444447</v>
      </c>
      <c r="I209" s="1" t="s">
        <v>1050</v>
      </c>
      <c r="N209" s="1">
        <v>34.228301999999999</v>
      </c>
      <c r="O209" s="1">
        <v>139.5353088</v>
      </c>
      <c r="P209" s="1" t="s">
        <v>153</v>
      </c>
      <c r="Q209" s="1" t="s">
        <v>154</v>
      </c>
      <c r="R209" s="1" t="s">
        <v>174</v>
      </c>
      <c r="S209" s="1" t="s">
        <v>274</v>
      </c>
      <c r="T209" s="1" t="s">
        <v>263</v>
      </c>
      <c r="U209" s="1" t="s">
        <v>1051</v>
      </c>
      <c r="V209" s="1" t="s">
        <v>160</v>
      </c>
      <c r="W209" s="1" t="s">
        <v>159</v>
      </c>
      <c r="X209" s="1" t="s">
        <v>160</v>
      </c>
      <c r="Y209" s="1" t="s">
        <v>159</v>
      </c>
      <c r="Z209" s="1" t="s">
        <v>160</v>
      </c>
      <c r="AA209" s="1" t="s">
        <v>160</v>
      </c>
      <c r="AB209" s="1" t="s">
        <v>159</v>
      </c>
      <c r="AC209" s="1" t="s">
        <v>159</v>
      </c>
      <c r="AD209" s="1" t="s">
        <v>160</v>
      </c>
      <c r="AE209" s="1" t="s">
        <v>159</v>
      </c>
      <c r="AF209" s="1" t="s">
        <v>159</v>
      </c>
      <c r="AG209" s="1" t="s">
        <v>160</v>
      </c>
      <c r="AH209" s="1">
        <v>4</v>
      </c>
      <c r="AI209" s="1" t="s">
        <v>159</v>
      </c>
      <c r="AJ209" s="1" t="s">
        <v>192</v>
      </c>
      <c r="AK209" s="1" t="s">
        <v>198</v>
      </c>
      <c r="AL209" s="1" t="s">
        <v>192</v>
      </c>
      <c r="AM209" s="1" t="s">
        <v>164</v>
      </c>
      <c r="AN209" s="1" t="s">
        <v>163</v>
      </c>
      <c r="AO209" s="1" t="s">
        <v>179</v>
      </c>
      <c r="AP209" s="1" t="s">
        <v>179</v>
      </c>
      <c r="AQ209" s="1">
        <v>1991</v>
      </c>
      <c r="AR209" s="1" t="s">
        <v>160</v>
      </c>
      <c r="AS209" s="1" t="s">
        <v>159</v>
      </c>
      <c r="AT209" s="1" t="s">
        <v>180</v>
      </c>
      <c r="AU209" s="1" t="s">
        <v>159</v>
      </c>
      <c r="AV209" s="1" t="s">
        <v>159</v>
      </c>
      <c r="AW209" s="1" t="s">
        <v>160</v>
      </c>
      <c r="AX209" s="1" t="s">
        <v>159</v>
      </c>
      <c r="AY209" s="1" t="s">
        <v>159</v>
      </c>
      <c r="AZ209" s="1" t="s">
        <v>160</v>
      </c>
      <c r="BA209" s="1" t="s">
        <v>159</v>
      </c>
      <c r="BB209" s="1" t="s">
        <v>241</v>
      </c>
      <c r="BC209" s="1" t="s">
        <v>159</v>
      </c>
      <c r="BE209" s="1" t="s">
        <v>1052</v>
      </c>
      <c r="BF209" s="1" t="s">
        <v>159</v>
      </c>
    </row>
    <row r="210" spans="1:59" ht="13" x14ac:dyDescent="0.15">
      <c r="A210" s="2">
        <v>44175.655555555553</v>
      </c>
      <c r="B210" s="2">
        <v>44175.657638888886</v>
      </c>
      <c r="C210" s="1" t="s">
        <v>39</v>
      </c>
      <c r="D210" s="1" t="s">
        <v>1053</v>
      </c>
      <c r="E210" s="1">
        <v>100</v>
      </c>
      <c r="F210" s="1">
        <v>149</v>
      </c>
      <c r="G210" s="1" t="b">
        <v>1</v>
      </c>
      <c r="H210" s="2">
        <v>44175.657638888886</v>
      </c>
      <c r="I210" s="1" t="s">
        <v>1054</v>
      </c>
      <c r="N210" s="1">
        <v>30.442092899999999</v>
      </c>
      <c r="O210" s="1">
        <v>-97.633903500000002</v>
      </c>
      <c r="P210" s="1" t="s">
        <v>153</v>
      </c>
      <c r="Q210" s="1" t="s">
        <v>154</v>
      </c>
      <c r="R210" s="1" t="s">
        <v>174</v>
      </c>
      <c r="S210" s="1" t="s">
        <v>274</v>
      </c>
      <c r="T210" s="1" t="s">
        <v>176</v>
      </c>
      <c r="U210" s="1" t="s">
        <v>570</v>
      </c>
      <c r="V210" s="1" t="s">
        <v>160</v>
      </c>
      <c r="W210" s="1" t="s">
        <v>160</v>
      </c>
      <c r="X210" s="1" t="s">
        <v>160</v>
      </c>
      <c r="Y210" s="1" t="s">
        <v>160</v>
      </c>
      <c r="Z210" s="1" t="s">
        <v>160</v>
      </c>
      <c r="AA210" s="1" t="s">
        <v>160</v>
      </c>
      <c r="AB210" s="1" t="s">
        <v>160</v>
      </c>
      <c r="AC210" s="1" t="s">
        <v>160</v>
      </c>
      <c r="AD210" s="1" t="s">
        <v>160</v>
      </c>
      <c r="AE210" s="1" t="s">
        <v>160</v>
      </c>
      <c r="AF210" s="1" t="s">
        <v>160</v>
      </c>
      <c r="AG210" s="1" t="s">
        <v>160</v>
      </c>
      <c r="AH210" s="1">
        <v>3</v>
      </c>
      <c r="AI210" s="1" t="s">
        <v>160</v>
      </c>
      <c r="AJ210" s="1" t="s">
        <v>192</v>
      </c>
      <c r="AK210" s="1" t="s">
        <v>163</v>
      </c>
      <c r="AL210" s="1" t="s">
        <v>163</v>
      </c>
      <c r="AM210" s="1" t="s">
        <v>192</v>
      </c>
      <c r="AN210" s="1" t="s">
        <v>163</v>
      </c>
      <c r="AO210" s="1" t="s">
        <v>165</v>
      </c>
      <c r="AP210" s="1" t="s">
        <v>165</v>
      </c>
      <c r="AQ210" s="1">
        <v>1998</v>
      </c>
      <c r="AR210" s="1" t="s">
        <v>160</v>
      </c>
      <c r="AS210" s="1" t="s">
        <v>160</v>
      </c>
      <c r="AT210" s="1" t="s">
        <v>180</v>
      </c>
      <c r="AU210" s="1" t="s">
        <v>159</v>
      </c>
      <c r="AV210" s="1" t="s">
        <v>159</v>
      </c>
      <c r="AW210" s="1" t="s">
        <v>159</v>
      </c>
      <c r="AX210" s="1" t="s">
        <v>159</v>
      </c>
      <c r="AY210" s="1" t="s">
        <v>159</v>
      </c>
      <c r="AZ210" s="1" t="s">
        <v>159</v>
      </c>
      <c r="BA210" s="1" t="s">
        <v>159</v>
      </c>
      <c r="BB210" s="1" t="s">
        <v>167</v>
      </c>
      <c r="BC210" s="1" t="s">
        <v>159</v>
      </c>
      <c r="BE210" s="1" t="s">
        <v>1055</v>
      </c>
      <c r="BF210" s="1" t="s">
        <v>159</v>
      </c>
    </row>
    <row r="211" spans="1:59" ht="13" x14ac:dyDescent="0.15">
      <c r="A211" s="2">
        <v>44175.65625</v>
      </c>
      <c r="B211" s="2">
        <v>44175.657638888886</v>
      </c>
      <c r="C211" s="1" t="s">
        <v>39</v>
      </c>
      <c r="D211" s="1" t="s">
        <v>1056</v>
      </c>
      <c r="E211" s="1">
        <v>100</v>
      </c>
      <c r="F211" s="1">
        <v>120</v>
      </c>
      <c r="G211" s="1" t="b">
        <v>1</v>
      </c>
      <c r="H211" s="2">
        <v>44175.657638888886</v>
      </c>
      <c r="I211" s="1" t="s">
        <v>1057</v>
      </c>
      <c r="N211" s="1">
        <v>41.123092649999997</v>
      </c>
      <c r="O211" s="1">
        <v>-81.56659698</v>
      </c>
      <c r="P211" s="1" t="s">
        <v>153</v>
      </c>
      <c r="Q211" s="1" t="s">
        <v>154</v>
      </c>
      <c r="R211" s="1" t="s">
        <v>155</v>
      </c>
      <c r="S211" s="1" t="s">
        <v>208</v>
      </c>
      <c r="T211" s="1" t="s">
        <v>157</v>
      </c>
      <c r="U211" s="1" t="s">
        <v>1058</v>
      </c>
      <c r="V211" s="1" t="s">
        <v>160</v>
      </c>
      <c r="W211" s="1" t="s">
        <v>160</v>
      </c>
      <c r="X211" s="1" t="s">
        <v>160</v>
      </c>
      <c r="Y211" s="1" t="s">
        <v>160</v>
      </c>
      <c r="Z211" s="1" t="s">
        <v>160</v>
      </c>
      <c r="AA211" s="1" t="s">
        <v>159</v>
      </c>
      <c r="AB211" s="1" t="s">
        <v>160</v>
      </c>
      <c r="AC211" s="1" t="s">
        <v>160</v>
      </c>
      <c r="AD211" s="1" t="s">
        <v>159</v>
      </c>
      <c r="AE211" s="1" t="s">
        <v>160</v>
      </c>
      <c r="AF211" s="1" t="s">
        <v>159</v>
      </c>
      <c r="AG211" s="1" t="s">
        <v>160</v>
      </c>
      <c r="AH211" s="1">
        <v>6</v>
      </c>
      <c r="AI211" s="1" t="s">
        <v>160</v>
      </c>
      <c r="AJ211" s="1" t="s">
        <v>163</v>
      </c>
      <c r="AK211" s="1" t="s">
        <v>192</v>
      </c>
      <c r="AL211" s="1" t="s">
        <v>162</v>
      </c>
      <c r="AM211" s="1" t="s">
        <v>162</v>
      </c>
      <c r="AN211" s="1" t="s">
        <v>162</v>
      </c>
      <c r="AO211" s="1" t="s">
        <v>179</v>
      </c>
      <c r="AP211" s="1" t="s">
        <v>179</v>
      </c>
      <c r="AQ211" s="1">
        <v>1998</v>
      </c>
      <c r="AR211" s="1" t="s">
        <v>160</v>
      </c>
      <c r="AS211" s="1" t="s">
        <v>159</v>
      </c>
      <c r="AT211" s="1" t="s">
        <v>180</v>
      </c>
      <c r="AU211" s="1" t="s">
        <v>159</v>
      </c>
      <c r="AV211" s="1" t="s">
        <v>159</v>
      </c>
      <c r="AW211" s="1" t="s">
        <v>159</v>
      </c>
      <c r="AX211" s="1" t="s">
        <v>159</v>
      </c>
      <c r="AY211" s="1" t="s">
        <v>159</v>
      </c>
      <c r="AZ211" s="1" t="s">
        <v>159</v>
      </c>
      <c r="BA211" s="1" t="s">
        <v>159</v>
      </c>
      <c r="BB211" s="1" t="s">
        <v>167</v>
      </c>
      <c r="BC211" s="1" t="s">
        <v>159</v>
      </c>
      <c r="BE211" s="1" t="s">
        <v>1059</v>
      </c>
      <c r="BF211" s="1" t="s">
        <v>159</v>
      </c>
    </row>
    <row r="212" spans="1:59" ht="13" x14ac:dyDescent="0.15">
      <c r="A212" s="2">
        <v>44175.655555555553</v>
      </c>
      <c r="B212" s="2">
        <v>44175.657638888886</v>
      </c>
      <c r="C212" s="1" t="s">
        <v>39</v>
      </c>
      <c r="D212" s="1" t="s">
        <v>1060</v>
      </c>
      <c r="E212" s="1">
        <v>100</v>
      </c>
      <c r="F212" s="1">
        <v>193</v>
      </c>
      <c r="G212" s="1" t="b">
        <v>1</v>
      </c>
      <c r="H212" s="2">
        <v>44175.657638888886</v>
      </c>
      <c r="I212" s="1" t="s">
        <v>1061</v>
      </c>
      <c r="N212" s="1">
        <v>41.921493529999999</v>
      </c>
      <c r="O212" s="1">
        <v>-87.644599909999997</v>
      </c>
      <c r="P212" s="1" t="s">
        <v>153</v>
      </c>
      <c r="Q212" s="1" t="s">
        <v>154</v>
      </c>
      <c r="R212" s="1" t="s">
        <v>174</v>
      </c>
      <c r="S212" s="1" t="s">
        <v>175</v>
      </c>
      <c r="T212" s="1" t="s">
        <v>237</v>
      </c>
      <c r="U212" s="1" t="s">
        <v>935</v>
      </c>
      <c r="V212" s="1" t="s">
        <v>160</v>
      </c>
      <c r="W212" s="1" t="s">
        <v>160</v>
      </c>
      <c r="X212" s="1" t="s">
        <v>160</v>
      </c>
      <c r="Y212" s="1" t="s">
        <v>160</v>
      </c>
      <c r="Z212" s="1" t="s">
        <v>160</v>
      </c>
      <c r="AA212" s="1" t="s">
        <v>160</v>
      </c>
      <c r="AB212" s="1" t="s">
        <v>160</v>
      </c>
      <c r="AC212" s="1" t="s">
        <v>160</v>
      </c>
      <c r="AD212" s="1" t="s">
        <v>160</v>
      </c>
      <c r="AE212" s="1" t="s">
        <v>160</v>
      </c>
      <c r="AF212" s="1" t="s">
        <v>160</v>
      </c>
      <c r="AG212" s="1" t="s">
        <v>160</v>
      </c>
      <c r="AH212" s="1">
        <v>4</v>
      </c>
      <c r="AI212" s="1" t="s">
        <v>160</v>
      </c>
      <c r="AJ212" s="1" t="s">
        <v>198</v>
      </c>
      <c r="AK212" s="1" t="s">
        <v>198</v>
      </c>
      <c r="AL212" s="1" t="s">
        <v>164</v>
      </c>
      <c r="AM212" s="1" t="s">
        <v>198</v>
      </c>
      <c r="AN212" s="1" t="s">
        <v>198</v>
      </c>
      <c r="AO212" s="1" t="s">
        <v>179</v>
      </c>
      <c r="AP212" s="1" t="s">
        <v>179</v>
      </c>
      <c r="AQ212" s="1">
        <v>1996</v>
      </c>
      <c r="AR212" s="1" t="s">
        <v>160</v>
      </c>
      <c r="AS212" s="1" t="s">
        <v>159</v>
      </c>
      <c r="AT212" s="1" t="s">
        <v>307</v>
      </c>
      <c r="AU212" s="1" t="s">
        <v>159</v>
      </c>
      <c r="AV212" s="1" t="s">
        <v>159</v>
      </c>
      <c r="AW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167</v>
      </c>
      <c r="BC212" s="1" t="s">
        <v>159</v>
      </c>
      <c r="BE212" s="1" t="s">
        <v>1062</v>
      </c>
      <c r="BF212" s="1" t="s">
        <v>160</v>
      </c>
      <c r="BG212" s="1" t="s">
        <v>1062</v>
      </c>
    </row>
    <row r="213" spans="1:59" ht="13" x14ac:dyDescent="0.15">
      <c r="A213" s="2">
        <v>44175.656944444447</v>
      </c>
      <c r="B213" s="2">
        <v>44175.657638888886</v>
      </c>
      <c r="C213" s="1" t="s">
        <v>39</v>
      </c>
      <c r="D213" s="1" t="s">
        <v>234</v>
      </c>
      <c r="E213" s="1">
        <v>100</v>
      </c>
      <c r="F213" s="1">
        <v>116</v>
      </c>
      <c r="G213" s="1" t="b">
        <v>1</v>
      </c>
      <c r="H213" s="2">
        <v>44175.657638888886</v>
      </c>
      <c r="I213" s="1" t="s">
        <v>1063</v>
      </c>
      <c r="N213" s="1">
        <v>34.048492430000003</v>
      </c>
      <c r="O213" s="1">
        <v>-118.2528992</v>
      </c>
      <c r="P213" s="1" t="s">
        <v>153</v>
      </c>
      <c r="Q213" s="1" t="s">
        <v>154</v>
      </c>
      <c r="R213" s="1" t="s">
        <v>236</v>
      </c>
      <c r="S213" s="1" t="s">
        <v>208</v>
      </c>
      <c r="T213" s="1" t="s">
        <v>157</v>
      </c>
      <c r="U213" s="1" t="s">
        <v>730</v>
      </c>
      <c r="V213" s="1" t="s">
        <v>160</v>
      </c>
      <c r="W213" s="1" t="s">
        <v>160</v>
      </c>
      <c r="X213" s="1" t="s">
        <v>160</v>
      </c>
      <c r="Y213" s="1" t="s">
        <v>160</v>
      </c>
      <c r="Z213" s="1" t="s">
        <v>160</v>
      </c>
      <c r="AA213" s="1" t="s">
        <v>160</v>
      </c>
      <c r="AB213" s="1" t="s">
        <v>160</v>
      </c>
      <c r="AC213" s="1" t="s">
        <v>160</v>
      </c>
      <c r="AD213" s="1" t="s">
        <v>160</v>
      </c>
      <c r="AE213" s="1" t="s">
        <v>160</v>
      </c>
      <c r="AF213" s="1" t="s">
        <v>160</v>
      </c>
      <c r="AG213" s="1" t="s">
        <v>160</v>
      </c>
      <c r="AI213" s="1" t="s">
        <v>160</v>
      </c>
      <c r="AJ213" s="1" t="s">
        <v>198</v>
      </c>
      <c r="AK213" s="1" t="s">
        <v>198</v>
      </c>
      <c r="AL213" s="1" t="s">
        <v>163</v>
      </c>
      <c r="AM213" s="1" t="s">
        <v>163</v>
      </c>
      <c r="AN213" s="1" t="s">
        <v>163</v>
      </c>
      <c r="AO213" s="1" t="s">
        <v>179</v>
      </c>
      <c r="AP213" s="1" t="s">
        <v>239</v>
      </c>
      <c r="AR213" s="1" t="s">
        <v>160</v>
      </c>
      <c r="AS213" s="1" t="s">
        <v>160</v>
      </c>
      <c r="AT213" s="1" t="s">
        <v>1064</v>
      </c>
      <c r="AU213" s="1" t="s">
        <v>160</v>
      </c>
      <c r="AV213" s="1" t="s">
        <v>160</v>
      </c>
      <c r="AW213" s="1" t="s">
        <v>160</v>
      </c>
      <c r="AX213" s="1" t="s">
        <v>160</v>
      </c>
      <c r="AY213" s="1" t="s">
        <v>160</v>
      </c>
      <c r="AZ213" s="1" t="s">
        <v>160</v>
      </c>
      <c r="BA213" s="1" t="s">
        <v>160</v>
      </c>
      <c r="BB213" s="1" t="s">
        <v>167</v>
      </c>
      <c r="BC213" s="1" t="s">
        <v>160</v>
      </c>
      <c r="BD213" s="1" t="s">
        <v>393</v>
      </c>
      <c r="BE213" s="1" t="s">
        <v>1065</v>
      </c>
      <c r="BF213" s="1" t="s">
        <v>160</v>
      </c>
    </row>
    <row r="214" spans="1:59" ht="13" x14ac:dyDescent="0.15">
      <c r="A214" s="2">
        <v>44175.655555555553</v>
      </c>
      <c r="B214" s="2">
        <v>44175.658333333333</v>
      </c>
      <c r="C214" s="1" t="s">
        <v>39</v>
      </c>
      <c r="D214" s="1" t="s">
        <v>1066</v>
      </c>
      <c r="E214" s="1">
        <v>100</v>
      </c>
      <c r="F214" s="1">
        <v>192</v>
      </c>
      <c r="G214" s="1" t="b">
        <v>1</v>
      </c>
      <c r="H214" s="2">
        <v>44175.658333333333</v>
      </c>
      <c r="I214" s="1" t="s">
        <v>1067</v>
      </c>
      <c r="N214" s="1">
        <v>40.946502690000003</v>
      </c>
      <c r="O214" s="1">
        <v>-124.0834045</v>
      </c>
      <c r="P214" s="1" t="s">
        <v>153</v>
      </c>
      <c r="Q214" s="1" t="s">
        <v>154</v>
      </c>
      <c r="R214" s="1" t="s">
        <v>174</v>
      </c>
      <c r="S214" s="1" t="s">
        <v>274</v>
      </c>
      <c r="T214" s="1" t="s">
        <v>263</v>
      </c>
      <c r="U214" s="1" t="s">
        <v>261</v>
      </c>
      <c r="V214" s="1" t="s">
        <v>160</v>
      </c>
      <c r="W214" s="1" t="s">
        <v>160</v>
      </c>
      <c r="X214" s="1" t="s">
        <v>160</v>
      </c>
      <c r="Y214" s="1" t="s">
        <v>160</v>
      </c>
      <c r="Z214" s="1" t="s">
        <v>159</v>
      </c>
      <c r="AA214" s="1" t="s">
        <v>159</v>
      </c>
      <c r="AB214" s="1" t="s">
        <v>160</v>
      </c>
      <c r="AC214" s="1" t="s">
        <v>160</v>
      </c>
      <c r="AD214" s="1" t="s">
        <v>160</v>
      </c>
      <c r="AE214" s="1" t="s">
        <v>160</v>
      </c>
      <c r="AF214" s="1" t="s">
        <v>160</v>
      </c>
      <c r="AG214" s="1" t="s">
        <v>160</v>
      </c>
      <c r="AH214" s="1">
        <v>4</v>
      </c>
      <c r="AI214" s="1" t="s">
        <v>160</v>
      </c>
      <c r="AJ214" s="1" t="s">
        <v>163</v>
      </c>
      <c r="AK214" s="1" t="s">
        <v>162</v>
      </c>
      <c r="AL214" s="1" t="s">
        <v>192</v>
      </c>
      <c r="AM214" s="1" t="s">
        <v>162</v>
      </c>
      <c r="AN214" s="1" t="s">
        <v>192</v>
      </c>
      <c r="AO214" s="1" t="s">
        <v>165</v>
      </c>
      <c r="AP214" s="1" t="s">
        <v>165</v>
      </c>
      <c r="AQ214" s="3">
        <v>36664</v>
      </c>
      <c r="AR214" s="1" t="s">
        <v>160</v>
      </c>
      <c r="AS214" s="1" t="s">
        <v>159</v>
      </c>
      <c r="AT214" s="1" t="s">
        <v>180</v>
      </c>
      <c r="AU214" s="1" t="s">
        <v>159</v>
      </c>
      <c r="AV214" s="1" t="s">
        <v>159</v>
      </c>
      <c r="AW214" s="1" t="s">
        <v>159</v>
      </c>
      <c r="AX214" s="1" t="s">
        <v>159</v>
      </c>
      <c r="AY214" s="1" t="s">
        <v>160</v>
      </c>
      <c r="AZ214" s="1" t="s">
        <v>160</v>
      </c>
      <c r="BA214" s="1" t="s">
        <v>159</v>
      </c>
      <c r="BB214" s="1" t="s">
        <v>167</v>
      </c>
      <c r="BC214" s="1" t="s">
        <v>159</v>
      </c>
      <c r="BE214" s="1" t="s">
        <v>1068</v>
      </c>
      <c r="BF214" s="1" t="s">
        <v>159</v>
      </c>
    </row>
    <row r="215" spans="1:59" ht="13" x14ac:dyDescent="0.15">
      <c r="A215" s="2">
        <v>44175.65625</v>
      </c>
      <c r="B215" s="2">
        <v>44175.658333333333</v>
      </c>
      <c r="C215" s="1" t="s">
        <v>39</v>
      </c>
      <c r="D215" s="1" t="s">
        <v>1069</v>
      </c>
      <c r="E215" s="1">
        <v>100</v>
      </c>
      <c r="F215" s="1">
        <v>210</v>
      </c>
      <c r="G215" s="1" t="b">
        <v>1</v>
      </c>
      <c r="H215" s="2">
        <v>44175.658333333333</v>
      </c>
      <c r="I215" s="1" t="s">
        <v>1070</v>
      </c>
      <c r="N215" s="1">
        <v>41.690399169999999</v>
      </c>
      <c r="O215" s="1">
        <v>-87.615699770000006</v>
      </c>
      <c r="P215" s="1" t="s">
        <v>153</v>
      </c>
      <c r="Q215" s="1" t="s">
        <v>154</v>
      </c>
      <c r="R215" s="1" t="s">
        <v>174</v>
      </c>
      <c r="S215" s="1" t="s">
        <v>208</v>
      </c>
      <c r="T215" s="1" t="s">
        <v>237</v>
      </c>
      <c r="U215" s="1" t="s">
        <v>861</v>
      </c>
      <c r="V215" s="1" t="s">
        <v>160</v>
      </c>
      <c r="W215" s="1" t="s">
        <v>160</v>
      </c>
      <c r="X215" s="1" t="s">
        <v>160</v>
      </c>
      <c r="Y215" s="1" t="s">
        <v>160</v>
      </c>
      <c r="Z215" s="1" t="s">
        <v>160</v>
      </c>
      <c r="AA215" s="1" t="s">
        <v>159</v>
      </c>
      <c r="AB215" s="1" t="s">
        <v>160</v>
      </c>
      <c r="AC215" s="1" t="s">
        <v>160</v>
      </c>
      <c r="AD215" s="1" t="s">
        <v>160</v>
      </c>
      <c r="AE215" s="1" t="s">
        <v>160</v>
      </c>
      <c r="AF215" s="1" t="s">
        <v>160</v>
      </c>
      <c r="AG215" s="1" t="s">
        <v>160</v>
      </c>
      <c r="AH215" s="1">
        <v>5</v>
      </c>
      <c r="AI215" s="1" t="s">
        <v>160</v>
      </c>
      <c r="AJ215" s="1" t="s">
        <v>164</v>
      </c>
      <c r="AK215" s="1" t="s">
        <v>198</v>
      </c>
      <c r="AL215" s="1" t="s">
        <v>198</v>
      </c>
      <c r="AM215" s="1" t="s">
        <v>164</v>
      </c>
      <c r="AN215" s="1" t="s">
        <v>164</v>
      </c>
      <c r="AO215" s="1" t="s">
        <v>179</v>
      </c>
      <c r="AP215" s="1" t="s">
        <v>179</v>
      </c>
      <c r="AQ215" s="1">
        <v>1997</v>
      </c>
      <c r="AR215" s="1" t="s">
        <v>160</v>
      </c>
      <c r="AS215" s="1" t="s">
        <v>159</v>
      </c>
      <c r="AT215" s="1" t="s">
        <v>166</v>
      </c>
      <c r="AU215" s="1" t="s">
        <v>160</v>
      </c>
      <c r="AV215" s="1" t="s">
        <v>159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159</v>
      </c>
      <c r="BB215" s="1" t="s">
        <v>167</v>
      </c>
      <c r="BC215" s="1" t="s">
        <v>159</v>
      </c>
      <c r="BE215" s="1" t="s">
        <v>1071</v>
      </c>
      <c r="BF215" s="1" t="s">
        <v>160</v>
      </c>
      <c r="BG215" s="1" t="s">
        <v>1071</v>
      </c>
    </row>
    <row r="216" spans="1:59" ht="13" x14ac:dyDescent="0.15">
      <c r="A216" s="2">
        <v>44175.657638888886</v>
      </c>
      <c r="B216" s="2">
        <v>44175.65902777778</v>
      </c>
      <c r="C216" s="1" t="s">
        <v>39</v>
      </c>
      <c r="D216" s="1" t="s">
        <v>1072</v>
      </c>
      <c r="E216" s="1">
        <v>100</v>
      </c>
      <c r="F216" s="1">
        <v>105</v>
      </c>
      <c r="G216" s="1" t="b">
        <v>1</v>
      </c>
      <c r="H216" s="2">
        <v>44175.65902777778</v>
      </c>
      <c r="I216" s="1" t="s">
        <v>1073</v>
      </c>
      <c r="N216" s="1">
        <v>39.965301510000003</v>
      </c>
      <c r="O216" s="1">
        <v>-83.023498540000006</v>
      </c>
      <c r="P216" s="1" t="s">
        <v>153</v>
      </c>
      <c r="Q216" s="1" t="s">
        <v>154</v>
      </c>
      <c r="R216" s="1" t="s">
        <v>155</v>
      </c>
      <c r="S216" s="1" t="s">
        <v>274</v>
      </c>
      <c r="T216" s="1" t="s">
        <v>176</v>
      </c>
      <c r="U216" s="1" t="s">
        <v>1074</v>
      </c>
      <c r="V216" s="1" t="s">
        <v>160</v>
      </c>
      <c r="W216" s="1" t="s">
        <v>160</v>
      </c>
      <c r="X216" s="1" t="s">
        <v>160</v>
      </c>
      <c r="Y216" s="1" t="s">
        <v>159</v>
      </c>
      <c r="Z216" s="1" t="s">
        <v>160</v>
      </c>
      <c r="AA216" s="1" t="s">
        <v>159</v>
      </c>
      <c r="AB216" s="1" t="s">
        <v>160</v>
      </c>
      <c r="AC216" s="1" t="s">
        <v>160</v>
      </c>
      <c r="AD216" s="1" t="s">
        <v>159</v>
      </c>
      <c r="AE216" s="1" t="s">
        <v>160</v>
      </c>
      <c r="AF216" s="1" t="s">
        <v>159</v>
      </c>
      <c r="AG216" s="1" t="s">
        <v>160</v>
      </c>
      <c r="AH216" s="1">
        <v>5</v>
      </c>
      <c r="AI216" s="1" t="s">
        <v>160</v>
      </c>
      <c r="AJ216" s="1" t="s">
        <v>163</v>
      </c>
      <c r="AK216" s="1" t="s">
        <v>162</v>
      </c>
      <c r="AL216" s="1" t="s">
        <v>163</v>
      </c>
      <c r="AM216" s="1" t="s">
        <v>162</v>
      </c>
      <c r="AN216" s="1" t="s">
        <v>163</v>
      </c>
      <c r="AO216" s="1" t="s">
        <v>165</v>
      </c>
      <c r="AP216" s="1" t="s">
        <v>165</v>
      </c>
      <c r="AQ216" s="1">
        <v>1997</v>
      </c>
      <c r="AR216" s="1" t="s">
        <v>160</v>
      </c>
      <c r="AS216" s="1" t="s">
        <v>159</v>
      </c>
      <c r="AT216" s="1" t="s">
        <v>180</v>
      </c>
      <c r="AU216" s="1" t="s">
        <v>159</v>
      </c>
      <c r="AV216" s="1" t="s">
        <v>159</v>
      </c>
      <c r="AW216" s="1" t="s">
        <v>159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181</v>
      </c>
      <c r="BC216" s="1" t="s">
        <v>160</v>
      </c>
      <c r="BE216" s="1" t="s">
        <v>1075</v>
      </c>
      <c r="BF216" s="1" t="s">
        <v>159</v>
      </c>
    </row>
    <row r="217" spans="1:59" ht="13" x14ac:dyDescent="0.15">
      <c r="A217" s="2">
        <v>44175.658333333333</v>
      </c>
      <c r="B217" s="2">
        <v>44175.659722222219</v>
      </c>
      <c r="C217" s="1" t="s">
        <v>39</v>
      </c>
      <c r="D217" s="1" t="s">
        <v>234</v>
      </c>
      <c r="E217" s="1">
        <v>100</v>
      </c>
      <c r="F217" s="1">
        <v>121</v>
      </c>
      <c r="G217" s="1" t="b">
        <v>1</v>
      </c>
      <c r="H217" s="2">
        <v>44175.659722222219</v>
      </c>
      <c r="I217" s="1" t="s">
        <v>1076</v>
      </c>
      <c r="N217" s="1">
        <v>34.048492430000003</v>
      </c>
      <c r="O217" s="1">
        <v>-118.2528992</v>
      </c>
      <c r="P217" s="1" t="s">
        <v>153</v>
      </c>
      <c r="Q217" s="1" t="s">
        <v>154</v>
      </c>
      <c r="R217" s="1" t="s">
        <v>236</v>
      </c>
      <c r="S217" s="1" t="s">
        <v>226</v>
      </c>
      <c r="T217" s="1" t="s">
        <v>176</v>
      </c>
      <c r="U217" s="1" t="s">
        <v>1077</v>
      </c>
      <c r="V217" s="1" t="s">
        <v>160</v>
      </c>
      <c r="W217" s="1" t="s">
        <v>160</v>
      </c>
      <c r="X217" s="1" t="s">
        <v>160</v>
      </c>
      <c r="Y217" s="1" t="s">
        <v>160</v>
      </c>
      <c r="Z217" s="1" t="s">
        <v>160</v>
      </c>
      <c r="AA217" s="1" t="s">
        <v>160</v>
      </c>
      <c r="AB217" s="1" t="s">
        <v>160</v>
      </c>
      <c r="AC217" s="1" t="s">
        <v>160</v>
      </c>
      <c r="AD217" s="1" t="s">
        <v>160</v>
      </c>
      <c r="AE217" s="1" t="s">
        <v>160</v>
      </c>
      <c r="AF217" s="1" t="s">
        <v>160</v>
      </c>
      <c r="AG217" s="1" t="s">
        <v>160</v>
      </c>
      <c r="AI217" s="1" t="s">
        <v>160</v>
      </c>
      <c r="AJ217" s="1" t="s">
        <v>192</v>
      </c>
      <c r="AK217" s="1" t="s">
        <v>198</v>
      </c>
      <c r="AL217" s="1" t="s">
        <v>164</v>
      </c>
      <c r="AM217" s="1" t="s">
        <v>163</v>
      </c>
      <c r="AN217" s="1" t="s">
        <v>192</v>
      </c>
      <c r="AO217" s="1" t="s">
        <v>179</v>
      </c>
      <c r="AP217" s="1" t="s">
        <v>239</v>
      </c>
      <c r="AR217" s="1" t="s">
        <v>160</v>
      </c>
      <c r="AS217" s="1" t="s">
        <v>160</v>
      </c>
      <c r="AT217" s="1" t="s">
        <v>881</v>
      </c>
      <c r="AU217" s="1" t="s">
        <v>159</v>
      </c>
      <c r="AV217" s="1" t="s">
        <v>160</v>
      </c>
      <c r="AW217" s="1" t="s">
        <v>159</v>
      </c>
      <c r="AX217" s="1" t="s">
        <v>159</v>
      </c>
      <c r="AY217" s="1" t="s">
        <v>160</v>
      </c>
      <c r="AZ217" s="1" t="s">
        <v>160</v>
      </c>
      <c r="BA217" s="1" t="s">
        <v>160</v>
      </c>
      <c r="BB217" s="1" t="s">
        <v>167</v>
      </c>
      <c r="BC217" s="1" t="s">
        <v>160</v>
      </c>
      <c r="BD217" s="1" t="s">
        <v>1078</v>
      </c>
      <c r="BE217" s="1" t="s">
        <v>1079</v>
      </c>
      <c r="BF217" s="1" t="s">
        <v>160</v>
      </c>
    </row>
    <row r="218" spans="1:59" ht="13" x14ac:dyDescent="0.15">
      <c r="A218" s="2">
        <v>44175.649305555555</v>
      </c>
      <c r="B218" s="2">
        <v>44175.659722222219</v>
      </c>
      <c r="C218" s="1" t="s">
        <v>39</v>
      </c>
      <c r="D218" s="1" t="s">
        <v>1080</v>
      </c>
      <c r="E218" s="1">
        <v>100</v>
      </c>
      <c r="F218" s="1">
        <v>895</v>
      </c>
      <c r="G218" s="1" t="b">
        <v>1</v>
      </c>
      <c r="H218" s="2">
        <v>44175.659722222219</v>
      </c>
      <c r="I218" s="1" t="s">
        <v>1081</v>
      </c>
      <c r="N218" s="1">
        <v>37.677200319999997</v>
      </c>
      <c r="O218" s="1">
        <v>-97.158302309999996</v>
      </c>
      <c r="P218" s="1" t="s">
        <v>153</v>
      </c>
      <c r="Q218" s="1" t="s">
        <v>154</v>
      </c>
      <c r="R218" s="1" t="s">
        <v>174</v>
      </c>
      <c r="S218" s="1" t="s">
        <v>208</v>
      </c>
      <c r="T218" s="1" t="s">
        <v>176</v>
      </c>
      <c r="U218" s="1" t="s">
        <v>976</v>
      </c>
      <c r="V218" s="1" t="s">
        <v>160</v>
      </c>
      <c r="W218" s="1" t="s">
        <v>160</v>
      </c>
      <c r="X218" s="1" t="s">
        <v>160</v>
      </c>
      <c r="Y218" s="1" t="s">
        <v>160</v>
      </c>
      <c r="Z218" s="1" t="s">
        <v>160</v>
      </c>
      <c r="AA218" s="1" t="s">
        <v>159</v>
      </c>
      <c r="AB218" s="1" t="s">
        <v>160</v>
      </c>
      <c r="AC218" s="1" t="s">
        <v>160</v>
      </c>
      <c r="AD218" s="1" t="s">
        <v>159</v>
      </c>
      <c r="AE218" s="1" t="s">
        <v>160</v>
      </c>
      <c r="AF218" s="1" t="s">
        <v>159</v>
      </c>
      <c r="AG218" s="1" t="s">
        <v>160</v>
      </c>
      <c r="AH218" s="1">
        <v>2</v>
      </c>
      <c r="AI218" s="1" t="s">
        <v>160</v>
      </c>
      <c r="AJ218" s="1" t="s">
        <v>163</v>
      </c>
      <c r="AK218" s="1" t="s">
        <v>163</v>
      </c>
      <c r="AL218" s="1" t="s">
        <v>192</v>
      </c>
      <c r="AM218" s="1" t="s">
        <v>163</v>
      </c>
      <c r="AN218" s="1" t="s">
        <v>192</v>
      </c>
      <c r="AO218" s="1" t="s">
        <v>165</v>
      </c>
      <c r="AP218" s="1" t="s">
        <v>165</v>
      </c>
      <c r="AQ218" s="1">
        <v>1997</v>
      </c>
      <c r="AR218" s="1" t="s">
        <v>160</v>
      </c>
      <c r="AS218" s="1" t="s">
        <v>160</v>
      </c>
      <c r="AT218" s="1" t="s">
        <v>210</v>
      </c>
      <c r="AU218" s="1" t="s">
        <v>159</v>
      </c>
      <c r="AV218" s="1" t="s">
        <v>159</v>
      </c>
      <c r="AW218" s="1" t="s">
        <v>159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167</v>
      </c>
      <c r="BC218" s="1" t="s">
        <v>160</v>
      </c>
      <c r="BD218" s="1" t="s">
        <v>1082</v>
      </c>
      <c r="BE218" s="1" t="s">
        <v>1083</v>
      </c>
      <c r="BF218" s="1" t="s">
        <v>159</v>
      </c>
    </row>
    <row r="219" spans="1:59" ht="13" x14ac:dyDescent="0.15">
      <c r="A219" s="2">
        <v>44175.65902777778</v>
      </c>
      <c r="B219" s="2">
        <v>44175.660416666666</v>
      </c>
      <c r="C219" s="1" t="s">
        <v>39</v>
      </c>
      <c r="D219" s="1" t="s">
        <v>1084</v>
      </c>
      <c r="E219" s="1">
        <v>100</v>
      </c>
      <c r="F219" s="1">
        <v>119</v>
      </c>
      <c r="G219" s="1" t="b">
        <v>1</v>
      </c>
      <c r="H219" s="2">
        <v>44175.660416666666</v>
      </c>
      <c r="I219" s="1" t="s">
        <v>1085</v>
      </c>
      <c r="N219" s="1">
        <v>41.74049377</v>
      </c>
      <c r="O219" s="1">
        <v>-87.658699040000002</v>
      </c>
      <c r="P219" s="1" t="s">
        <v>153</v>
      </c>
      <c r="Q219" s="1" t="s">
        <v>154</v>
      </c>
      <c r="R219" s="1" t="s">
        <v>174</v>
      </c>
      <c r="S219" s="1" t="s">
        <v>208</v>
      </c>
      <c r="T219" s="1" t="s">
        <v>176</v>
      </c>
      <c r="U219" s="1" t="s">
        <v>1086</v>
      </c>
      <c r="V219" s="1" t="s">
        <v>160</v>
      </c>
      <c r="W219" s="1" t="s">
        <v>160</v>
      </c>
      <c r="X219" s="1" t="s">
        <v>160</v>
      </c>
      <c r="Y219" s="1" t="s">
        <v>160</v>
      </c>
      <c r="Z219" s="1" t="s">
        <v>160</v>
      </c>
      <c r="AA219" s="1" t="s">
        <v>160</v>
      </c>
      <c r="AB219" s="1" t="s">
        <v>159</v>
      </c>
      <c r="AC219" s="1" t="s">
        <v>159</v>
      </c>
      <c r="AD219" s="1" t="s">
        <v>160</v>
      </c>
      <c r="AE219" s="1" t="s">
        <v>160</v>
      </c>
      <c r="AF219" s="1" t="s">
        <v>159</v>
      </c>
      <c r="AG219" s="1" t="s">
        <v>160</v>
      </c>
      <c r="AH219" s="1">
        <v>3</v>
      </c>
      <c r="AI219" s="1" t="s">
        <v>159</v>
      </c>
      <c r="AJ219" s="1" t="s">
        <v>192</v>
      </c>
      <c r="AK219" s="1" t="s">
        <v>164</v>
      </c>
      <c r="AL219" s="1" t="s">
        <v>163</v>
      </c>
      <c r="AM219" s="1" t="s">
        <v>192</v>
      </c>
      <c r="AN219" s="1" t="s">
        <v>164</v>
      </c>
      <c r="AO219" s="1" t="s">
        <v>179</v>
      </c>
      <c r="AP219" s="1" t="s">
        <v>179</v>
      </c>
      <c r="AQ219" s="1">
        <v>1988</v>
      </c>
      <c r="AR219" s="1" t="s">
        <v>160</v>
      </c>
      <c r="AS219" s="1" t="s">
        <v>159</v>
      </c>
      <c r="AT219" s="1" t="s">
        <v>180</v>
      </c>
      <c r="AU219" s="1" t="s">
        <v>159</v>
      </c>
      <c r="AV219" s="1" t="s">
        <v>160</v>
      </c>
      <c r="AW219" s="1" t="s">
        <v>159</v>
      </c>
      <c r="AX219" s="1" t="s">
        <v>160</v>
      </c>
      <c r="AY219" s="1" t="s">
        <v>159</v>
      </c>
      <c r="AZ219" s="1" t="s">
        <v>160</v>
      </c>
      <c r="BA219" s="1" t="s">
        <v>159</v>
      </c>
      <c r="BB219" s="1" t="s">
        <v>241</v>
      </c>
      <c r="BC219" s="1" t="s">
        <v>159</v>
      </c>
      <c r="BE219" s="1" t="s">
        <v>1087</v>
      </c>
      <c r="BF219" s="1" t="s">
        <v>159</v>
      </c>
    </row>
    <row r="220" spans="1:59" ht="13" x14ac:dyDescent="0.15">
      <c r="A220" s="2">
        <v>44175.658333333333</v>
      </c>
      <c r="B220" s="2">
        <v>44175.660416666666</v>
      </c>
      <c r="C220" s="1" t="s">
        <v>39</v>
      </c>
      <c r="D220" s="1" t="s">
        <v>1088</v>
      </c>
      <c r="E220" s="1">
        <v>100</v>
      </c>
      <c r="F220" s="1">
        <v>174</v>
      </c>
      <c r="G220" s="1" t="b">
        <v>1</v>
      </c>
      <c r="H220" s="2">
        <v>44175.660416666666</v>
      </c>
      <c r="I220" s="1" t="s">
        <v>1089</v>
      </c>
      <c r="N220" s="1">
        <v>37.331298830000001</v>
      </c>
      <c r="O220" s="1">
        <v>-121.84010309999999</v>
      </c>
      <c r="P220" s="1" t="s">
        <v>153</v>
      </c>
      <c r="Q220" s="1" t="s">
        <v>154</v>
      </c>
      <c r="R220" s="1" t="s">
        <v>174</v>
      </c>
      <c r="S220" s="1" t="s">
        <v>274</v>
      </c>
      <c r="T220" s="1" t="s">
        <v>263</v>
      </c>
      <c r="U220" s="1" t="s">
        <v>1090</v>
      </c>
      <c r="V220" s="1" t="s">
        <v>159</v>
      </c>
      <c r="W220" s="1" t="s">
        <v>159</v>
      </c>
      <c r="X220" s="1" t="s">
        <v>159</v>
      </c>
      <c r="Y220" s="1" t="s">
        <v>160</v>
      </c>
      <c r="Z220" s="1" t="s">
        <v>159</v>
      </c>
      <c r="AA220" s="1" t="s">
        <v>159</v>
      </c>
      <c r="AB220" s="1" t="s">
        <v>159</v>
      </c>
      <c r="AC220" s="1" t="s">
        <v>160</v>
      </c>
      <c r="AD220" s="1" t="s">
        <v>159</v>
      </c>
      <c r="AE220" s="1" t="s">
        <v>160</v>
      </c>
      <c r="AF220" s="1" t="s">
        <v>160</v>
      </c>
      <c r="AG220" s="1" t="s">
        <v>160</v>
      </c>
      <c r="AI220" s="1" t="s">
        <v>160</v>
      </c>
      <c r="AJ220" s="1" t="s">
        <v>163</v>
      </c>
      <c r="AK220" s="1" t="s">
        <v>163</v>
      </c>
      <c r="AL220" s="1" t="s">
        <v>162</v>
      </c>
      <c r="AM220" s="1" t="s">
        <v>162</v>
      </c>
      <c r="AN220" s="1" t="s">
        <v>163</v>
      </c>
      <c r="AO220" s="1" t="s">
        <v>179</v>
      </c>
      <c r="AP220" s="1" t="s">
        <v>179</v>
      </c>
      <c r="AR220" s="1" t="s">
        <v>160</v>
      </c>
      <c r="AS220" s="1" t="s">
        <v>159</v>
      </c>
      <c r="AT220" s="1" t="s">
        <v>1091</v>
      </c>
      <c r="AU220" s="1" t="s">
        <v>159</v>
      </c>
      <c r="AV220" s="1" t="s">
        <v>159</v>
      </c>
      <c r="AW220" s="1" t="s">
        <v>159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167</v>
      </c>
      <c r="BC220" s="1" t="s">
        <v>159</v>
      </c>
      <c r="BE220" s="1" t="s">
        <v>1092</v>
      </c>
      <c r="BF220" s="1" t="s">
        <v>160</v>
      </c>
      <c r="BG220" s="1" t="s">
        <v>1092</v>
      </c>
    </row>
    <row r="221" spans="1:59" ht="13" x14ac:dyDescent="0.15">
      <c r="A221" s="2">
        <v>44175.659722222219</v>
      </c>
      <c r="B221" s="2">
        <v>44175.660416666666</v>
      </c>
      <c r="C221" s="1" t="s">
        <v>39</v>
      </c>
      <c r="D221" s="1" t="s">
        <v>1093</v>
      </c>
      <c r="E221" s="1">
        <v>100</v>
      </c>
      <c r="F221" s="1">
        <v>107</v>
      </c>
      <c r="G221" s="1" t="b">
        <v>1</v>
      </c>
      <c r="H221" s="2">
        <v>44175.660416666666</v>
      </c>
      <c r="I221" s="1" t="s">
        <v>1094</v>
      </c>
      <c r="N221" s="1">
        <v>26.268096920000001</v>
      </c>
      <c r="O221" s="1">
        <v>-80.209198000000001</v>
      </c>
      <c r="P221" s="1" t="s">
        <v>153</v>
      </c>
      <c r="Q221" s="1" t="s">
        <v>154</v>
      </c>
      <c r="R221" s="1" t="s">
        <v>174</v>
      </c>
      <c r="S221" s="1" t="s">
        <v>274</v>
      </c>
      <c r="T221" s="1" t="s">
        <v>157</v>
      </c>
      <c r="U221" s="1" t="s">
        <v>197</v>
      </c>
      <c r="V221" s="1" t="s">
        <v>160</v>
      </c>
      <c r="W221" s="1" t="s">
        <v>160</v>
      </c>
      <c r="X221" s="1" t="s">
        <v>160</v>
      </c>
      <c r="Y221" s="1" t="s">
        <v>160</v>
      </c>
      <c r="Z221" s="1" t="s">
        <v>160</v>
      </c>
      <c r="AA221" s="1" t="s">
        <v>160</v>
      </c>
      <c r="AB221" s="1" t="s">
        <v>160</v>
      </c>
      <c r="AC221" s="1" t="s">
        <v>160</v>
      </c>
      <c r="AD221" s="1" t="s">
        <v>159</v>
      </c>
      <c r="AE221" s="1" t="s">
        <v>160</v>
      </c>
      <c r="AF221" s="1" t="s">
        <v>160</v>
      </c>
      <c r="AG221" s="1" t="s">
        <v>160</v>
      </c>
      <c r="AH221" s="1">
        <v>8</v>
      </c>
      <c r="AI221" s="1" t="s">
        <v>160</v>
      </c>
      <c r="AJ221" s="1" t="s">
        <v>163</v>
      </c>
      <c r="AK221" s="1" t="s">
        <v>162</v>
      </c>
      <c r="AL221" s="1" t="s">
        <v>192</v>
      </c>
      <c r="AM221" s="1" t="s">
        <v>163</v>
      </c>
      <c r="AN221" s="1" t="s">
        <v>163</v>
      </c>
      <c r="AO221" s="1" t="s">
        <v>179</v>
      </c>
      <c r="AP221" s="1" t="s">
        <v>179</v>
      </c>
      <c r="AQ221" s="1">
        <v>1998</v>
      </c>
      <c r="AR221" s="1" t="s">
        <v>160</v>
      </c>
      <c r="AS221" s="1" t="s">
        <v>159</v>
      </c>
      <c r="AT221" s="1" t="s">
        <v>180</v>
      </c>
      <c r="AU221" s="1" t="s">
        <v>159</v>
      </c>
      <c r="AV221" s="1" t="s">
        <v>159</v>
      </c>
      <c r="AW221" s="1" t="s">
        <v>159</v>
      </c>
      <c r="AX221" s="1" t="s">
        <v>159</v>
      </c>
      <c r="AY221" s="1" t="s">
        <v>159</v>
      </c>
      <c r="AZ221" s="1" t="s">
        <v>159</v>
      </c>
      <c r="BA221" s="1" t="s">
        <v>159</v>
      </c>
      <c r="BB221" s="1" t="s">
        <v>167</v>
      </c>
      <c r="BC221" s="1" t="s">
        <v>159</v>
      </c>
      <c r="BE221" s="1" t="s">
        <v>1095</v>
      </c>
      <c r="BF221" s="1" t="s">
        <v>159</v>
      </c>
    </row>
    <row r="222" spans="1:59" ht="13" x14ac:dyDescent="0.15">
      <c r="A222" s="2">
        <v>44175.659722222219</v>
      </c>
      <c r="B222" s="2">
        <v>44175.661111111112</v>
      </c>
      <c r="C222" s="1" t="s">
        <v>39</v>
      </c>
      <c r="D222" s="1" t="s">
        <v>234</v>
      </c>
      <c r="E222" s="1">
        <v>100</v>
      </c>
      <c r="F222" s="1">
        <v>116</v>
      </c>
      <c r="G222" s="1" t="b">
        <v>1</v>
      </c>
      <c r="H222" s="2">
        <v>44175.661111111112</v>
      </c>
      <c r="I222" s="1" t="s">
        <v>1096</v>
      </c>
      <c r="N222" s="1">
        <v>34.048492430000003</v>
      </c>
      <c r="O222" s="1">
        <v>-118.2528992</v>
      </c>
      <c r="P222" s="1" t="s">
        <v>153</v>
      </c>
      <c r="Q222" s="1" t="s">
        <v>154</v>
      </c>
      <c r="R222" s="1" t="s">
        <v>236</v>
      </c>
      <c r="S222" s="1" t="s">
        <v>274</v>
      </c>
      <c r="T222" s="1" t="s">
        <v>263</v>
      </c>
      <c r="U222" s="1" t="s">
        <v>711</v>
      </c>
      <c r="V222" s="1" t="s">
        <v>160</v>
      </c>
      <c r="W222" s="1" t="s">
        <v>160</v>
      </c>
      <c r="X222" s="1" t="s">
        <v>160</v>
      </c>
      <c r="Y222" s="1" t="s">
        <v>160</v>
      </c>
      <c r="Z222" s="1" t="s">
        <v>160</v>
      </c>
      <c r="AA222" s="1" t="s">
        <v>160</v>
      </c>
      <c r="AB222" s="1" t="s">
        <v>160</v>
      </c>
      <c r="AC222" s="1" t="s">
        <v>160</v>
      </c>
      <c r="AD222" s="1" t="s">
        <v>160</v>
      </c>
      <c r="AE222" s="1" t="s">
        <v>160</v>
      </c>
      <c r="AF222" s="1" t="s">
        <v>160</v>
      </c>
      <c r="AG222" s="1" t="s">
        <v>160</v>
      </c>
      <c r="AI222" s="1" t="s">
        <v>160</v>
      </c>
      <c r="AJ222" s="1" t="s">
        <v>164</v>
      </c>
      <c r="AK222" s="1" t="s">
        <v>192</v>
      </c>
      <c r="AL222" s="1" t="s">
        <v>163</v>
      </c>
      <c r="AM222" s="1" t="s">
        <v>198</v>
      </c>
      <c r="AN222" s="1" t="s">
        <v>164</v>
      </c>
      <c r="AO222" s="1" t="s">
        <v>179</v>
      </c>
      <c r="AP222" s="1" t="s">
        <v>179</v>
      </c>
      <c r="AR222" s="1" t="s">
        <v>160</v>
      </c>
      <c r="AS222" s="1" t="s">
        <v>160</v>
      </c>
      <c r="AT222" s="1" t="s">
        <v>1097</v>
      </c>
      <c r="AU222" s="1" t="s">
        <v>159</v>
      </c>
      <c r="AV222" s="1" t="s">
        <v>160</v>
      </c>
      <c r="AW222" s="1" t="s">
        <v>160</v>
      </c>
      <c r="AX222" s="1" t="s">
        <v>160</v>
      </c>
      <c r="AY222" s="1" t="s">
        <v>160</v>
      </c>
      <c r="AZ222" s="1" t="s">
        <v>159</v>
      </c>
      <c r="BA222" s="1" t="s">
        <v>160</v>
      </c>
      <c r="BB222" s="1" t="s">
        <v>241</v>
      </c>
      <c r="BC222" s="1" t="s">
        <v>160</v>
      </c>
      <c r="BD222" s="1" t="s">
        <v>1098</v>
      </c>
      <c r="BE222" s="1" t="s">
        <v>1099</v>
      </c>
      <c r="BF222" s="1" t="s">
        <v>160</v>
      </c>
    </row>
    <row r="223" spans="1:59" ht="13" x14ac:dyDescent="0.15">
      <c r="A223" s="2">
        <v>44175.657638888886</v>
      </c>
      <c r="B223" s="2">
        <v>44175.661805555559</v>
      </c>
      <c r="C223" s="1" t="s">
        <v>39</v>
      </c>
      <c r="D223" s="1" t="s">
        <v>1100</v>
      </c>
      <c r="E223" s="1">
        <v>100</v>
      </c>
      <c r="F223" s="1">
        <v>345</v>
      </c>
      <c r="G223" s="1" t="b">
        <v>1</v>
      </c>
      <c r="H223" s="2">
        <v>44175.661805555559</v>
      </c>
      <c r="I223" s="1" t="s">
        <v>1101</v>
      </c>
      <c r="N223" s="1">
        <v>35.53640747</v>
      </c>
      <c r="O223" s="1">
        <v>-100.9537964</v>
      </c>
      <c r="P223" s="1" t="s">
        <v>153</v>
      </c>
      <c r="Q223" s="1" t="s">
        <v>154</v>
      </c>
      <c r="R223" s="1" t="s">
        <v>174</v>
      </c>
      <c r="S223" s="1" t="s">
        <v>208</v>
      </c>
      <c r="T223" s="1" t="s">
        <v>176</v>
      </c>
      <c r="U223" s="1" t="s">
        <v>418</v>
      </c>
      <c r="V223" s="1" t="s">
        <v>160</v>
      </c>
      <c r="W223" s="1" t="s">
        <v>160</v>
      </c>
      <c r="X223" s="1" t="s">
        <v>160</v>
      </c>
      <c r="Y223" s="1" t="s">
        <v>160</v>
      </c>
      <c r="Z223" s="1" t="s">
        <v>160</v>
      </c>
      <c r="AA223" s="1" t="s">
        <v>160</v>
      </c>
      <c r="AB223" s="1" t="s">
        <v>160</v>
      </c>
      <c r="AC223" s="1" t="s">
        <v>160</v>
      </c>
      <c r="AD223" s="1" t="s">
        <v>160</v>
      </c>
      <c r="AE223" s="1" t="s">
        <v>160</v>
      </c>
      <c r="AF223" s="1" t="s">
        <v>160</v>
      </c>
      <c r="AG223" s="1" t="s">
        <v>160</v>
      </c>
      <c r="AH223" s="1">
        <v>3</v>
      </c>
      <c r="AI223" s="1" t="s">
        <v>160</v>
      </c>
      <c r="AJ223" s="1" t="s">
        <v>192</v>
      </c>
      <c r="AK223" s="1" t="s">
        <v>162</v>
      </c>
      <c r="AL223" s="1" t="s">
        <v>163</v>
      </c>
      <c r="AM223" s="1" t="s">
        <v>163</v>
      </c>
      <c r="AN223" s="1" t="s">
        <v>163</v>
      </c>
      <c r="AO223" s="1" t="s">
        <v>165</v>
      </c>
      <c r="AP223" s="1" t="s">
        <v>165</v>
      </c>
      <c r="AQ223" s="1">
        <v>1997</v>
      </c>
      <c r="AR223" s="1" t="s">
        <v>160</v>
      </c>
      <c r="AS223" s="1" t="s">
        <v>160</v>
      </c>
      <c r="AT223" s="1" t="s">
        <v>180</v>
      </c>
      <c r="AU223" s="1" t="s">
        <v>159</v>
      </c>
      <c r="AV223" s="1" t="s">
        <v>159</v>
      </c>
      <c r="AW223" s="1" t="s">
        <v>159</v>
      </c>
      <c r="AX223" s="1" t="s">
        <v>159</v>
      </c>
      <c r="AY223" s="1" t="s">
        <v>159</v>
      </c>
      <c r="AZ223" s="1" t="s">
        <v>159</v>
      </c>
      <c r="BA223" s="1" t="s">
        <v>159</v>
      </c>
      <c r="BB223" s="1" t="s">
        <v>181</v>
      </c>
      <c r="BC223" s="1" t="s">
        <v>160</v>
      </c>
      <c r="BE223" s="1" t="s">
        <v>1102</v>
      </c>
      <c r="BF223" s="1" t="s">
        <v>159</v>
      </c>
    </row>
    <row r="224" spans="1:59" ht="13" x14ac:dyDescent="0.15">
      <c r="A224" s="2">
        <v>44175.661111111112</v>
      </c>
      <c r="B224" s="2">
        <v>44175.662499999999</v>
      </c>
      <c r="C224" s="1" t="s">
        <v>39</v>
      </c>
      <c r="D224" s="1" t="s">
        <v>1103</v>
      </c>
      <c r="E224" s="1">
        <v>100</v>
      </c>
      <c r="F224" s="1">
        <v>112</v>
      </c>
      <c r="G224" s="1" t="b">
        <v>1</v>
      </c>
      <c r="H224" s="2">
        <v>44175.662499999999</v>
      </c>
      <c r="I224" s="1" t="s">
        <v>1104</v>
      </c>
      <c r="N224" s="1">
        <v>41.696304320000003</v>
      </c>
      <c r="O224" s="1">
        <v>-87.657600400000007</v>
      </c>
      <c r="P224" s="1" t="s">
        <v>153</v>
      </c>
      <c r="Q224" s="1" t="s">
        <v>154</v>
      </c>
      <c r="R224" s="1" t="s">
        <v>155</v>
      </c>
      <c r="S224" s="1" t="s">
        <v>208</v>
      </c>
      <c r="T224" s="1" t="s">
        <v>157</v>
      </c>
      <c r="U224" s="1" t="s">
        <v>1086</v>
      </c>
      <c r="V224" s="1" t="s">
        <v>160</v>
      </c>
      <c r="W224" s="1" t="s">
        <v>159</v>
      </c>
      <c r="X224" s="1" t="s">
        <v>160</v>
      </c>
      <c r="Y224" s="1" t="s">
        <v>160</v>
      </c>
      <c r="Z224" s="1" t="s">
        <v>160</v>
      </c>
      <c r="AA224" s="1" t="s">
        <v>159</v>
      </c>
      <c r="AB224" s="1" t="s">
        <v>159</v>
      </c>
      <c r="AC224" s="1" t="s">
        <v>160</v>
      </c>
      <c r="AD224" s="1" t="s">
        <v>160</v>
      </c>
      <c r="AE224" s="1" t="s">
        <v>159</v>
      </c>
      <c r="AF224" s="1" t="s">
        <v>159</v>
      </c>
      <c r="AG224" s="1" t="s">
        <v>160</v>
      </c>
      <c r="AH224" s="1">
        <v>2</v>
      </c>
      <c r="AI224" s="1" t="s">
        <v>160</v>
      </c>
      <c r="AJ224" s="1" t="s">
        <v>164</v>
      </c>
      <c r="AK224" s="1" t="s">
        <v>198</v>
      </c>
      <c r="AL224" s="1" t="s">
        <v>163</v>
      </c>
      <c r="AM224" s="1" t="s">
        <v>192</v>
      </c>
      <c r="AN224" s="1" t="s">
        <v>163</v>
      </c>
      <c r="AO224" s="1" t="s">
        <v>179</v>
      </c>
      <c r="AP224" s="1" t="s">
        <v>179</v>
      </c>
      <c r="AQ224" s="1">
        <v>1987</v>
      </c>
      <c r="AR224" s="1" t="s">
        <v>160</v>
      </c>
      <c r="AS224" s="1" t="s">
        <v>159</v>
      </c>
      <c r="AT224" s="1" t="s">
        <v>180</v>
      </c>
      <c r="AU224" s="1" t="s">
        <v>159</v>
      </c>
      <c r="AV224" s="1" t="s">
        <v>159</v>
      </c>
      <c r="AW224" s="1" t="s">
        <v>159</v>
      </c>
      <c r="AX224" s="1" t="s">
        <v>159</v>
      </c>
      <c r="AY224" s="1" t="s">
        <v>159</v>
      </c>
      <c r="AZ224" s="1" t="s">
        <v>159</v>
      </c>
      <c r="BA224" s="1" t="s">
        <v>159</v>
      </c>
      <c r="BB224" s="1" t="s">
        <v>241</v>
      </c>
      <c r="BC224" s="1" t="s">
        <v>160</v>
      </c>
      <c r="BE224" s="1" t="s">
        <v>1105</v>
      </c>
      <c r="BF224" s="1" t="s">
        <v>159</v>
      </c>
    </row>
    <row r="225" spans="1:59" ht="13" x14ac:dyDescent="0.15">
      <c r="A225" s="2">
        <v>44175.661111111112</v>
      </c>
      <c r="B225" s="2">
        <v>44175.662499999999</v>
      </c>
      <c r="C225" s="1" t="s">
        <v>39</v>
      </c>
      <c r="D225" s="1" t="s">
        <v>1106</v>
      </c>
      <c r="E225" s="1">
        <v>100</v>
      </c>
      <c r="F225" s="1">
        <v>113</v>
      </c>
      <c r="G225" s="1" t="b">
        <v>1</v>
      </c>
      <c r="H225" s="2">
        <v>44175.662499999999</v>
      </c>
      <c r="I225" s="1" t="s">
        <v>1107</v>
      </c>
      <c r="N225" s="1">
        <v>47.210906979999997</v>
      </c>
      <c r="O225" s="1">
        <v>-122.41470339999999</v>
      </c>
      <c r="P225" s="1" t="s">
        <v>153</v>
      </c>
      <c r="Q225" s="1" t="s">
        <v>154</v>
      </c>
      <c r="R225" s="1" t="s">
        <v>155</v>
      </c>
      <c r="S225" s="1" t="s">
        <v>175</v>
      </c>
      <c r="T225" s="1" t="s">
        <v>263</v>
      </c>
      <c r="U225" s="1" t="s">
        <v>415</v>
      </c>
      <c r="V225" s="1" t="s">
        <v>159</v>
      </c>
      <c r="W225" s="1" t="s">
        <v>160</v>
      </c>
      <c r="X225" s="1" t="s">
        <v>160</v>
      </c>
      <c r="Y225" s="1" t="s">
        <v>159</v>
      </c>
      <c r="Z225" s="1" t="s">
        <v>160</v>
      </c>
      <c r="AA225" s="1" t="s">
        <v>159</v>
      </c>
      <c r="AB225" s="1" t="s">
        <v>160</v>
      </c>
      <c r="AC225" s="1" t="s">
        <v>160</v>
      </c>
      <c r="AD225" s="1" t="s">
        <v>159</v>
      </c>
      <c r="AE225" s="1" t="s">
        <v>160</v>
      </c>
      <c r="AF225" s="1" t="s">
        <v>159</v>
      </c>
      <c r="AG225" s="1" t="s">
        <v>160</v>
      </c>
      <c r="AH225" s="1">
        <v>5</v>
      </c>
      <c r="AI225" s="1" t="s">
        <v>160</v>
      </c>
      <c r="AJ225" s="1" t="s">
        <v>163</v>
      </c>
      <c r="AK225" s="1" t="s">
        <v>192</v>
      </c>
      <c r="AL225" s="1" t="s">
        <v>162</v>
      </c>
      <c r="AM225" s="1" t="s">
        <v>164</v>
      </c>
      <c r="AN225" s="1" t="s">
        <v>163</v>
      </c>
      <c r="AO225" s="1" t="s">
        <v>165</v>
      </c>
      <c r="AP225" s="1" t="s">
        <v>165</v>
      </c>
      <c r="AQ225" s="1">
        <v>1997</v>
      </c>
      <c r="AR225" s="1" t="s">
        <v>160</v>
      </c>
      <c r="AS225" s="1" t="s">
        <v>159</v>
      </c>
      <c r="AT225" s="1" t="s">
        <v>180</v>
      </c>
      <c r="AU225" s="1" t="s">
        <v>159</v>
      </c>
      <c r="AV225" s="1" t="s">
        <v>159</v>
      </c>
      <c r="AW225" s="1" t="s">
        <v>159</v>
      </c>
      <c r="AX225" s="1" t="s">
        <v>159</v>
      </c>
      <c r="AY225" s="1" t="s">
        <v>159</v>
      </c>
      <c r="AZ225" s="1" t="s">
        <v>159</v>
      </c>
      <c r="BA225" s="1" t="s">
        <v>159</v>
      </c>
      <c r="BB225" s="1" t="s">
        <v>181</v>
      </c>
      <c r="BC225" s="1" t="s">
        <v>159</v>
      </c>
      <c r="BE225" s="1" t="s">
        <v>1108</v>
      </c>
      <c r="BF225" s="1" t="s">
        <v>159</v>
      </c>
    </row>
    <row r="226" spans="1:59" ht="13" x14ac:dyDescent="0.15">
      <c r="A226" s="2">
        <v>44175.661111111112</v>
      </c>
      <c r="B226" s="2">
        <v>44175.662499999999</v>
      </c>
      <c r="C226" s="1" t="s">
        <v>39</v>
      </c>
      <c r="D226" s="1" t="s">
        <v>234</v>
      </c>
      <c r="E226" s="1">
        <v>100</v>
      </c>
      <c r="F226" s="1">
        <v>117</v>
      </c>
      <c r="G226" s="1" t="b">
        <v>1</v>
      </c>
      <c r="H226" s="2">
        <v>44175.662499999999</v>
      </c>
      <c r="I226" s="1" t="s">
        <v>1109</v>
      </c>
      <c r="N226" s="1">
        <v>34.048492430000003</v>
      </c>
      <c r="O226" s="1">
        <v>-118.2528992</v>
      </c>
      <c r="P226" s="1" t="s">
        <v>153</v>
      </c>
      <c r="Q226" s="1" t="s">
        <v>154</v>
      </c>
      <c r="R226" s="1" t="s">
        <v>174</v>
      </c>
      <c r="S226" s="1" t="s">
        <v>274</v>
      </c>
      <c r="T226" s="1" t="s">
        <v>263</v>
      </c>
      <c r="U226" s="1" t="s">
        <v>1110</v>
      </c>
      <c r="V226" s="1" t="s">
        <v>160</v>
      </c>
      <c r="W226" s="1" t="s">
        <v>160</v>
      </c>
      <c r="X226" s="1" t="s">
        <v>160</v>
      </c>
      <c r="Y226" s="1" t="s">
        <v>160</v>
      </c>
      <c r="Z226" s="1" t="s">
        <v>160</v>
      </c>
      <c r="AA226" s="1" t="s">
        <v>160</v>
      </c>
      <c r="AB226" s="1" t="s">
        <v>160</v>
      </c>
      <c r="AC226" s="1" t="s">
        <v>160</v>
      </c>
      <c r="AD226" s="1" t="s">
        <v>160</v>
      </c>
      <c r="AE226" s="1" t="s">
        <v>160</v>
      </c>
      <c r="AF226" s="1" t="s">
        <v>160</v>
      </c>
      <c r="AG226" s="1" t="s">
        <v>160</v>
      </c>
      <c r="AI226" s="1" t="s">
        <v>160</v>
      </c>
      <c r="AJ226" s="1" t="s">
        <v>192</v>
      </c>
      <c r="AK226" s="1" t="s">
        <v>164</v>
      </c>
      <c r="AL226" s="1" t="s">
        <v>198</v>
      </c>
      <c r="AM226" s="1" t="s">
        <v>163</v>
      </c>
      <c r="AN226" s="1" t="s">
        <v>198</v>
      </c>
      <c r="AO226" s="1" t="s">
        <v>179</v>
      </c>
      <c r="AP226" s="1" t="s">
        <v>165</v>
      </c>
      <c r="AR226" s="1" t="s">
        <v>160</v>
      </c>
      <c r="AS226" s="1" t="s">
        <v>160</v>
      </c>
      <c r="AT226" s="1" t="s">
        <v>1111</v>
      </c>
      <c r="AU226" s="1" t="s">
        <v>159</v>
      </c>
      <c r="AV226" s="1" t="s">
        <v>160</v>
      </c>
      <c r="AW226" s="1" t="s">
        <v>159</v>
      </c>
      <c r="AX226" s="1" t="s">
        <v>160</v>
      </c>
      <c r="AY226" s="1" t="s">
        <v>159</v>
      </c>
      <c r="AZ226" s="1" t="s">
        <v>159</v>
      </c>
      <c r="BA226" s="1" t="s">
        <v>160</v>
      </c>
      <c r="BB226" s="1" t="s">
        <v>222</v>
      </c>
      <c r="BC226" s="1" t="s">
        <v>160</v>
      </c>
      <c r="BD226" s="1" t="s">
        <v>1112</v>
      </c>
      <c r="BE226" s="1" t="s">
        <v>1113</v>
      </c>
      <c r="BF226" s="1" t="s">
        <v>160</v>
      </c>
    </row>
    <row r="227" spans="1:59" ht="13" x14ac:dyDescent="0.15">
      <c r="A227" s="2">
        <v>44175.661111111112</v>
      </c>
      <c r="B227" s="2">
        <v>44175.663194444445</v>
      </c>
      <c r="C227" s="1" t="s">
        <v>39</v>
      </c>
      <c r="D227" s="1" t="s">
        <v>1114</v>
      </c>
      <c r="E227" s="1">
        <v>100</v>
      </c>
      <c r="F227" s="1">
        <v>151</v>
      </c>
      <c r="G227" s="1" t="b">
        <v>1</v>
      </c>
      <c r="H227" s="2">
        <v>44175.663194444445</v>
      </c>
      <c r="I227" s="1" t="s">
        <v>1115</v>
      </c>
      <c r="N227" s="1">
        <v>41.769699099999997</v>
      </c>
      <c r="O227" s="1">
        <v>-87.698501590000006</v>
      </c>
      <c r="P227" s="1" t="s">
        <v>153</v>
      </c>
      <c r="Q227" s="1" t="s">
        <v>154</v>
      </c>
      <c r="R227" s="1" t="s">
        <v>174</v>
      </c>
      <c r="S227" s="1" t="s">
        <v>175</v>
      </c>
      <c r="T227" s="1" t="s">
        <v>237</v>
      </c>
      <c r="U227" s="1" t="s">
        <v>861</v>
      </c>
      <c r="V227" s="1" t="s">
        <v>160</v>
      </c>
      <c r="W227" s="1" t="s">
        <v>160</v>
      </c>
      <c r="X227" s="1" t="s">
        <v>160</v>
      </c>
      <c r="Y227" s="1" t="s">
        <v>160</v>
      </c>
      <c r="Z227" s="1" t="s">
        <v>160</v>
      </c>
      <c r="AA227" s="1" t="s">
        <v>159</v>
      </c>
      <c r="AB227" s="1" t="s">
        <v>160</v>
      </c>
      <c r="AC227" s="1" t="s">
        <v>160</v>
      </c>
      <c r="AD227" s="1" t="s">
        <v>160</v>
      </c>
      <c r="AE227" s="1" t="s">
        <v>160</v>
      </c>
      <c r="AF227" s="1" t="s">
        <v>160</v>
      </c>
      <c r="AG227" s="1" t="s">
        <v>160</v>
      </c>
      <c r="AH227" s="1">
        <v>5</v>
      </c>
      <c r="AI227" s="1" t="s">
        <v>160</v>
      </c>
      <c r="AJ227" s="1" t="s">
        <v>198</v>
      </c>
      <c r="AK227" s="1" t="s">
        <v>198</v>
      </c>
      <c r="AL227" s="1" t="s">
        <v>192</v>
      </c>
      <c r="AM227" s="1" t="s">
        <v>164</v>
      </c>
      <c r="AN227" s="1" t="s">
        <v>164</v>
      </c>
      <c r="AO227" s="1" t="s">
        <v>179</v>
      </c>
      <c r="AP227" s="1" t="s">
        <v>179</v>
      </c>
      <c r="AQ227" s="1">
        <v>1996</v>
      </c>
      <c r="AR227" s="1" t="s">
        <v>160</v>
      </c>
      <c r="AS227" s="1" t="s">
        <v>159</v>
      </c>
      <c r="AT227" s="1" t="s">
        <v>872</v>
      </c>
      <c r="AU227" s="1" t="s">
        <v>159</v>
      </c>
      <c r="AV227" s="1" t="s">
        <v>159</v>
      </c>
      <c r="AW227" s="1" t="s">
        <v>159</v>
      </c>
      <c r="AX227" s="1" t="s">
        <v>159</v>
      </c>
      <c r="AY227" s="1" t="s">
        <v>159</v>
      </c>
      <c r="AZ227" s="1" t="s">
        <v>159</v>
      </c>
      <c r="BA227" s="1" t="s">
        <v>159</v>
      </c>
      <c r="BB227" s="1" t="s">
        <v>167</v>
      </c>
      <c r="BC227" s="1" t="s">
        <v>159</v>
      </c>
      <c r="BE227" s="1" t="s">
        <v>1116</v>
      </c>
      <c r="BF227" s="1" t="s">
        <v>160</v>
      </c>
      <c r="BG227" s="1" t="s">
        <v>1116</v>
      </c>
    </row>
    <row r="228" spans="1:59" ht="13" x14ac:dyDescent="0.15">
      <c r="A228" s="2">
        <v>44175.661805555559</v>
      </c>
      <c r="B228" s="2">
        <v>44175.663194444445</v>
      </c>
      <c r="C228" s="1" t="s">
        <v>39</v>
      </c>
      <c r="D228" s="1" t="s">
        <v>1117</v>
      </c>
      <c r="E228" s="1">
        <v>100</v>
      </c>
      <c r="F228" s="1">
        <v>93</v>
      </c>
      <c r="G228" s="1" t="b">
        <v>1</v>
      </c>
      <c r="H228" s="2">
        <v>44175.663194444445</v>
      </c>
      <c r="I228" s="1" t="s">
        <v>1118</v>
      </c>
      <c r="N228" s="1">
        <v>45.637802120000003</v>
      </c>
      <c r="O228" s="1">
        <v>-122.52389530000001</v>
      </c>
      <c r="P228" s="1" t="s">
        <v>153</v>
      </c>
      <c r="Q228" s="1" t="s">
        <v>154</v>
      </c>
      <c r="R228" s="1" t="s">
        <v>174</v>
      </c>
      <c r="S228" s="1" t="s">
        <v>274</v>
      </c>
      <c r="T228" s="1" t="s">
        <v>176</v>
      </c>
      <c r="U228" s="1" t="s">
        <v>418</v>
      </c>
      <c r="V228" s="1" t="s">
        <v>160</v>
      </c>
      <c r="W228" s="1" t="s">
        <v>160</v>
      </c>
      <c r="X228" s="1" t="s">
        <v>160</v>
      </c>
      <c r="Y228" s="1" t="s">
        <v>160</v>
      </c>
      <c r="Z228" s="1" t="s">
        <v>160</v>
      </c>
      <c r="AA228" s="1" t="s">
        <v>160</v>
      </c>
      <c r="AB228" s="1" t="s">
        <v>160</v>
      </c>
      <c r="AC228" s="1" t="s">
        <v>160</v>
      </c>
      <c r="AD228" s="1" t="s">
        <v>160</v>
      </c>
      <c r="AE228" s="1" t="s">
        <v>160</v>
      </c>
      <c r="AF228" s="1" t="s">
        <v>160</v>
      </c>
      <c r="AG228" s="1" t="s">
        <v>160</v>
      </c>
      <c r="AH228" s="1">
        <v>3</v>
      </c>
      <c r="AI228" s="1" t="s">
        <v>160</v>
      </c>
      <c r="AJ228" s="1" t="s">
        <v>192</v>
      </c>
      <c r="AK228" s="1" t="s">
        <v>163</v>
      </c>
      <c r="AL228" s="1" t="s">
        <v>163</v>
      </c>
      <c r="AM228" s="1" t="s">
        <v>162</v>
      </c>
      <c r="AN228" s="1" t="s">
        <v>163</v>
      </c>
      <c r="AO228" s="1" t="s">
        <v>165</v>
      </c>
      <c r="AP228" s="1" t="s">
        <v>165</v>
      </c>
      <c r="AQ228" s="1">
        <v>1997</v>
      </c>
      <c r="AR228" s="1" t="s">
        <v>160</v>
      </c>
      <c r="AS228" s="1" t="s">
        <v>160</v>
      </c>
      <c r="AT228" s="1" t="s">
        <v>180</v>
      </c>
      <c r="AU228" s="1" t="s">
        <v>159</v>
      </c>
      <c r="AV228" s="1" t="s">
        <v>159</v>
      </c>
      <c r="AW228" s="1" t="s">
        <v>159</v>
      </c>
      <c r="AX228" s="1" t="s">
        <v>159</v>
      </c>
      <c r="AY228" s="1" t="s">
        <v>159</v>
      </c>
      <c r="AZ228" s="1" t="s">
        <v>160</v>
      </c>
      <c r="BA228" s="1" t="s">
        <v>159</v>
      </c>
      <c r="BB228" s="1" t="s">
        <v>241</v>
      </c>
      <c r="BC228" s="1" t="s">
        <v>160</v>
      </c>
      <c r="BE228" s="1" t="s">
        <v>1119</v>
      </c>
      <c r="BF228" s="1" t="s">
        <v>159</v>
      </c>
    </row>
    <row r="229" spans="1:59" ht="13" x14ac:dyDescent="0.15">
      <c r="A229" s="2">
        <v>44175.661111111112</v>
      </c>
      <c r="B229" s="2">
        <v>44175.663194444445</v>
      </c>
      <c r="C229" s="1" t="s">
        <v>39</v>
      </c>
      <c r="D229" s="1" t="s">
        <v>1120</v>
      </c>
      <c r="E229" s="1">
        <v>100</v>
      </c>
      <c r="F229" s="1">
        <v>187</v>
      </c>
      <c r="G229" s="1" t="b">
        <v>1</v>
      </c>
      <c r="H229" s="2">
        <v>44175.663194444445</v>
      </c>
      <c r="I229" s="1" t="s">
        <v>1121</v>
      </c>
      <c r="N229" s="1">
        <v>42.540298460000002</v>
      </c>
      <c r="O229" s="1">
        <v>-83.378997799999993</v>
      </c>
      <c r="P229" s="1" t="s">
        <v>153</v>
      </c>
      <c r="Q229" s="1" t="s">
        <v>154</v>
      </c>
      <c r="R229" s="1" t="s">
        <v>174</v>
      </c>
      <c r="S229" s="1" t="s">
        <v>274</v>
      </c>
      <c r="T229" s="1" t="s">
        <v>263</v>
      </c>
      <c r="U229" s="1" t="s">
        <v>790</v>
      </c>
      <c r="V229" s="1" t="s">
        <v>160</v>
      </c>
      <c r="W229" s="1" t="s">
        <v>160</v>
      </c>
      <c r="X229" s="1" t="s">
        <v>160</v>
      </c>
      <c r="Y229" s="1" t="s">
        <v>160</v>
      </c>
      <c r="Z229" s="1" t="s">
        <v>159</v>
      </c>
      <c r="AA229" s="1" t="s">
        <v>159</v>
      </c>
      <c r="AB229" s="1" t="s">
        <v>159</v>
      </c>
      <c r="AC229" s="1" t="s">
        <v>160</v>
      </c>
      <c r="AD229" s="1" t="s">
        <v>160</v>
      </c>
      <c r="AE229" s="1" t="s">
        <v>160</v>
      </c>
      <c r="AF229" s="1" t="s">
        <v>160</v>
      </c>
      <c r="AG229" s="1" t="s">
        <v>160</v>
      </c>
      <c r="AH229" s="1">
        <v>3</v>
      </c>
      <c r="AI229" s="1" t="s">
        <v>160</v>
      </c>
      <c r="AJ229" s="1" t="s">
        <v>163</v>
      </c>
      <c r="AK229" s="1" t="s">
        <v>192</v>
      </c>
      <c r="AL229" s="1" t="s">
        <v>162</v>
      </c>
      <c r="AM229" s="1" t="s">
        <v>163</v>
      </c>
      <c r="AN229" s="1" t="s">
        <v>192</v>
      </c>
      <c r="AO229" s="1" t="s">
        <v>179</v>
      </c>
      <c r="AP229" s="1" t="s">
        <v>179</v>
      </c>
      <c r="AQ229" s="3">
        <v>36238</v>
      </c>
      <c r="AR229" s="1" t="s">
        <v>160</v>
      </c>
      <c r="AS229" s="1" t="s">
        <v>159</v>
      </c>
      <c r="AT229" s="1" t="s">
        <v>180</v>
      </c>
      <c r="AU229" s="1" t="s">
        <v>159</v>
      </c>
      <c r="AV229" s="1" t="s">
        <v>159</v>
      </c>
      <c r="AW229" s="1" t="s">
        <v>159</v>
      </c>
      <c r="AX229" s="1" t="s">
        <v>160</v>
      </c>
      <c r="AY229" s="1" t="s">
        <v>159</v>
      </c>
      <c r="AZ229" s="1" t="s">
        <v>160</v>
      </c>
      <c r="BA229" s="1" t="s">
        <v>159</v>
      </c>
      <c r="BB229" s="1" t="s">
        <v>167</v>
      </c>
      <c r="BC229" s="1" t="s">
        <v>159</v>
      </c>
      <c r="BE229" s="1" t="s">
        <v>1122</v>
      </c>
      <c r="BF229" s="1" t="s">
        <v>159</v>
      </c>
    </row>
    <row r="230" spans="1:59" ht="13" x14ac:dyDescent="0.15">
      <c r="A230" s="2">
        <v>44175.661111111112</v>
      </c>
      <c r="B230" s="2">
        <v>44175.663194444445</v>
      </c>
      <c r="C230" s="1" t="s">
        <v>39</v>
      </c>
      <c r="D230" s="1" t="s">
        <v>1123</v>
      </c>
      <c r="E230" s="1">
        <v>100</v>
      </c>
      <c r="F230" s="1">
        <v>179</v>
      </c>
      <c r="G230" s="1" t="b">
        <v>1</v>
      </c>
      <c r="H230" s="2">
        <v>44175.663194444445</v>
      </c>
      <c r="I230" s="1" t="s">
        <v>1124</v>
      </c>
      <c r="N230" s="1">
        <v>39.484405520000003</v>
      </c>
      <c r="O230" s="1">
        <v>-106.01920320000001</v>
      </c>
      <c r="P230" s="1" t="s">
        <v>153</v>
      </c>
      <c r="Q230" s="1" t="s">
        <v>154</v>
      </c>
      <c r="R230" s="1" t="s">
        <v>155</v>
      </c>
      <c r="S230" s="1" t="s">
        <v>274</v>
      </c>
      <c r="T230" s="1" t="s">
        <v>237</v>
      </c>
      <c r="U230" s="1" t="s">
        <v>1125</v>
      </c>
      <c r="V230" s="1" t="s">
        <v>160</v>
      </c>
      <c r="W230" s="1" t="s">
        <v>159</v>
      </c>
      <c r="X230" s="1" t="s">
        <v>160</v>
      </c>
      <c r="Y230" s="1" t="s">
        <v>160</v>
      </c>
      <c r="Z230" s="1" t="s">
        <v>159</v>
      </c>
      <c r="AA230" s="1" t="s">
        <v>160</v>
      </c>
      <c r="AB230" s="1" t="s">
        <v>159</v>
      </c>
      <c r="AC230" s="1" t="s">
        <v>160</v>
      </c>
      <c r="AD230" s="1" t="s">
        <v>159</v>
      </c>
      <c r="AE230" s="1" t="s">
        <v>160</v>
      </c>
      <c r="AF230" s="1" t="s">
        <v>159</v>
      </c>
      <c r="AG230" s="1" t="s">
        <v>160</v>
      </c>
      <c r="AI230" s="1" t="s">
        <v>160</v>
      </c>
      <c r="AJ230" s="1" t="s">
        <v>163</v>
      </c>
      <c r="AK230" s="1" t="s">
        <v>162</v>
      </c>
      <c r="AL230" s="1" t="s">
        <v>163</v>
      </c>
      <c r="AM230" s="1" t="s">
        <v>162</v>
      </c>
      <c r="AN230" s="1" t="s">
        <v>163</v>
      </c>
      <c r="AO230" s="1" t="s">
        <v>165</v>
      </c>
      <c r="AP230" s="1" t="s">
        <v>165</v>
      </c>
      <c r="AR230" s="1" t="s">
        <v>159</v>
      </c>
      <c r="AS230" s="1" t="s">
        <v>159</v>
      </c>
      <c r="AT230" s="1" t="s">
        <v>322</v>
      </c>
      <c r="AU230" s="1" t="s">
        <v>159</v>
      </c>
      <c r="AV230" s="1" t="s">
        <v>160</v>
      </c>
      <c r="AW230" s="1" t="s">
        <v>159</v>
      </c>
      <c r="AX230" s="1" t="s">
        <v>160</v>
      </c>
      <c r="AY230" s="1" t="s">
        <v>159</v>
      </c>
      <c r="AZ230" s="1" t="s">
        <v>160</v>
      </c>
      <c r="BA230" s="1" t="s">
        <v>159</v>
      </c>
      <c r="BB230" s="1" t="s">
        <v>167</v>
      </c>
      <c r="BC230" s="1" t="s">
        <v>159</v>
      </c>
      <c r="BE230" s="1" t="s">
        <v>1126</v>
      </c>
      <c r="BF230" s="1" t="s">
        <v>160</v>
      </c>
      <c r="BG230" s="1" t="s">
        <v>1126</v>
      </c>
    </row>
    <row r="231" spans="1:59" ht="13" x14ac:dyDescent="0.15">
      <c r="A231" s="2">
        <v>44175.661111111112</v>
      </c>
      <c r="B231" s="2">
        <v>44175.664583333331</v>
      </c>
      <c r="C231" s="1" t="s">
        <v>39</v>
      </c>
      <c r="D231" s="1" t="s">
        <v>1127</v>
      </c>
      <c r="E231" s="1">
        <v>100</v>
      </c>
      <c r="F231" s="1">
        <v>256</v>
      </c>
      <c r="G231" s="1" t="b">
        <v>1</v>
      </c>
      <c r="H231" s="2">
        <v>44175.664583333331</v>
      </c>
      <c r="I231" s="1" t="s">
        <v>1128</v>
      </c>
      <c r="N231" s="1">
        <v>41.848602290000002</v>
      </c>
      <c r="O231" s="1">
        <v>-87.628799439999995</v>
      </c>
      <c r="P231" s="1" t="s">
        <v>153</v>
      </c>
      <c r="Q231" s="1" t="s">
        <v>154</v>
      </c>
      <c r="R231" s="1" t="s">
        <v>174</v>
      </c>
      <c r="S231" s="1" t="s">
        <v>208</v>
      </c>
      <c r="T231" s="1" t="s">
        <v>237</v>
      </c>
      <c r="U231" s="1" t="s">
        <v>861</v>
      </c>
      <c r="V231" s="1" t="s">
        <v>160</v>
      </c>
      <c r="W231" s="1" t="s">
        <v>160</v>
      </c>
      <c r="X231" s="1" t="s">
        <v>160</v>
      </c>
      <c r="Y231" s="1" t="s">
        <v>160</v>
      </c>
      <c r="Z231" s="1" t="s">
        <v>160</v>
      </c>
      <c r="AA231" s="1" t="s">
        <v>159</v>
      </c>
      <c r="AB231" s="1" t="s">
        <v>160</v>
      </c>
      <c r="AC231" s="1" t="s">
        <v>160</v>
      </c>
      <c r="AD231" s="1" t="s">
        <v>160</v>
      </c>
      <c r="AE231" s="1" t="s">
        <v>160</v>
      </c>
      <c r="AF231" s="1" t="s">
        <v>160</v>
      </c>
      <c r="AG231" s="1" t="s">
        <v>160</v>
      </c>
      <c r="AH231" s="1">
        <v>4</v>
      </c>
      <c r="AI231" s="1" t="s">
        <v>160</v>
      </c>
      <c r="AJ231" s="1" t="s">
        <v>198</v>
      </c>
      <c r="AK231" s="1" t="s">
        <v>198</v>
      </c>
      <c r="AL231" s="1" t="s">
        <v>164</v>
      </c>
      <c r="AM231" s="1" t="s">
        <v>164</v>
      </c>
      <c r="AN231" s="1" t="s">
        <v>164</v>
      </c>
      <c r="AO231" s="1" t="s">
        <v>179</v>
      </c>
      <c r="AP231" s="1" t="s">
        <v>179</v>
      </c>
      <c r="AQ231" s="1">
        <v>1997</v>
      </c>
      <c r="AR231" s="1" t="s">
        <v>160</v>
      </c>
      <c r="AS231" s="1" t="s">
        <v>159</v>
      </c>
      <c r="AT231" s="1" t="s">
        <v>322</v>
      </c>
      <c r="AU231" s="1" t="s">
        <v>159</v>
      </c>
      <c r="AV231" s="1" t="s">
        <v>159</v>
      </c>
      <c r="AW231" s="1" t="s">
        <v>159</v>
      </c>
      <c r="AX231" s="1" t="s">
        <v>159</v>
      </c>
      <c r="AY231" s="1" t="s">
        <v>159</v>
      </c>
      <c r="AZ231" s="1" t="s">
        <v>159</v>
      </c>
      <c r="BA231" s="1" t="s">
        <v>159</v>
      </c>
      <c r="BB231" s="1" t="s">
        <v>167</v>
      </c>
      <c r="BC231" s="1" t="s">
        <v>159</v>
      </c>
      <c r="BE231" s="1" t="s">
        <v>1129</v>
      </c>
      <c r="BF231" s="1" t="s">
        <v>160</v>
      </c>
      <c r="BG231" s="1" t="s">
        <v>1129</v>
      </c>
    </row>
    <row r="232" spans="1:59" ht="13" x14ac:dyDescent="0.15">
      <c r="A232" s="2">
        <v>44175.663194444445</v>
      </c>
      <c r="B232" s="2">
        <v>44175.664583333331</v>
      </c>
      <c r="C232" s="1" t="s">
        <v>39</v>
      </c>
      <c r="D232" s="1" t="s">
        <v>1130</v>
      </c>
      <c r="E232" s="1">
        <v>100</v>
      </c>
      <c r="F232" s="1">
        <v>86</v>
      </c>
      <c r="G232" s="1" t="b">
        <v>1</v>
      </c>
      <c r="H232" s="2">
        <v>44175.664583333331</v>
      </c>
      <c r="I232" s="1" t="s">
        <v>1131</v>
      </c>
      <c r="N232" s="1">
        <v>26.344100950000001</v>
      </c>
      <c r="O232" s="1">
        <v>-80.083999629999994</v>
      </c>
      <c r="P232" s="1" t="s">
        <v>153</v>
      </c>
      <c r="Q232" s="1" t="s">
        <v>154</v>
      </c>
      <c r="R232" s="1" t="s">
        <v>174</v>
      </c>
      <c r="S232" s="1" t="s">
        <v>274</v>
      </c>
      <c r="T232" s="1" t="s">
        <v>176</v>
      </c>
      <c r="U232" s="1" t="s">
        <v>716</v>
      </c>
      <c r="V232" s="1" t="s">
        <v>160</v>
      </c>
      <c r="W232" s="1" t="s">
        <v>160</v>
      </c>
      <c r="X232" s="1" t="s">
        <v>160</v>
      </c>
      <c r="Y232" s="1" t="s">
        <v>160</v>
      </c>
      <c r="Z232" s="1" t="s">
        <v>160</v>
      </c>
      <c r="AA232" s="1" t="s">
        <v>160</v>
      </c>
      <c r="AB232" s="1" t="s">
        <v>160</v>
      </c>
      <c r="AC232" s="1" t="s">
        <v>160</v>
      </c>
      <c r="AD232" s="1" t="s">
        <v>160</v>
      </c>
      <c r="AE232" s="1" t="s">
        <v>160</v>
      </c>
      <c r="AF232" s="1" t="s">
        <v>160</v>
      </c>
      <c r="AG232" s="1" t="s">
        <v>160</v>
      </c>
      <c r="AH232" s="1">
        <v>3</v>
      </c>
      <c r="AI232" s="1" t="s">
        <v>160</v>
      </c>
      <c r="AJ232" s="1" t="s">
        <v>163</v>
      </c>
      <c r="AK232" s="1" t="s">
        <v>162</v>
      </c>
      <c r="AL232" s="1" t="s">
        <v>163</v>
      </c>
      <c r="AM232" s="1" t="s">
        <v>163</v>
      </c>
      <c r="AN232" s="1" t="s">
        <v>162</v>
      </c>
      <c r="AO232" s="1" t="s">
        <v>165</v>
      </c>
      <c r="AP232" s="1" t="s">
        <v>165</v>
      </c>
      <c r="AQ232" s="1">
        <v>1997</v>
      </c>
      <c r="AR232" s="1" t="s">
        <v>160</v>
      </c>
      <c r="AS232" s="1" t="s">
        <v>160</v>
      </c>
      <c r="AT232" s="1" t="s">
        <v>180</v>
      </c>
      <c r="AU232" s="1" t="s">
        <v>159</v>
      </c>
      <c r="AV232" s="1" t="s">
        <v>159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159</v>
      </c>
      <c r="BB232" s="1" t="s">
        <v>167</v>
      </c>
      <c r="BC232" s="1" t="s">
        <v>160</v>
      </c>
      <c r="BE232" s="1" t="s">
        <v>1132</v>
      </c>
      <c r="BF232" s="1" t="s">
        <v>159</v>
      </c>
    </row>
    <row r="233" spans="1:59" ht="13" x14ac:dyDescent="0.15">
      <c r="A233" s="2">
        <v>44175.663194444445</v>
      </c>
      <c r="B233" s="2">
        <v>44175.664583333331</v>
      </c>
      <c r="C233" s="1" t="s">
        <v>39</v>
      </c>
      <c r="D233" s="1" t="s">
        <v>234</v>
      </c>
      <c r="E233" s="1">
        <v>100</v>
      </c>
      <c r="F233" s="1">
        <v>116</v>
      </c>
      <c r="G233" s="1" t="b">
        <v>1</v>
      </c>
      <c r="H233" s="2">
        <v>44175.664583333331</v>
      </c>
      <c r="I233" s="1" t="s">
        <v>1133</v>
      </c>
      <c r="N233" s="1">
        <v>34.048492430000003</v>
      </c>
      <c r="O233" s="1">
        <v>-118.2528992</v>
      </c>
      <c r="P233" s="1" t="s">
        <v>153</v>
      </c>
      <c r="Q233" s="1" t="s">
        <v>154</v>
      </c>
      <c r="R233" s="1" t="s">
        <v>174</v>
      </c>
      <c r="S233" s="1" t="s">
        <v>274</v>
      </c>
      <c r="T233" s="1" t="s">
        <v>245</v>
      </c>
      <c r="U233" s="1" t="s">
        <v>730</v>
      </c>
      <c r="V233" s="1" t="s">
        <v>160</v>
      </c>
      <c r="W233" s="1" t="s">
        <v>160</v>
      </c>
      <c r="X233" s="1" t="s">
        <v>160</v>
      </c>
      <c r="Y233" s="1" t="s">
        <v>160</v>
      </c>
      <c r="Z233" s="1" t="s">
        <v>160</v>
      </c>
      <c r="AA233" s="1" t="s">
        <v>160</v>
      </c>
      <c r="AB233" s="1" t="s">
        <v>160</v>
      </c>
      <c r="AC233" s="1" t="s">
        <v>160</v>
      </c>
      <c r="AD233" s="1" t="s">
        <v>160</v>
      </c>
      <c r="AE233" s="1" t="s">
        <v>160</v>
      </c>
      <c r="AF233" s="1" t="s">
        <v>160</v>
      </c>
      <c r="AG233" s="1" t="s">
        <v>160</v>
      </c>
      <c r="AI233" s="1" t="s">
        <v>160</v>
      </c>
      <c r="AJ233" s="1" t="s">
        <v>198</v>
      </c>
      <c r="AK233" s="1" t="s">
        <v>198</v>
      </c>
      <c r="AL233" s="1" t="s">
        <v>164</v>
      </c>
      <c r="AM233" s="1" t="s">
        <v>163</v>
      </c>
      <c r="AN233" s="1" t="s">
        <v>192</v>
      </c>
      <c r="AO233" s="1" t="s">
        <v>179</v>
      </c>
      <c r="AP233" s="1" t="s">
        <v>239</v>
      </c>
      <c r="AR233" s="1" t="s">
        <v>160</v>
      </c>
      <c r="AS233" s="1" t="s">
        <v>160</v>
      </c>
      <c r="AT233" s="1" t="s">
        <v>1134</v>
      </c>
      <c r="AU233" s="1" t="s">
        <v>159</v>
      </c>
      <c r="AV233" s="1" t="s">
        <v>160</v>
      </c>
      <c r="AW233" s="1" t="s">
        <v>159</v>
      </c>
      <c r="AX233" s="1" t="s">
        <v>159</v>
      </c>
      <c r="AY233" s="1" t="s">
        <v>160</v>
      </c>
      <c r="AZ233" s="1" t="s">
        <v>160</v>
      </c>
      <c r="BA233" s="1" t="s">
        <v>159</v>
      </c>
      <c r="BB233" s="1" t="s">
        <v>222</v>
      </c>
      <c r="BC233" s="1" t="s">
        <v>160</v>
      </c>
      <c r="BD233" s="1" t="s">
        <v>1135</v>
      </c>
      <c r="BE233" s="1" t="s">
        <v>1136</v>
      </c>
      <c r="BF233" s="1" t="s">
        <v>160</v>
      </c>
    </row>
    <row r="234" spans="1:59" ht="13" x14ac:dyDescent="0.15">
      <c r="A234" s="2">
        <v>44175.663194444445</v>
      </c>
      <c r="B234" s="2">
        <v>44175.665277777778</v>
      </c>
      <c r="C234" s="1" t="s">
        <v>39</v>
      </c>
      <c r="D234" s="1" t="s">
        <v>1137</v>
      </c>
      <c r="E234" s="1">
        <v>100</v>
      </c>
      <c r="F234" s="1">
        <v>172</v>
      </c>
      <c r="G234" s="1" t="b">
        <v>1</v>
      </c>
      <c r="H234" s="2">
        <v>44175.665277777778</v>
      </c>
      <c r="I234" s="1" t="s">
        <v>1138</v>
      </c>
      <c r="N234" s="1">
        <v>41.769699099999997</v>
      </c>
      <c r="O234" s="1">
        <v>-87.698501590000006</v>
      </c>
      <c r="P234" s="1" t="s">
        <v>153</v>
      </c>
      <c r="Q234" s="1" t="s">
        <v>154</v>
      </c>
      <c r="R234" s="1" t="s">
        <v>174</v>
      </c>
      <c r="S234" s="1" t="s">
        <v>208</v>
      </c>
      <c r="T234" s="1" t="s">
        <v>237</v>
      </c>
      <c r="U234" s="1" t="s">
        <v>1139</v>
      </c>
      <c r="V234" s="1" t="s">
        <v>160</v>
      </c>
      <c r="W234" s="1" t="s">
        <v>160</v>
      </c>
      <c r="X234" s="1" t="s">
        <v>160</v>
      </c>
      <c r="Y234" s="1" t="s">
        <v>160</v>
      </c>
      <c r="Z234" s="1" t="s">
        <v>159</v>
      </c>
      <c r="AA234" s="1" t="s">
        <v>160</v>
      </c>
      <c r="AB234" s="1" t="s">
        <v>160</v>
      </c>
      <c r="AC234" s="1" t="s">
        <v>159</v>
      </c>
      <c r="AD234" s="1" t="s">
        <v>159</v>
      </c>
      <c r="AE234" s="1" t="s">
        <v>159</v>
      </c>
      <c r="AF234" s="1" t="s">
        <v>160</v>
      </c>
      <c r="AG234" s="1" t="s">
        <v>160</v>
      </c>
      <c r="AH234" s="1">
        <v>2</v>
      </c>
      <c r="AI234" s="1" t="s">
        <v>160</v>
      </c>
      <c r="AJ234" s="1" t="s">
        <v>192</v>
      </c>
      <c r="AK234" s="1" t="s">
        <v>164</v>
      </c>
      <c r="AL234" s="1" t="s">
        <v>163</v>
      </c>
      <c r="AM234" s="1" t="s">
        <v>162</v>
      </c>
      <c r="AN234" s="1" t="s">
        <v>164</v>
      </c>
      <c r="AO234" s="1" t="s">
        <v>179</v>
      </c>
      <c r="AP234" s="1" t="s">
        <v>165</v>
      </c>
      <c r="AQ234" s="1">
        <v>1985</v>
      </c>
      <c r="AR234" s="1" t="s">
        <v>160</v>
      </c>
      <c r="AS234" s="1" t="s">
        <v>160</v>
      </c>
      <c r="AT234" s="1" t="s">
        <v>166</v>
      </c>
      <c r="AU234" s="1" t="s">
        <v>159</v>
      </c>
      <c r="AV234" s="1" t="s">
        <v>159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159</v>
      </c>
      <c r="BB234" s="1" t="s">
        <v>241</v>
      </c>
      <c r="BC234" s="1" t="s">
        <v>160</v>
      </c>
      <c r="BE234" s="1" t="s">
        <v>1140</v>
      </c>
      <c r="BF234" s="1" t="s">
        <v>159</v>
      </c>
    </row>
    <row r="235" spans="1:59" ht="13" x14ac:dyDescent="0.15">
      <c r="A235" s="2">
        <v>44175.664583333331</v>
      </c>
      <c r="B235" s="2">
        <v>44175.665277777778</v>
      </c>
      <c r="C235" s="1" t="s">
        <v>39</v>
      </c>
      <c r="D235" s="1" t="s">
        <v>1141</v>
      </c>
      <c r="E235" s="1">
        <v>100</v>
      </c>
      <c r="F235" s="1">
        <v>72</v>
      </c>
      <c r="G235" s="1" t="b">
        <v>1</v>
      </c>
      <c r="H235" s="2">
        <v>44175.665277777778</v>
      </c>
      <c r="I235" s="1" t="s">
        <v>1142</v>
      </c>
      <c r="N235" s="1">
        <v>41.536300660000002</v>
      </c>
      <c r="O235" s="1">
        <v>-73.030601500000003</v>
      </c>
      <c r="P235" s="1" t="s">
        <v>153</v>
      </c>
      <c r="Q235" s="1" t="s">
        <v>154</v>
      </c>
      <c r="R235" s="1" t="s">
        <v>174</v>
      </c>
      <c r="S235" s="1" t="s">
        <v>208</v>
      </c>
      <c r="T235" s="1" t="s">
        <v>176</v>
      </c>
      <c r="U235" s="1" t="s">
        <v>418</v>
      </c>
      <c r="V235" s="1" t="s">
        <v>160</v>
      </c>
      <c r="W235" s="1" t="s">
        <v>160</v>
      </c>
      <c r="X235" s="1" t="s">
        <v>160</v>
      </c>
      <c r="Y235" s="1" t="s">
        <v>160</v>
      </c>
      <c r="Z235" s="1" t="s">
        <v>160</v>
      </c>
      <c r="AA235" s="1" t="s">
        <v>160</v>
      </c>
      <c r="AB235" s="1" t="s">
        <v>160</v>
      </c>
      <c r="AC235" s="1" t="s">
        <v>160</v>
      </c>
      <c r="AD235" s="1" t="s">
        <v>160</v>
      </c>
      <c r="AE235" s="1" t="s">
        <v>160</v>
      </c>
      <c r="AF235" s="1" t="s">
        <v>160</v>
      </c>
      <c r="AG235" s="1" t="s">
        <v>160</v>
      </c>
      <c r="AH235" s="1">
        <v>2</v>
      </c>
      <c r="AI235" s="1" t="s">
        <v>160</v>
      </c>
      <c r="AJ235" s="1" t="s">
        <v>192</v>
      </c>
      <c r="AK235" s="1" t="s">
        <v>163</v>
      </c>
      <c r="AL235" s="1" t="s">
        <v>163</v>
      </c>
      <c r="AM235" s="1" t="s">
        <v>192</v>
      </c>
      <c r="AN235" s="1" t="s">
        <v>163</v>
      </c>
      <c r="AO235" s="1" t="s">
        <v>165</v>
      </c>
      <c r="AP235" s="1" t="s">
        <v>165</v>
      </c>
      <c r="AQ235" s="1">
        <v>1996</v>
      </c>
      <c r="AR235" s="1" t="s">
        <v>160</v>
      </c>
      <c r="AS235" s="1" t="s">
        <v>160</v>
      </c>
      <c r="AT235" s="1" t="s">
        <v>180</v>
      </c>
      <c r="AU235" s="1" t="s">
        <v>159</v>
      </c>
      <c r="AV235" s="1" t="s">
        <v>159</v>
      </c>
      <c r="AW235" s="1" t="s">
        <v>159</v>
      </c>
      <c r="AX235" s="1" t="s">
        <v>159</v>
      </c>
      <c r="AY235" s="1" t="s">
        <v>159</v>
      </c>
      <c r="AZ235" s="1" t="s">
        <v>159</v>
      </c>
      <c r="BA235" s="1" t="s">
        <v>159</v>
      </c>
      <c r="BB235" s="1" t="s">
        <v>241</v>
      </c>
      <c r="BC235" s="1" t="s">
        <v>160</v>
      </c>
      <c r="BE235" s="1" t="s">
        <v>1143</v>
      </c>
      <c r="BF235" s="1" t="s">
        <v>159</v>
      </c>
    </row>
    <row r="236" spans="1:59" ht="13" x14ac:dyDescent="0.15">
      <c r="A236" s="2">
        <v>44175.663888888892</v>
      </c>
      <c r="B236" s="2">
        <v>44175.665277777778</v>
      </c>
      <c r="C236" s="1" t="s">
        <v>39</v>
      </c>
      <c r="D236" s="1" t="s">
        <v>1144</v>
      </c>
      <c r="E236" s="1">
        <v>100</v>
      </c>
      <c r="F236" s="1">
        <v>178</v>
      </c>
      <c r="G236" s="1" t="b">
        <v>1</v>
      </c>
      <c r="H236" s="2">
        <v>44175.665277777778</v>
      </c>
      <c r="I236" s="1" t="s">
        <v>1145</v>
      </c>
      <c r="N236" s="1">
        <v>47.416198729999998</v>
      </c>
      <c r="O236" s="1">
        <v>-120.2718964</v>
      </c>
      <c r="P236" s="1" t="s">
        <v>153</v>
      </c>
      <c r="Q236" s="1" t="s">
        <v>154</v>
      </c>
      <c r="R236" s="1" t="s">
        <v>155</v>
      </c>
      <c r="S236" s="1" t="s">
        <v>175</v>
      </c>
      <c r="T236" s="1" t="s">
        <v>263</v>
      </c>
      <c r="U236" s="1" t="s">
        <v>1146</v>
      </c>
      <c r="V236" s="1" t="s">
        <v>159</v>
      </c>
      <c r="W236" s="1" t="s">
        <v>160</v>
      </c>
      <c r="X236" s="1" t="s">
        <v>159</v>
      </c>
      <c r="Y236" s="1" t="s">
        <v>160</v>
      </c>
      <c r="Z236" s="1" t="s">
        <v>159</v>
      </c>
      <c r="AA236" s="1" t="s">
        <v>159</v>
      </c>
      <c r="AB236" s="1" t="s">
        <v>160</v>
      </c>
      <c r="AC236" s="1" t="s">
        <v>159</v>
      </c>
      <c r="AD236" s="1" t="s">
        <v>160</v>
      </c>
      <c r="AE236" s="1" t="s">
        <v>159</v>
      </c>
      <c r="AF236" s="1" t="s">
        <v>159</v>
      </c>
      <c r="AG236" s="1" t="s">
        <v>160</v>
      </c>
      <c r="AI236" s="1" t="s">
        <v>160</v>
      </c>
      <c r="AJ236" s="1" t="s">
        <v>163</v>
      </c>
      <c r="AK236" s="1" t="s">
        <v>192</v>
      </c>
      <c r="AL236" s="1" t="s">
        <v>162</v>
      </c>
      <c r="AM236" s="1" t="s">
        <v>163</v>
      </c>
      <c r="AN236" s="1" t="s">
        <v>163</v>
      </c>
      <c r="AO236" s="1" t="s">
        <v>165</v>
      </c>
      <c r="AP236" s="1" t="s">
        <v>165</v>
      </c>
      <c r="AR236" s="1" t="s">
        <v>160</v>
      </c>
      <c r="AS236" s="1" t="s">
        <v>159</v>
      </c>
      <c r="AT236" s="1" t="s">
        <v>180</v>
      </c>
      <c r="AU236" s="1" t="s">
        <v>159</v>
      </c>
      <c r="AV236" s="1" t="s">
        <v>159</v>
      </c>
      <c r="AW236" s="1" t="s">
        <v>159</v>
      </c>
      <c r="AX236" s="1" t="s">
        <v>159</v>
      </c>
      <c r="AY236" s="1" t="s">
        <v>159</v>
      </c>
      <c r="AZ236" s="1" t="s">
        <v>159</v>
      </c>
      <c r="BA236" s="1" t="s">
        <v>159</v>
      </c>
      <c r="BB236" s="1" t="s">
        <v>181</v>
      </c>
      <c r="BC236" s="1" t="s">
        <v>159</v>
      </c>
      <c r="BE236" s="1" t="s">
        <v>1147</v>
      </c>
      <c r="BF236" s="1" t="s">
        <v>160</v>
      </c>
      <c r="BG236" s="1" t="s">
        <v>1147</v>
      </c>
    </row>
    <row r="237" spans="1:59" ht="13" x14ac:dyDescent="0.15">
      <c r="A237" s="2">
        <v>44175.664583333331</v>
      </c>
      <c r="B237" s="2">
        <v>44175.665972222225</v>
      </c>
      <c r="C237" s="1" t="s">
        <v>39</v>
      </c>
      <c r="D237" s="1" t="s">
        <v>234</v>
      </c>
      <c r="E237" s="1">
        <v>100</v>
      </c>
      <c r="F237" s="1">
        <v>116</v>
      </c>
      <c r="G237" s="1" t="b">
        <v>1</v>
      </c>
      <c r="H237" s="2">
        <v>44175.665972222225</v>
      </c>
      <c r="I237" s="1" t="s">
        <v>1148</v>
      </c>
      <c r="N237" s="1">
        <v>34.048492430000003</v>
      </c>
      <c r="O237" s="1">
        <v>-118.2528992</v>
      </c>
      <c r="P237" s="1" t="s">
        <v>153</v>
      </c>
      <c r="Q237" s="1" t="s">
        <v>154</v>
      </c>
      <c r="R237" s="1" t="s">
        <v>174</v>
      </c>
      <c r="S237" s="1" t="s">
        <v>310</v>
      </c>
      <c r="T237" s="1" t="s">
        <v>157</v>
      </c>
      <c r="U237" s="1" t="s">
        <v>496</v>
      </c>
      <c r="V237" s="1" t="s">
        <v>160</v>
      </c>
      <c r="W237" s="1" t="s">
        <v>160</v>
      </c>
      <c r="X237" s="1" t="s">
        <v>160</v>
      </c>
      <c r="Y237" s="1" t="s">
        <v>160</v>
      </c>
      <c r="Z237" s="1" t="s">
        <v>160</v>
      </c>
      <c r="AA237" s="1" t="s">
        <v>160</v>
      </c>
      <c r="AB237" s="1" t="s">
        <v>160</v>
      </c>
      <c r="AC237" s="1" t="s">
        <v>160</v>
      </c>
      <c r="AD237" s="1" t="s">
        <v>160</v>
      </c>
      <c r="AE237" s="1" t="s">
        <v>160</v>
      </c>
      <c r="AF237" s="1" t="s">
        <v>160</v>
      </c>
      <c r="AG237" s="1" t="s">
        <v>160</v>
      </c>
      <c r="AI237" s="1" t="s">
        <v>160</v>
      </c>
      <c r="AJ237" s="1" t="s">
        <v>164</v>
      </c>
      <c r="AK237" s="1" t="s">
        <v>198</v>
      </c>
      <c r="AL237" s="1" t="s">
        <v>198</v>
      </c>
      <c r="AM237" s="1" t="s">
        <v>163</v>
      </c>
      <c r="AN237" s="1" t="s">
        <v>192</v>
      </c>
      <c r="AO237" s="1" t="s">
        <v>179</v>
      </c>
      <c r="AP237" s="1" t="s">
        <v>179</v>
      </c>
      <c r="AR237" s="1" t="s">
        <v>160</v>
      </c>
      <c r="AS237" s="1" t="s">
        <v>160</v>
      </c>
      <c r="AT237" s="1" t="s">
        <v>605</v>
      </c>
      <c r="AU237" s="1" t="s">
        <v>160</v>
      </c>
      <c r="AV237" s="1" t="s">
        <v>160</v>
      </c>
      <c r="AW237" s="1" t="s">
        <v>160</v>
      </c>
      <c r="AX237" s="1" t="s">
        <v>160</v>
      </c>
      <c r="AY237" s="1" t="s">
        <v>160</v>
      </c>
      <c r="AZ237" s="1" t="s">
        <v>159</v>
      </c>
      <c r="BA237" s="1" t="s">
        <v>160</v>
      </c>
      <c r="BB237" s="1" t="s">
        <v>181</v>
      </c>
      <c r="BC237" s="1" t="s">
        <v>160</v>
      </c>
      <c r="BD237" s="1" t="s">
        <v>1149</v>
      </c>
      <c r="BE237" s="1" t="s">
        <v>1150</v>
      </c>
      <c r="BF237" s="1" t="s">
        <v>160</v>
      </c>
    </row>
    <row r="238" spans="1:59" ht="13" x14ac:dyDescent="0.15">
      <c r="A238" s="2">
        <v>44175.663194444445</v>
      </c>
      <c r="B238" s="2">
        <v>44175.665972222225</v>
      </c>
      <c r="C238" s="1" t="s">
        <v>39</v>
      </c>
      <c r="D238" s="1" t="s">
        <v>1151</v>
      </c>
      <c r="E238" s="1">
        <v>100</v>
      </c>
      <c r="F238" s="1">
        <v>225</v>
      </c>
      <c r="G238" s="1" t="b">
        <v>1</v>
      </c>
      <c r="H238" s="2">
        <v>44175.665972222225</v>
      </c>
      <c r="I238" s="1" t="s">
        <v>1152</v>
      </c>
      <c r="N238" s="1">
        <v>33.248702999999999</v>
      </c>
      <c r="O238" s="1">
        <v>-111.6343002</v>
      </c>
      <c r="P238" s="1" t="s">
        <v>153</v>
      </c>
      <c r="Q238" s="1" t="s">
        <v>154</v>
      </c>
      <c r="R238" s="1" t="s">
        <v>174</v>
      </c>
      <c r="S238" s="1" t="s">
        <v>274</v>
      </c>
      <c r="T238" s="1" t="s">
        <v>263</v>
      </c>
      <c r="U238" s="1" t="s">
        <v>1153</v>
      </c>
      <c r="V238" s="1" t="s">
        <v>160</v>
      </c>
      <c r="W238" s="1" t="s">
        <v>160</v>
      </c>
      <c r="X238" s="1" t="s">
        <v>160</v>
      </c>
      <c r="Y238" s="1" t="s">
        <v>160</v>
      </c>
      <c r="Z238" s="1" t="s">
        <v>160</v>
      </c>
      <c r="AA238" s="1" t="s">
        <v>159</v>
      </c>
      <c r="AB238" s="1" t="s">
        <v>160</v>
      </c>
      <c r="AC238" s="1" t="s">
        <v>160</v>
      </c>
      <c r="AD238" s="1" t="s">
        <v>159</v>
      </c>
      <c r="AE238" s="1" t="s">
        <v>160</v>
      </c>
      <c r="AF238" s="1" t="s">
        <v>160</v>
      </c>
      <c r="AG238" s="1" t="s">
        <v>160</v>
      </c>
      <c r="AH238" s="1">
        <v>4</v>
      </c>
      <c r="AI238" s="1" t="s">
        <v>160</v>
      </c>
      <c r="AJ238" s="1" t="s">
        <v>163</v>
      </c>
      <c r="AK238" s="1" t="s">
        <v>162</v>
      </c>
      <c r="AL238" s="1" t="s">
        <v>192</v>
      </c>
      <c r="AM238" s="1" t="s">
        <v>163</v>
      </c>
      <c r="AN238" s="1" t="s">
        <v>162</v>
      </c>
      <c r="AO238" s="1" t="s">
        <v>165</v>
      </c>
      <c r="AP238" s="1" t="s">
        <v>165</v>
      </c>
      <c r="AQ238" s="3">
        <v>35838</v>
      </c>
      <c r="AR238" s="1" t="s">
        <v>160</v>
      </c>
      <c r="AS238" s="1" t="s">
        <v>159</v>
      </c>
      <c r="AT238" s="1" t="s">
        <v>180</v>
      </c>
      <c r="AU238" s="1" t="s">
        <v>159</v>
      </c>
      <c r="AV238" s="1" t="s">
        <v>159</v>
      </c>
      <c r="AW238" s="1" t="s">
        <v>159</v>
      </c>
      <c r="AX238" s="1" t="s">
        <v>159</v>
      </c>
      <c r="AY238" s="1" t="s">
        <v>160</v>
      </c>
      <c r="AZ238" s="1" t="s">
        <v>159</v>
      </c>
      <c r="BA238" s="1" t="s">
        <v>159</v>
      </c>
      <c r="BB238" s="1" t="s">
        <v>181</v>
      </c>
      <c r="BC238" s="1" t="s">
        <v>159</v>
      </c>
      <c r="BE238" s="1" t="s">
        <v>1154</v>
      </c>
      <c r="BF238" s="1" t="s">
        <v>159</v>
      </c>
    </row>
    <row r="239" spans="1:59" ht="13" x14ac:dyDescent="0.15">
      <c r="A239" s="2">
        <v>44175.665972222225</v>
      </c>
      <c r="B239" s="2">
        <v>44175.666666666664</v>
      </c>
      <c r="C239" s="1" t="s">
        <v>39</v>
      </c>
      <c r="D239" s="1" t="s">
        <v>1155</v>
      </c>
      <c r="E239" s="1">
        <v>100</v>
      </c>
      <c r="F239" s="1">
        <v>67</v>
      </c>
      <c r="G239" s="1" t="b">
        <v>1</v>
      </c>
      <c r="H239" s="2">
        <v>44175.666666666664</v>
      </c>
      <c r="I239" s="1" t="s">
        <v>1156</v>
      </c>
      <c r="N239" s="1">
        <v>41.389007569999997</v>
      </c>
      <c r="O239" s="1">
        <v>-81.525703429999993</v>
      </c>
      <c r="P239" s="1" t="s">
        <v>153</v>
      </c>
      <c r="Q239" s="1" t="s">
        <v>154</v>
      </c>
      <c r="R239" s="1" t="s">
        <v>174</v>
      </c>
      <c r="S239" s="1" t="s">
        <v>274</v>
      </c>
      <c r="T239" s="1" t="s">
        <v>263</v>
      </c>
      <c r="U239" s="1" t="s">
        <v>418</v>
      </c>
      <c r="V239" s="1" t="s">
        <v>160</v>
      </c>
      <c r="W239" s="1" t="s">
        <v>160</v>
      </c>
      <c r="X239" s="1" t="s">
        <v>160</v>
      </c>
      <c r="Y239" s="1" t="s">
        <v>160</v>
      </c>
      <c r="Z239" s="1" t="s">
        <v>160</v>
      </c>
      <c r="AA239" s="1" t="s">
        <v>160</v>
      </c>
      <c r="AB239" s="1" t="s">
        <v>160</v>
      </c>
      <c r="AC239" s="1" t="s">
        <v>160</v>
      </c>
      <c r="AD239" s="1" t="s">
        <v>160</v>
      </c>
      <c r="AE239" s="1" t="s">
        <v>160</v>
      </c>
      <c r="AF239" s="1" t="s">
        <v>160</v>
      </c>
      <c r="AG239" s="1" t="s">
        <v>160</v>
      </c>
      <c r="AH239" s="1">
        <v>2</v>
      </c>
      <c r="AI239" s="1" t="s">
        <v>160</v>
      </c>
      <c r="AJ239" s="1" t="s">
        <v>192</v>
      </c>
      <c r="AK239" s="1" t="s">
        <v>163</v>
      </c>
      <c r="AL239" s="1" t="s">
        <v>163</v>
      </c>
      <c r="AM239" s="1" t="s">
        <v>192</v>
      </c>
      <c r="AN239" s="1" t="s">
        <v>163</v>
      </c>
      <c r="AO239" s="1" t="s">
        <v>179</v>
      </c>
      <c r="AP239" s="1" t="s">
        <v>179</v>
      </c>
      <c r="AQ239" s="1">
        <v>1998</v>
      </c>
      <c r="AR239" s="1" t="s">
        <v>160</v>
      </c>
      <c r="AS239" s="1" t="s">
        <v>160</v>
      </c>
      <c r="AT239" s="1" t="s">
        <v>180</v>
      </c>
      <c r="AU239" s="1" t="s">
        <v>159</v>
      </c>
      <c r="AV239" s="1" t="s">
        <v>159</v>
      </c>
      <c r="AW239" s="1" t="s">
        <v>159</v>
      </c>
      <c r="AX239" s="1" t="s">
        <v>159</v>
      </c>
      <c r="AY239" s="1" t="s">
        <v>159</v>
      </c>
      <c r="AZ239" s="1" t="s">
        <v>159</v>
      </c>
      <c r="BA239" s="1" t="s">
        <v>159</v>
      </c>
      <c r="BB239" s="1" t="s">
        <v>167</v>
      </c>
      <c r="BC239" s="1" t="s">
        <v>160</v>
      </c>
      <c r="BE239" s="1" t="s">
        <v>1157</v>
      </c>
      <c r="BF239" s="1" t="s">
        <v>159</v>
      </c>
    </row>
    <row r="240" spans="1:59" ht="13" x14ac:dyDescent="0.15">
      <c r="A240" s="2">
        <v>44175.664583333331</v>
      </c>
      <c r="B240" s="2">
        <v>44175.666666666664</v>
      </c>
      <c r="C240" s="1" t="s">
        <v>39</v>
      </c>
      <c r="D240" s="1" t="s">
        <v>1158</v>
      </c>
      <c r="E240" s="1">
        <v>100</v>
      </c>
      <c r="F240" s="1">
        <v>186</v>
      </c>
      <c r="G240" s="1" t="b">
        <v>1</v>
      </c>
      <c r="H240" s="2">
        <v>44175.666666666664</v>
      </c>
      <c r="I240" s="1" t="s">
        <v>1159</v>
      </c>
      <c r="N240" s="1">
        <v>45.537506100000002</v>
      </c>
      <c r="O240" s="1">
        <v>-122.5988998</v>
      </c>
      <c r="P240" s="1" t="s">
        <v>153</v>
      </c>
      <c r="Q240" s="1" t="s">
        <v>154</v>
      </c>
      <c r="R240" s="1" t="s">
        <v>174</v>
      </c>
      <c r="S240" s="1" t="s">
        <v>274</v>
      </c>
      <c r="T240" s="1" t="s">
        <v>176</v>
      </c>
      <c r="U240" s="1" t="s">
        <v>570</v>
      </c>
      <c r="V240" s="1" t="s">
        <v>160</v>
      </c>
      <c r="W240" s="1" t="s">
        <v>160</v>
      </c>
      <c r="X240" s="1" t="s">
        <v>159</v>
      </c>
      <c r="Y240" s="1" t="s">
        <v>160</v>
      </c>
      <c r="Z240" s="1" t="s">
        <v>159</v>
      </c>
      <c r="AA240" s="1" t="s">
        <v>159</v>
      </c>
      <c r="AB240" s="1" t="s">
        <v>159</v>
      </c>
      <c r="AC240" s="1" t="s">
        <v>160</v>
      </c>
      <c r="AD240" s="1" t="s">
        <v>159</v>
      </c>
      <c r="AE240" s="1" t="s">
        <v>160</v>
      </c>
      <c r="AF240" s="1" t="s">
        <v>160</v>
      </c>
      <c r="AG240" s="1" t="s">
        <v>160</v>
      </c>
      <c r="AH240" s="1">
        <v>1</v>
      </c>
      <c r="AI240" s="1" t="s">
        <v>160</v>
      </c>
      <c r="AJ240" s="1" t="s">
        <v>163</v>
      </c>
      <c r="AK240" s="1" t="s">
        <v>192</v>
      </c>
      <c r="AL240" s="1" t="s">
        <v>163</v>
      </c>
      <c r="AM240" s="1" t="s">
        <v>192</v>
      </c>
      <c r="AN240" s="1" t="s">
        <v>163</v>
      </c>
      <c r="AO240" s="1" t="s">
        <v>165</v>
      </c>
      <c r="AP240" s="1" t="s">
        <v>165</v>
      </c>
      <c r="AQ240" s="1">
        <v>2000</v>
      </c>
      <c r="AR240" s="1" t="s">
        <v>160</v>
      </c>
      <c r="AS240" s="1" t="s">
        <v>159</v>
      </c>
      <c r="AT240" s="1" t="s">
        <v>210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159</v>
      </c>
      <c r="BB240" s="1" t="s">
        <v>181</v>
      </c>
      <c r="BC240" s="1" t="s">
        <v>159</v>
      </c>
      <c r="BE240" s="1" t="s">
        <v>1160</v>
      </c>
      <c r="BF240" s="1" t="s">
        <v>159</v>
      </c>
    </row>
    <row r="241" spans="1:59" ht="13" x14ac:dyDescent="0.15">
      <c r="A241" s="2">
        <v>44175.665972222225</v>
      </c>
      <c r="B241" s="2">
        <v>44175.667361111111</v>
      </c>
      <c r="C241" s="1" t="s">
        <v>39</v>
      </c>
      <c r="D241" s="1" t="s">
        <v>234</v>
      </c>
      <c r="E241" s="1">
        <v>100</v>
      </c>
      <c r="F241" s="1">
        <v>115</v>
      </c>
      <c r="G241" s="1" t="b">
        <v>1</v>
      </c>
      <c r="H241" s="2">
        <v>44175.667361111111</v>
      </c>
      <c r="I241" s="1" t="s">
        <v>1161</v>
      </c>
      <c r="N241" s="1">
        <v>34.048492430000003</v>
      </c>
      <c r="O241" s="1">
        <v>-118.2528992</v>
      </c>
      <c r="P241" s="1" t="s">
        <v>153</v>
      </c>
      <c r="Q241" s="1" t="s">
        <v>154</v>
      </c>
      <c r="R241" s="1" t="s">
        <v>236</v>
      </c>
      <c r="S241" s="1" t="s">
        <v>310</v>
      </c>
      <c r="T241" s="1" t="s">
        <v>176</v>
      </c>
      <c r="U241" s="1" t="s">
        <v>290</v>
      </c>
      <c r="V241" s="1" t="s">
        <v>160</v>
      </c>
      <c r="W241" s="1" t="s">
        <v>160</v>
      </c>
      <c r="X241" s="1" t="s">
        <v>160</v>
      </c>
      <c r="Y241" s="1" t="s">
        <v>160</v>
      </c>
      <c r="Z241" s="1" t="s">
        <v>160</v>
      </c>
      <c r="AA241" s="1" t="s">
        <v>160</v>
      </c>
      <c r="AB241" s="1" t="s">
        <v>160</v>
      </c>
      <c r="AC241" s="1" t="s">
        <v>160</v>
      </c>
      <c r="AD241" s="1" t="s">
        <v>160</v>
      </c>
      <c r="AE241" s="1" t="s">
        <v>160</v>
      </c>
      <c r="AF241" s="1" t="s">
        <v>160</v>
      </c>
      <c r="AG241" s="1" t="s">
        <v>160</v>
      </c>
      <c r="AI241" s="1" t="s">
        <v>160</v>
      </c>
      <c r="AJ241" s="1" t="s">
        <v>163</v>
      </c>
      <c r="AK241" s="1" t="s">
        <v>163</v>
      </c>
      <c r="AL241" s="1" t="s">
        <v>164</v>
      </c>
      <c r="AM241" s="1" t="s">
        <v>192</v>
      </c>
      <c r="AN241" s="1" t="s">
        <v>164</v>
      </c>
      <c r="AO241" s="1" t="s">
        <v>179</v>
      </c>
      <c r="AP241" s="1" t="s">
        <v>179</v>
      </c>
      <c r="AR241" s="1" t="s">
        <v>160</v>
      </c>
      <c r="AS241" s="1" t="s">
        <v>160</v>
      </c>
      <c r="AT241" s="1" t="s">
        <v>1162</v>
      </c>
      <c r="AU241" s="1" t="s">
        <v>159</v>
      </c>
      <c r="AV241" s="1" t="s">
        <v>160</v>
      </c>
      <c r="AW241" s="1" t="s">
        <v>159</v>
      </c>
      <c r="AX241" s="1" t="s">
        <v>159</v>
      </c>
      <c r="AY241" s="1" t="s">
        <v>159</v>
      </c>
      <c r="AZ241" s="1" t="s">
        <v>159</v>
      </c>
      <c r="BA241" s="1" t="s">
        <v>160</v>
      </c>
      <c r="BB241" s="1" t="s">
        <v>222</v>
      </c>
      <c r="BC241" s="1" t="s">
        <v>160</v>
      </c>
      <c r="BD241" s="1" t="s">
        <v>1163</v>
      </c>
      <c r="BE241" s="1" t="s">
        <v>1164</v>
      </c>
      <c r="BF241" s="1" t="s">
        <v>160</v>
      </c>
    </row>
    <row r="242" spans="1:59" ht="13" x14ac:dyDescent="0.15">
      <c r="A242" s="2">
        <v>44175.665972222225</v>
      </c>
      <c r="B242" s="2">
        <v>44175.668055555558</v>
      </c>
      <c r="C242" s="1" t="s">
        <v>39</v>
      </c>
      <c r="D242" s="1" t="s">
        <v>1165</v>
      </c>
      <c r="E242" s="1">
        <v>100</v>
      </c>
      <c r="F242" s="1">
        <v>160</v>
      </c>
      <c r="G242" s="1" t="b">
        <v>1</v>
      </c>
      <c r="H242" s="2">
        <v>44175.668055555558</v>
      </c>
      <c r="I242" s="1" t="s">
        <v>1166</v>
      </c>
      <c r="N242" s="1">
        <v>34.417892459999997</v>
      </c>
      <c r="O242" s="1">
        <v>-117.30639650000001</v>
      </c>
      <c r="P242" s="1" t="s">
        <v>153</v>
      </c>
      <c r="Q242" s="1" t="s">
        <v>154</v>
      </c>
      <c r="R242" s="1" t="s">
        <v>155</v>
      </c>
      <c r="S242" s="1" t="s">
        <v>208</v>
      </c>
      <c r="T242" s="1" t="s">
        <v>237</v>
      </c>
      <c r="U242" s="1" t="s">
        <v>1167</v>
      </c>
      <c r="V242" s="1" t="s">
        <v>160</v>
      </c>
      <c r="W242" s="1" t="s">
        <v>160</v>
      </c>
      <c r="X242" s="1" t="s">
        <v>160</v>
      </c>
      <c r="Y242" s="1" t="s">
        <v>160</v>
      </c>
      <c r="Z242" s="1" t="s">
        <v>160</v>
      </c>
      <c r="AA242" s="1" t="s">
        <v>160</v>
      </c>
      <c r="AB242" s="1" t="s">
        <v>159</v>
      </c>
      <c r="AC242" s="1" t="s">
        <v>160</v>
      </c>
      <c r="AD242" s="1" t="s">
        <v>159</v>
      </c>
      <c r="AE242" s="1" t="s">
        <v>159</v>
      </c>
      <c r="AF242" s="1" t="s">
        <v>160</v>
      </c>
      <c r="AG242" s="1" t="s">
        <v>160</v>
      </c>
      <c r="AI242" s="1" t="s">
        <v>160</v>
      </c>
      <c r="AJ242" s="1" t="s">
        <v>162</v>
      </c>
      <c r="AK242" s="1" t="s">
        <v>163</v>
      </c>
      <c r="AL242" s="1" t="s">
        <v>192</v>
      </c>
      <c r="AM242" s="1" t="s">
        <v>162</v>
      </c>
      <c r="AN242" s="1" t="s">
        <v>163</v>
      </c>
      <c r="AO242" s="1" t="s">
        <v>179</v>
      </c>
      <c r="AP242" s="1" t="s">
        <v>179</v>
      </c>
      <c r="AR242" s="1" t="s">
        <v>159</v>
      </c>
      <c r="AS242" s="1" t="s">
        <v>159</v>
      </c>
      <c r="AT242" s="1" t="s">
        <v>322</v>
      </c>
      <c r="AU242" s="1" t="s">
        <v>160</v>
      </c>
      <c r="AV242" s="1" t="s">
        <v>159</v>
      </c>
      <c r="AW242" s="1" t="s">
        <v>159</v>
      </c>
      <c r="AX242" s="1" t="s">
        <v>160</v>
      </c>
      <c r="AY242" s="1" t="s">
        <v>159</v>
      </c>
      <c r="AZ242" s="1" t="s">
        <v>160</v>
      </c>
      <c r="BA242" s="1" t="s">
        <v>159</v>
      </c>
      <c r="BB242" s="1" t="s">
        <v>167</v>
      </c>
      <c r="BC242" s="1" t="s">
        <v>160</v>
      </c>
      <c r="BE242" s="1" t="s">
        <v>1168</v>
      </c>
      <c r="BF242" s="1" t="s">
        <v>160</v>
      </c>
      <c r="BG242" s="1" t="s">
        <v>1168</v>
      </c>
    </row>
    <row r="243" spans="1:59" ht="13" x14ac:dyDescent="0.15">
      <c r="A243" s="2">
        <v>44175.665277777778</v>
      </c>
      <c r="B243" s="2">
        <v>44175.668055555558</v>
      </c>
      <c r="C243" s="1" t="s">
        <v>39</v>
      </c>
      <c r="D243" s="1" t="s">
        <v>1169</v>
      </c>
      <c r="E243" s="1">
        <v>100</v>
      </c>
      <c r="F243" s="1">
        <v>212</v>
      </c>
      <c r="G243" s="1" t="b">
        <v>1</v>
      </c>
      <c r="H243" s="2">
        <v>44175.668055555558</v>
      </c>
      <c r="I243" s="1" t="s">
        <v>1170</v>
      </c>
      <c r="N243" s="1">
        <v>30.515396119999998</v>
      </c>
      <c r="O243" s="1">
        <v>-97.668899539999998</v>
      </c>
      <c r="P243" s="1" t="s">
        <v>153</v>
      </c>
      <c r="Q243" s="1" t="s">
        <v>154</v>
      </c>
      <c r="R243" s="1" t="s">
        <v>174</v>
      </c>
      <c r="S243" s="1" t="s">
        <v>175</v>
      </c>
      <c r="T243" s="1" t="s">
        <v>157</v>
      </c>
      <c r="U243" s="1" t="s">
        <v>1171</v>
      </c>
      <c r="V243" s="1" t="s">
        <v>160</v>
      </c>
      <c r="W243" s="1" t="s">
        <v>160</v>
      </c>
      <c r="X243" s="1" t="s">
        <v>160</v>
      </c>
      <c r="Y243" s="1" t="s">
        <v>160</v>
      </c>
      <c r="Z243" s="1" t="s">
        <v>160</v>
      </c>
      <c r="AA243" s="1" t="s">
        <v>159</v>
      </c>
      <c r="AB243" s="1" t="s">
        <v>159</v>
      </c>
      <c r="AC243" s="1" t="s">
        <v>160</v>
      </c>
      <c r="AD243" s="1" t="s">
        <v>159</v>
      </c>
      <c r="AE243" s="1" t="s">
        <v>160</v>
      </c>
      <c r="AF243" s="1" t="s">
        <v>160</v>
      </c>
      <c r="AG243" s="1" t="s">
        <v>160</v>
      </c>
      <c r="AH243" s="1">
        <v>2</v>
      </c>
      <c r="AI243" s="1" t="s">
        <v>160</v>
      </c>
      <c r="AJ243" s="1" t="s">
        <v>164</v>
      </c>
      <c r="AK243" s="1" t="s">
        <v>163</v>
      </c>
      <c r="AL243" s="1" t="s">
        <v>192</v>
      </c>
      <c r="AM243" s="1" t="s">
        <v>162</v>
      </c>
      <c r="AN243" s="1" t="s">
        <v>163</v>
      </c>
      <c r="AO243" s="1" t="s">
        <v>179</v>
      </c>
      <c r="AP243" s="1" t="s">
        <v>179</v>
      </c>
      <c r="AQ243" s="1">
        <v>1992</v>
      </c>
      <c r="AR243" s="1" t="s">
        <v>160</v>
      </c>
      <c r="AS243" s="1" t="s">
        <v>159</v>
      </c>
      <c r="AT243" s="1" t="s">
        <v>633</v>
      </c>
      <c r="AU243" s="1" t="s">
        <v>159</v>
      </c>
      <c r="AV243" s="1" t="s">
        <v>159</v>
      </c>
      <c r="AW243" s="1" t="s">
        <v>159</v>
      </c>
      <c r="AX243" s="1" t="s">
        <v>159</v>
      </c>
      <c r="AY243" s="1" t="s">
        <v>159</v>
      </c>
      <c r="AZ243" s="1" t="s">
        <v>159</v>
      </c>
      <c r="BA243" s="1" t="s">
        <v>159</v>
      </c>
      <c r="BB243" s="1" t="s">
        <v>181</v>
      </c>
      <c r="BC243" s="1" t="s">
        <v>160</v>
      </c>
      <c r="BE243" s="1" t="s">
        <v>1172</v>
      </c>
      <c r="BF243" s="1" t="s">
        <v>159</v>
      </c>
    </row>
    <row r="244" spans="1:59" ht="13" x14ac:dyDescent="0.15">
      <c r="A244" s="2">
        <v>44175.666666666664</v>
      </c>
      <c r="B244" s="2">
        <v>44175.668055555558</v>
      </c>
      <c r="C244" s="1" t="s">
        <v>39</v>
      </c>
      <c r="D244" s="1" t="s">
        <v>1173</v>
      </c>
      <c r="E244" s="1">
        <v>100</v>
      </c>
      <c r="F244" s="1">
        <v>174</v>
      </c>
      <c r="G244" s="1" t="b">
        <v>1</v>
      </c>
      <c r="H244" s="2">
        <v>44175.668055555558</v>
      </c>
      <c r="I244" s="1" t="s">
        <v>1174</v>
      </c>
      <c r="N244" s="1">
        <v>47.101593020000003</v>
      </c>
      <c r="O244" s="1">
        <v>-123.0590973</v>
      </c>
      <c r="P244" s="1" t="s">
        <v>153</v>
      </c>
      <c r="Q244" s="1" t="s">
        <v>154</v>
      </c>
      <c r="R244" s="1" t="s">
        <v>174</v>
      </c>
      <c r="S244" s="1" t="s">
        <v>208</v>
      </c>
      <c r="T244" s="1" t="s">
        <v>263</v>
      </c>
      <c r="U244" s="1" t="s">
        <v>1153</v>
      </c>
      <c r="V244" s="1" t="s">
        <v>159</v>
      </c>
      <c r="W244" s="1" t="s">
        <v>160</v>
      </c>
      <c r="X244" s="1" t="s">
        <v>160</v>
      </c>
      <c r="Y244" s="1" t="s">
        <v>160</v>
      </c>
      <c r="Z244" s="1" t="s">
        <v>160</v>
      </c>
      <c r="AA244" s="1" t="s">
        <v>159</v>
      </c>
      <c r="AB244" s="1" t="s">
        <v>160</v>
      </c>
      <c r="AC244" s="1" t="s">
        <v>160</v>
      </c>
      <c r="AD244" s="1" t="s">
        <v>160</v>
      </c>
      <c r="AE244" s="1" t="s">
        <v>160</v>
      </c>
      <c r="AF244" s="1" t="s">
        <v>160</v>
      </c>
      <c r="AG244" s="1" t="s">
        <v>160</v>
      </c>
      <c r="AH244" s="1">
        <v>4</v>
      </c>
      <c r="AI244" s="1" t="s">
        <v>160</v>
      </c>
      <c r="AJ244" s="1" t="s">
        <v>163</v>
      </c>
      <c r="AK244" s="1" t="s">
        <v>162</v>
      </c>
      <c r="AL244" s="1" t="s">
        <v>163</v>
      </c>
      <c r="AM244" s="1" t="s">
        <v>164</v>
      </c>
      <c r="AN244" s="1" t="s">
        <v>192</v>
      </c>
      <c r="AO244" s="1" t="s">
        <v>179</v>
      </c>
      <c r="AP244" s="1" t="s">
        <v>179</v>
      </c>
      <c r="AQ244" s="3">
        <v>36263</v>
      </c>
      <c r="AR244" s="1" t="s">
        <v>160</v>
      </c>
      <c r="AS244" s="1" t="s">
        <v>159</v>
      </c>
      <c r="AT244" s="1" t="s">
        <v>180</v>
      </c>
      <c r="AU244" s="1" t="s">
        <v>159</v>
      </c>
      <c r="AV244" s="1" t="s">
        <v>159</v>
      </c>
      <c r="AW244" s="1" t="s">
        <v>159</v>
      </c>
      <c r="AX244" s="1" t="s">
        <v>159</v>
      </c>
      <c r="AY244" s="1" t="s">
        <v>160</v>
      </c>
      <c r="AZ244" s="1" t="s">
        <v>159</v>
      </c>
      <c r="BA244" s="1" t="s">
        <v>159</v>
      </c>
      <c r="BB244" s="1" t="s">
        <v>167</v>
      </c>
      <c r="BC244" s="1" t="s">
        <v>159</v>
      </c>
      <c r="BE244" s="1" t="s">
        <v>1175</v>
      </c>
      <c r="BF244" s="1" t="s">
        <v>159</v>
      </c>
    </row>
    <row r="245" spans="1:59" ht="13" x14ac:dyDescent="0.15">
      <c r="A245" s="2">
        <v>44175.668055555558</v>
      </c>
      <c r="B245" s="2">
        <v>44175.669444444444</v>
      </c>
      <c r="C245" s="1" t="s">
        <v>39</v>
      </c>
      <c r="D245" s="1" t="s">
        <v>234</v>
      </c>
      <c r="E245" s="1">
        <v>100</v>
      </c>
      <c r="F245" s="1">
        <v>117</v>
      </c>
      <c r="G245" s="1" t="b">
        <v>1</v>
      </c>
      <c r="H245" s="2">
        <v>44175.669444444444</v>
      </c>
      <c r="I245" s="1" t="s">
        <v>1176</v>
      </c>
      <c r="N245" s="1">
        <v>34.048492430000003</v>
      </c>
      <c r="O245" s="1">
        <v>-118.2528992</v>
      </c>
      <c r="P245" s="1" t="s">
        <v>153</v>
      </c>
      <c r="Q245" s="1" t="s">
        <v>154</v>
      </c>
      <c r="R245" s="1" t="s">
        <v>155</v>
      </c>
      <c r="S245" s="1" t="s">
        <v>175</v>
      </c>
      <c r="T245" s="1" t="s">
        <v>157</v>
      </c>
      <c r="U245" s="1" t="s">
        <v>418</v>
      </c>
      <c r="V245" s="1" t="s">
        <v>160</v>
      </c>
      <c r="W245" s="1" t="s">
        <v>160</v>
      </c>
      <c r="X245" s="1" t="s">
        <v>160</v>
      </c>
      <c r="Y245" s="1" t="s">
        <v>160</v>
      </c>
      <c r="Z245" s="1" t="s">
        <v>160</v>
      </c>
      <c r="AA245" s="1" t="s">
        <v>160</v>
      </c>
      <c r="AB245" s="1" t="s">
        <v>160</v>
      </c>
      <c r="AC245" s="1" t="s">
        <v>160</v>
      </c>
      <c r="AD245" s="1" t="s">
        <v>160</v>
      </c>
      <c r="AE245" s="1" t="s">
        <v>160</v>
      </c>
      <c r="AF245" s="1" t="s">
        <v>160</v>
      </c>
      <c r="AG245" s="1" t="s">
        <v>160</v>
      </c>
      <c r="AI245" s="1" t="s">
        <v>160</v>
      </c>
      <c r="AJ245" s="1" t="s">
        <v>192</v>
      </c>
      <c r="AK245" s="1" t="s">
        <v>163</v>
      </c>
      <c r="AL245" s="1" t="s">
        <v>163</v>
      </c>
      <c r="AM245" s="1" t="s">
        <v>163</v>
      </c>
      <c r="AN245" s="1" t="s">
        <v>192</v>
      </c>
      <c r="AO245" s="1" t="s">
        <v>179</v>
      </c>
      <c r="AP245" s="1" t="s">
        <v>239</v>
      </c>
      <c r="AR245" s="1" t="s">
        <v>160</v>
      </c>
      <c r="AS245" s="1" t="s">
        <v>160</v>
      </c>
      <c r="AT245" s="1" t="s">
        <v>722</v>
      </c>
      <c r="AU245" s="1" t="s">
        <v>160</v>
      </c>
      <c r="AV245" s="1" t="s">
        <v>160</v>
      </c>
      <c r="AW245" s="1" t="s">
        <v>159</v>
      </c>
      <c r="AX245" s="1" t="s">
        <v>160</v>
      </c>
      <c r="AY245" s="1" t="s">
        <v>159</v>
      </c>
      <c r="AZ245" s="1" t="s">
        <v>159</v>
      </c>
      <c r="BA245" s="1" t="s">
        <v>160</v>
      </c>
      <c r="BB245" s="1" t="s">
        <v>181</v>
      </c>
      <c r="BC245" s="1" t="s">
        <v>160</v>
      </c>
      <c r="BD245" s="1" t="s">
        <v>1177</v>
      </c>
      <c r="BE245" s="1" t="s">
        <v>1178</v>
      </c>
      <c r="BF245" s="1" t="s">
        <v>160</v>
      </c>
    </row>
    <row r="246" spans="1:59" ht="13" x14ac:dyDescent="0.15">
      <c r="A246" s="2">
        <v>44175.669444444444</v>
      </c>
      <c r="B246" s="2">
        <v>44175.67083333333</v>
      </c>
      <c r="C246" s="1" t="s">
        <v>39</v>
      </c>
      <c r="D246" s="1" t="s">
        <v>234</v>
      </c>
      <c r="E246" s="1">
        <v>100</v>
      </c>
      <c r="F246" s="1">
        <v>116</v>
      </c>
      <c r="G246" s="1" t="b">
        <v>1</v>
      </c>
      <c r="H246" s="2">
        <v>44175.67083333333</v>
      </c>
      <c r="I246" s="1" t="s">
        <v>1179</v>
      </c>
      <c r="N246" s="1">
        <v>34.048492430000003</v>
      </c>
      <c r="O246" s="1">
        <v>-118.2528992</v>
      </c>
      <c r="P246" s="1" t="s">
        <v>153</v>
      </c>
      <c r="Q246" s="1" t="s">
        <v>154</v>
      </c>
      <c r="R246" s="1" t="s">
        <v>236</v>
      </c>
      <c r="S246" s="1" t="s">
        <v>310</v>
      </c>
      <c r="T246" s="1" t="s">
        <v>176</v>
      </c>
      <c r="U246" s="1" t="s">
        <v>944</v>
      </c>
      <c r="V246" s="1" t="s">
        <v>160</v>
      </c>
      <c r="W246" s="1" t="s">
        <v>160</v>
      </c>
      <c r="X246" s="1" t="s">
        <v>160</v>
      </c>
      <c r="Y246" s="1" t="s">
        <v>160</v>
      </c>
      <c r="Z246" s="1" t="s">
        <v>160</v>
      </c>
      <c r="AA246" s="1" t="s">
        <v>160</v>
      </c>
      <c r="AB246" s="1" t="s">
        <v>160</v>
      </c>
      <c r="AC246" s="1" t="s">
        <v>160</v>
      </c>
      <c r="AD246" s="1" t="s">
        <v>160</v>
      </c>
      <c r="AE246" s="1" t="s">
        <v>160</v>
      </c>
      <c r="AF246" s="1" t="s">
        <v>160</v>
      </c>
      <c r="AG246" s="1" t="s">
        <v>160</v>
      </c>
      <c r="AI246" s="1" t="s">
        <v>160</v>
      </c>
      <c r="AJ246" s="1" t="s">
        <v>192</v>
      </c>
      <c r="AK246" s="1" t="s">
        <v>198</v>
      </c>
      <c r="AL246" s="1" t="s">
        <v>192</v>
      </c>
      <c r="AM246" s="1" t="s">
        <v>198</v>
      </c>
      <c r="AN246" s="1" t="s">
        <v>192</v>
      </c>
      <c r="AO246" s="1" t="s">
        <v>179</v>
      </c>
      <c r="AP246" s="1" t="s">
        <v>179</v>
      </c>
      <c r="AR246" s="1" t="s">
        <v>160</v>
      </c>
      <c r="AS246" s="1" t="s">
        <v>160</v>
      </c>
      <c r="AT246" s="1" t="s">
        <v>1180</v>
      </c>
      <c r="AU246" s="1" t="s">
        <v>159</v>
      </c>
      <c r="AV246" s="1" t="s">
        <v>160</v>
      </c>
      <c r="AW246" s="1" t="s">
        <v>159</v>
      </c>
      <c r="AX246" s="1" t="s">
        <v>159</v>
      </c>
      <c r="AY246" s="1" t="s">
        <v>160</v>
      </c>
      <c r="AZ246" s="1" t="s">
        <v>159</v>
      </c>
      <c r="BA246" s="1" t="s">
        <v>159</v>
      </c>
      <c r="BB246" s="1" t="s">
        <v>241</v>
      </c>
      <c r="BC246" s="1" t="s">
        <v>160</v>
      </c>
      <c r="BD246" s="1" t="s">
        <v>1181</v>
      </c>
      <c r="BE246" s="1" t="s">
        <v>1182</v>
      </c>
      <c r="BF246" s="1" t="s">
        <v>160</v>
      </c>
    </row>
    <row r="247" spans="1:59" ht="13" x14ac:dyDescent="0.15">
      <c r="A247" s="2">
        <v>44175.668749999997</v>
      </c>
      <c r="B247" s="2">
        <v>44175.67083333333</v>
      </c>
      <c r="C247" s="1" t="s">
        <v>39</v>
      </c>
      <c r="D247" s="1" t="s">
        <v>1183</v>
      </c>
      <c r="E247" s="1">
        <v>100</v>
      </c>
      <c r="F247" s="1">
        <v>182</v>
      </c>
      <c r="G247" s="1" t="b">
        <v>1</v>
      </c>
      <c r="H247" s="2">
        <v>44175.67083333333</v>
      </c>
      <c r="I247" s="1" t="s">
        <v>1184</v>
      </c>
      <c r="N247" s="1">
        <v>32.322402949999997</v>
      </c>
      <c r="O247" s="1">
        <v>-106.80410000000001</v>
      </c>
      <c r="P247" s="1" t="s">
        <v>153</v>
      </c>
      <c r="Q247" s="1" t="s">
        <v>154</v>
      </c>
      <c r="R247" s="1" t="s">
        <v>174</v>
      </c>
      <c r="S247" s="1" t="s">
        <v>274</v>
      </c>
      <c r="T247" s="1" t="s">
        <v>263</v>
      </c>
      <c r="U247" s="1" t="s">
        <v>261</v>
      </c>
      <c r="V247" s="1" t="s">
        <v>159</v>
      </c>
      <c r="W247" s="1" t="s">
        <v>159</v>
      </c>
      <c r="X247" s="1" t="s">
        <v>160</v>
      </c>
      <c r="Y247" s="1" t="s">
        <v>160</v>
      </c>
      <c r="Z247" s="1" t="s">
        <v>160</v>
      </c>
      <c r="AA247" s="1" t="s">
        <v>159</v>
      </c>
      <c r="AB247" s="1" t="s">
        <v>159</v>
      </c>
      <c r="AC247" s="1" t="s">
        <v>160</v>
      </c>
      <c r="AD247" s="1" t="s">
        <v>160</v>
      </c>
      <c r="AE247" s="1" t="s">
        <v>160</v>
      </c>
      <c r="AF247" s="1" t="s">
        <v>160</v>
      </c>
      <c r="AG247" s="1" t="s">
        <v>160</v>
      </c>
      <c r="AH247" s="1">
        <v>3</v>
      </c>
      <c r="AI247" s="1" t="s">
        <v>160</v>
      </c>
      <c r="AJ247" s="1" t="s">
        <v>163</v>
      </c>
      <c r="AK247" s="1" t="s">
        <v>162</v>
      </c>
      <c r="AL247" s="1" t="s">
        <v>164</v>
      </c>
      <c r="AM247" s="1" t="s">
        <v>192</v>
      </c>
      <c r="AN247" s="1" t="s">
        <v>163</v>
      </c>
      <c r="AO247" s="1" t="s">
        <v>179</v>
      </c>
      <c r="AP247" s="1" t="s">
        <v>179</v>
      </c>
      <c r="AQ247" s="3">
        <v>36596</v>
      </c>
      <c r="AR247" s="1" t="s">
        <v>160</v>
      </c>
      <c r="AS247" s="1" t="s">
        <v>159</v>
      </c>
      <c r="AT247" s="1" t="s">
        <v>180</v>
      </c>
      <c r="AU247" s="1" t="s">
        <v>159</v>
      </c>
      <c r="AV247" s="1" t="s">
        <v>159</v>
      </c>
      <c r="AW247" s="1" t="s">
        <v>159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167</v>
      </c>
      <c r="BC247" s="1" t="s">
        <v>159</v>
      </c>
      <c r="BE247" s="1" t="s">
        <v>1185</v>
      </c>
      <c r="BF247" s="1" t="s">
        <v>159</v>
      </c>
    </row>
    <row r="248" spans="1:59" ht="13" x14ac:dyDescent="0.15">
      <c r="A248" s="2">
        <v>44175.665972222225</v>
      </c>
      <c r="B248" s="2">
        <v>44175.672222222223</v>
      </c>
      <c r="C248" s="1" t="s">
        <v>39</v>
      </c>
      <c r="D248" s="1" t="s">
        <v>1186</v>
      </c>
      <c r="E248" s="1">
        <v>100</v>
      </c>
      <c r="F248" s="1">
        <v>511</v>
      </c>
      <c r="G248" s="1" t="b">
        <v>1</v>
      </c>
      <c r="H248" s="2">
        <v>44175.672222222223</v>
      </c>
      <c r="I248" s="1" t="s">
        <v>1187</v>
      </c>
      <c r="N248" s="1">
        <v>41.848602290000002</v>
      </c>
      <c r="O248" s="1">
        <v>-87.628799439999995</v>
      </c>
      <c r="P248" s="1" t="s">
        <v>153</v>
      </c>
      <c r="Q248" s="1" t="s">
        <v>154</v>
      </c>
      <c r="R248" s="1" t="s">
        <v>155</v>
      </c>
      <c r="S248" s="1" t="s">
        <v>274</v>
      </c>
      <c r="T248" s="1" t="s">
        <v>263</v>
      </c>
      <c r="U248" s="1" t="s">
        <v>1188</v>
      </c>
      <c r="V248" s="1" t="s">
        <v>159</v>
      </c>
      <c r="W248" s="1" t="s">
        <v>160</v>
      </c>
      <c r="X248" s="1" t="s">
        <v>160</v>
      </c>
      <c r="Y248" s="1" t="s">
        <v>160</v>
      </c>
      <c r="Z248" s="1" t="s">
        <v>160</v>
      </c>
      <c r="AA248" s="1" t="s">
        <v>159</v>
      </c>
      <c r="AB248" s="1" t="s">
        <v>160</v>
      </c>
      <c r="AC248" s="1" t="s">
        <v>160</v>
      </c>
      <c r="AD248" s="1" t="s">
        <v>159</v>
      </c>
      <c r="AE248" s="1" t="s">
        <v>160</v>
      </c>
      <c r="AF248" s="1" t="s">
        <v>160</v>
      </c>
      <c r="AG248" s="1" t="s">
        <v>160</v>
      </c>
      <c r="AH248" s="1">
        <v>3</v>
      </c>
      <c r="AI248" s="1" t="s">
        <v>160</v>
      </c>
      <c r="AJ248" s="1" t="s">
        <v>163</v>
      </c>
      <c r="AK248" s="1" t="s">
        <v>163</v>
      </c>
      <c r="AL248" s="1" t="s">
        <v>192</v>
      </c>
      <c r="AM248" s="1" t="s">
        <v>163</v>
      </c>
      <c r="AN248" s="1" t="s">
        <v>163</v>
      </c>
      <c r="AO248" s="1" t="s">
        <v>165</v>
      </c>
      <c r="AP248" s="1" t="s">
        <v>165</v>
      </c>
      <c r="AQ248" s="1">
        <v>2000</v>
      </c>
      <c r="AR248" s="1" t="s">
        <v>160</v>
      </c>
      <c r="AS248" s="1" t="s">
        <v>159</v>
      </c>
      <c r="AT248" s="1" t="s">
        <v>180</v>
      </c>
      <c r="AU248" s="1" t="s">
        <v>159</v>
      </c>
      <c r="AV248" s="1" t="s">
        <v>159</v>
      </c>
      <c r="AW248" s="1" t="s">
        <v>159</v>
      </c>
      <c r="AX248" s="1" t="s">
        <v>159</v>
      </c>
      <c r="AY248" s="1" t="s">
        <v>159</v>
      </c>
      <c r="AZ248" s="1" t="s">
        <v>159</v>
      </c>
      <c r="BA248" s="1" t="s">
        <v>159</v>
      </c>
      <c r="BB248" s="1" t="s">
        <v>167</v>
      </c>
      <c r="BC248" s="1" t="s">
        <v>160</v>
      </c>
      <c r="BD248" s="1" t="s">
        <v>1189</v>
      </c>
      <c r="BE248" s="1" t="s">
        <v>1190</v>
      </c>
      <c r="BF248" s="1" t="s">
        <v>159</v>
      </c>
    </row>
    <row r="249" spans="1:59" ht="13" x14ac:dyDescent="0.15">
      <c r="A249" s="2">
        <v>44175.670138888891</v>
      </c>
      <c r="B249" s="2">
        <v>44175.672222222223</v>
      </c>
      <c r="C249" s="1" t="s">
        <v>39</v>
      </c>
      <c r="D249" s="1" t="s">
        <v>1191</v>
      </c>
      <c r="E249" s="1">
        <v>100</v>
      </c>
      <c r="F249" s="1">
        <v>165</v>
      </c>
      <c r="G249" s="1" t="b">
        <v>1</v>
      </c>
      <c r="H249" s="2">
        <v>44175.672222222223</v>
      </c>
      <c r="I249" s="1" t="s">
        <v>1192</v>
      </c>
      <c r="N249" s="1">
        <v>34.067199709999997</v>
      </c>
      <c r="O249" s="1">
        <v>-118.3016052</v>
      </c>
      <c r="P249" s="1" t="s">
        <v>153</v>
      </c>
      <c r="Q249" s="1" t="s">
        <v>154</v>
      </c>
      <c r="R249" s="1" t="s">
        <v>174</v>
      </c>
      <c r="S249" s="1" t="s">
        <v>208</v>
      </c>
      <c r="T249" s="1" t="s">
        <v>237</v>
      </c>
      <c r="U249" s="1" t="s">
        <v>1171</v>
      </c>
      <c r="V249" s="1" t="s">
        <v>160</v>
      </c>
      <c r="W249" s="1" t="s">
        <v>160</v>
      </c>
      <c r="X249" s="1" t="s">
        <v>160</v>
      </c>
      <c r="Y249" s="1" t="s">
        <v>160</v>
      </c>
      <c r="Z249" s="1" t="s">
        <v>160</v>
      </c>
      <c r="AA249" s="1" t="s">
        <v>160</v>
      </c>
      <c r="AB249" s="1" t="s">
        <v>159</v>
      </c>
      <c r="AC249" s="1" t="s">
        <v>159</v>
      </c>
      <c r="AD249" s="1" t="s">
        <v>159</v>
      </c>
      <c r="AE249" s="1" t="s">
        <v>160</v>
      </c>
      <c r="AF249" s="1" t="s">
        <v>160</v>
      </c>
      <c r="AG249" s="1" t="s">
        <v>160</v>
      </c>
      <c r="AH249" s="1">
        <v>1985</v>
      </c>
      <c r="AI249" s="1" t="s">
        <v>160</v>
      </c>
      <c r="AJ249" s="1" t="s">
        <v>163</v>
      </c>
      <c r="AK249" s="1" t="s">
        <v>192</v>
      </c>
      <c r="AL249" s="1" t="s">
        <v>164</v>
      </c>
      <c r="AM249" s="1" t="s">
        <v>163</v>
      </c>
      <c r="AN249" s="1" t="s">
        <v>192</v>
      </c>
      <c r="AO249" s="1" t="s">
        <v>179</v>
      </c>
      <c r="AP249" s="1" t="s">
        <v>179</v>
      </c>
      <c r="AQ249" s="1">
        <v>1989</v>
      </c>
      <c r="AR249" s="1" t="s">
        <v>160</v>
      </c>
      <c r="AS249" s="1" t="s">
        <v>160</v>
      </c>
      <c r="AT249" s="1" t="s">
        <v>180</v>
      </c>
      <c r="AU249" s="1" t="s">
        <v>159</v>
      </c>
      <c r="AV249" s="1" t="s">
        <v>159</v>
      </c>
      <c r="AW249" s="1" t="s">
        <v>159</v>
      </c>
      <c r="AX249" s="1" t="s">
        <v>159</v>
      </c>
      <c r="AY249" s="1" t="s">
        <v>159</v>
      </c>
      <c r="AZ249" s="1" t="s">
        <v>159</v>
      </c>
      <c r="BA249" s="1" t="s">
        <v>159</v>
      </c>
      <c r="BB249" s="1" t="s">
        <v>222</v>
      </c>
      <c r="BC249" s="1" t="s">
        <v>160</v>
      </c>
      <c r="BE249" s="1" t="s">
        <v>1193</v>
      </c>
      <c r="BF249" s="1" t="s">
        <v>159</v>
      </c>
    </row>
    <row r="250" spans="1:59" ht="13" x14ac:dyDescent="0.15">
      <c r="A250" s="2">
        <v>44175.67083333333</v>
      </c>
      <c r="B250" s="2">
        <v>44175.672222222223</v>
      </c>
      <c r="C250" s="1" t="s">
        <v>39</v>
      </c>
      <c r="D250" s="1" t="s">
        <v>234</v>
      </c>
      <c r="E250" s="1">
        <v>100</v>
      </c>
      <c r="F250" s="1">
        <v>117</v>
      </c>
      <c r="G250" s="1" t="b">
        <v>1</v>
      </c>
      <c r="H250" s="2">
        <v>44175.672222222223</v>
      </c>
      <c r="I250" s="1" t="s">
        <v>1194</v>
      </c>
      <c r="N250" s="1">
        <v>34.048492430000003</v>
      </c>
      <c r="O250" s="1">
        <v>-118.2528992</v>
      </c>
      <c r="P250" s="1" t="s">
        <v>153</v>
      </c>
      <c r="Q250" s="1" t="s">
        <v>154</v>
      </c>
      <c r="R250" s="1" t="s">
        <v>174</v>
      </c>
      <c r="S250" s="1" t="s">
        <v>208</v>
      </c>
      <c r="T250" s="1" t="s">
        <v>245</v>
      </c>
      <c r="U250" s="1" t="s">
        <v>1195</v>
      </c>
      <c r="V250" s="1" t="s">
        <v>160</v>
      </c>
      <c r="W250" s="1" t="s">
        <v>160</v>
      </c>
      <c r="X250" s="1" t="s">
        <v>160</v>
      </c>
      <c r="Y250" s="1" t="s">
        <v>160</v>
      </c>
      <c r="Z250" s="1" t="s">
        <v>160</v>
      </c>
      <c r="AA250" s="1" t="s">
        <v>160</v>
      </c>
      <c r="AB250" s="1" t="s">
        <v>160</v>
      </c>
      <c r="AC250" s="1" t="s">
        <v>160</v>
      </c>
      <c r="AD250" s="1" t="s">
        <v>160</v>
      </c>
      <c r="AE250" s="1" t="s">
        <v>160</v>
      </c>
      <c r="AF250" s="1" t="s">
        <v>160</v>
      </c>
      <c r="AG250" s="1" t="s">
        <v>160</v>
      </c>
      <c r="AI250" s="1" t="s">
        <v>160</v>
      </c>
      <c r="AJ250" s="1" t="s">
        <v>198</v>
      </c>
      <c r="AK250" s="1" t="s">
        <v>198</v>
      </c>
      <c r="AL250" s="1" t="s">
        <v>164</v>
      </c>
      <c r="AM250" s="1" t="s">
        <v>164</v>
      </c>
      <c r="AN250" s="1" t="s">
        <v>192</v>
      </c>
      <c r="AO250" s="1" t="s">
        <v>179</v>
      </c>
      <c r="AP250" s="1" t="s">
        <v>179</v>
      </c>
      <c r="AR250" s="1" t="s">
        <v>160</v>
      </c>
      <c r="AS250" s="1" t="s">
        <v>160</v>
      </c>
      <c r="AT250" s="1" t="s">
        <v>1196</v>
      </c>
      <c r="AU250" s="1" t="s">
        <v>160</v>
      </c>
      <c r="AV250" s="1" t="s">
        <v>160</v>
      </c>
      <c r="AW250" s="1" t="s">
        <v>160</v>
      </c>
      <c r="AX250" s="1" t="s">
        <v>159</v>
      </c>
      <c r="AY250" s="1" t="s">
        <v>160</v>
      </c>
      <c r="AZ250" s="1" t="s">
        <v>159</v>
      </c>
      <c r="BA250" s="1" t="s">
        <v>160</v>
      </c>
      <c r="BB250" s="1" t="s">
        <v>241</v>
      </c>
      <c r="BC250" s="1" t="s">
        <v>160</v>
      </c>
      <c r="BD250" s="1" t="s">
        <v>1197</v>
      </c>
      <c r="BE250" s="1" t="s">
        <v>1198</v>
      </c>
      <c r="BF250" s="1" t="s">
        <v>160</v>
      </c>
    </row>
    <row r="251" spans="1:59" ht="13" x14ac:dyDescent="0.15">
      <c r="A251" s="2">
        <v>44175.666666666664</v>
      </c>
      <c r="B251" s="2">
        <v>44175.672222222223</v>
      </c>
      <c r="C251" s="1" t="s">
        <v>39</v>
      </c>
      <c r="D251" s="1" t="s">
        <v>1199</v>
      </c>
      <c r="E251" s="1">
        <v>100</v>
      </c>
      <c r="F251" s="1">
        <v>496</v>
      </c>
      <c r="G251" s="1" t="b">
        <v>1</v>
      </c>
      <c r="H251" s="2">
        <v>44175.672222222223</v>
      </c>
      <c r="I251" s="1" t="s">
        <v>1200</v>
      </c>
      <c r="N251" s="1">
        <v>37.751007080000001</v>
      </c>
      <c r="O251" s="1">
        <v>-97.821998600000001</v>
      </c>
      <c r="P251" s="1" t="s">
        <v>153</v>
      </c>
      <c r="Q251" s="1" t="s">
        <v>154</v>
      </c>
      <c r="R251" s="1" t="s">
        <v>174</v>
      </c>
      <c r="S251" s="1" t="s">
        <v>208</v>
      </c>
      <c r="T251" s="1" t="s">
        <v>176</v>
      </c>
      <c r="U251" s="1" t="s">
        <v>418</v>
      </c>
      <c r="V251" s="1" t="s">
        <v>160</v>
      </c>
      <c r="W251" s="1" t="s">
        <v>160</v>
      </c>
      <c r="X251" s="1" t="s">
        <v>160</v>
      </c>
      <c r="Y251" s="1" t="s">
        <v>160</v>
      </c>
      <c r="Z251" s="1" t="s">
        <v>160</v>
      </c>
      <c r="AA251" s="1" t="s">
        <v>160</v>
      </c>
      <c r="AB251" s="1" t="s">
        <v>160</v>
      </c>
      <c r="AC251" s="1" t="s">
        <v>160</v>
      </c>
      <c r="AD251" s="1" t="s">
        <v>160</v>
      </c>
      <c r="AE251" s="1" t="s">
        <v>160</v>
      </c>
      <c r="AF251" s="1" t="s">
        <v>160</v>
      </c>
      <c r="AG251" s="1" t="s">
        <v>160</v>
      </c>
      <c r="AH251" s="1">
        <v>3</v>
      </c>
      <c r="AI251" s="1" t="s">
        <v>160</v>
      </c>
      <c r="AJ251" s="1" t="s">
        <v>163</v>
      </c>
      <c r="AK251" s="1" t="s">
        <v>162</v>
      </c>
      <c r="AL251" s="1" t="s">
        <v>163</v>
      </c>
      <c r="AM251" s="1" t="s">
        <v>163</v>
      </c>
      <c r="AN251" s="1" t="s">
        <v>163</v>
      </c>
      <c r="AO251" s="1" t="s">
        <v>179</v>
      </c>
      <c r="AP251" s="1" t="s">
        <v>179</v>
      </c>
      <c r="AQ251" s="1">
        <v>1998</v>
      </c>
      <c r="AR251" s="1" t="s">
        <v>160</v>
      </c>
      <c r="AS251" s="1" t="s">
        <v>160</v>
      </c>
      <c r="AT251" s="1" t="s">
        <v>180</v>
      </c>
      <c r="AU251" s="1" t="s">
        <v>159</v>
      </c>
      <c r="AV251" s="1" t="s">
        <v>159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159</v>
      </c>
      <c r="BB251" s="1" t="s">
        <v>167</v>
      </c>
      <c r="BC251" s="1" t="s">
        <v>160</v>
      </c>
      <c r="BE251" s="1" t="s">
        <v>1201</v>
      </c>
      <c r="BF251" s="1" t="s">
        <v>159</v>
      </c>
    </row>
    <row r="252" spans="1:59" ht="13" x14ac:dyDescent="0.15">
      <c r="A252" s="2">
        <v>44175.671527777777</v>
      </c>
      <c r="B252" s="2">
        <v>44175.67291666667</v>
      </c>
      <c r="C252" s="1" t="s">
        <v>39</v>
      </c>
      <c r="D252" s="1" t="s">
        <v>1202</v>
      </c>
      <c r="E252" s="1">
        <v>100</v>
      </c>
      <c r="F252" s="1">
        <v>130</v>
      </c>
      <c r="G252" s="1" t="b">
        <v>1</v>
      </c>
      <c r="H252" s="2">
        <v>44175.67291666667</v>
      </c>
      <c r="I252" s="1" t="s">
        <v>1203</v>
      </c>
      <c r="N252" s="1">
        <v>37.5625</v>
      </c>
      <c r="O252" s="1">
        <v>-122.0003967</v>
      </c>
      <c r="P252" s="1" t="s">
        <v>153</v>
      </c>
      <c r="Q252" s="1" t="s">
        <v>154</v>
      </c>
      <c r="R252" s="1" t="s">
        <v>174</v>
      </c>
      <c r="S252" s="1" t="s">
        <v>274</v>
      </c>
      <c r="T252" s="1" t="s">
        <v>263</v>
      </c>
      <c r="U252" s="1" t="s">
        <v>1204</v>
      </c>
      <c r="V252" s="1" t="s">
        <v>159</v>
      </c>
      <c r="W252" s="1" t="s">
        <v>160</v>
      </c>
      <c r="X252" s="1" t="s">
        <v>160</v>
      </c>
      <c r="Y252" s="1" t="s">
        <v>160</v>
      </c>
      <c r="Z252" s="1" t="s">
        <v>160</v>
      </c>
      <c r="AA252" s="1" t="s">
        <v>159</v>
      </c>
      <c r="AB252" s="1" t="s">
        <v>160</v>
      </c>
      <c r="AC252" s="1" t="s">
        <v>160</v>
      </c>
      <c r="AD252" s="1" t="s">
        <v>160</v>
      </c>
      <c r="AE252" s="1" t="s">
        <v>160</v>
      </c>
      <c r="AF252" s="1" t="s">
        <v>160</v>
      </c>
      <c r="AG252" s="1" t="s">
        <v>160</v>
      </c>
      <c r="AH252" s="1">
        <v>4</v>
      </c>
      <c r="AI252" s="1" t="s">
        <v>160</v>
      </c>
      <c r="AJ252" s="1" t="s">
        <v>163</v>
      </c>
      <c r="AK252" s="1" t="s">
        <v>162</v>
      </c>
      <c r="AL252" s="1" t="s">
        <v>192</v>
      </c>
      <c r="AM252" s="1" t="s">
        <v>162</v>
      </c>
      <c r="AN252" s="1" t="s">
        <v>192</v>
      </c>
      <c r="AO252" s="1" t="s">
        <v>179</v>
      </c>
      <c r="AP252" s="1" t="s">
        <v>179</v>
      </c>
      <c r="AQ252" s="3">
        <v>37023</v>
      </c>
      <c r="AR252" s="1" t="s">
        <v>160</v>
      </c>
      <c r="AS252" s="1" t="s">
        <v>159</v>
      </c>
      <c r="AT252" s="1" t="s">
        <v>180</v>
      </c>
      <c r="AU252" s="1" t="s">
        <v>159</v>
      </c>
      <c r="AV252" s="1" t="s">
        <v>159</v>
      </c>
      <c r="AW252" s="1" t="s">
        <v>159</v>
      </c>
      <c r="AX252" s="1" t="s">
        <v>159</v>
      </c>
      <c r="AY252" s="1" t="s">
        <v>159</v>
      </c>
      <c r="AZ252" s="1" t="s">
        <v>159</v>
      </c>
      <c r="BA252" s="1" t="s">
        <v>159</v>
      </c>
      <c r="BB252" s="1" t="s">
        <v>181</v>
      </c>
      <c r="BC252" s="1" t="s">
        <v>159</v>
      </c>
      <c r="BE252" s="1" t="s">
        <v>1205</v>
      </c>
      <c r="BF252" s="1" t="s">
        <v>159</v>
      </c>
    </row>
    <row r="253" spans="1:59" ht="13" x14ac:dyDescent="0.15">
      <c r="A253" s="2">
        <v>44175.67291666667</v>
      </c>
      <c r="B253" s="2">
        <v>44175.674305555556</v>
      </c>
      <c r="C253" s="1" t="s">
        <v>39</v>
      </c>
      <c r="D253" s="1" t="s">
        <v>234</v>
      </c>
      <c r="E253" s="1">
        <v>100</v>
      </c>
      <c r="F253" s="1">
        <v>116</v>
      </c>
      <c r="G253" s="1" t="b">
        <v>1</v>
      </c>
      <c r="H253" s="2">
        <v>44175.674305555556</v>
      </c>
      <c r="I253" s="1" t="s">
        <v>1206</v>
      </c>
      <c r="N253" s="1">
        <v>34.048492430000003</v>
      </c>
      <c r="O253" s="1">
        <v>-118.2528992</v>
      </c>
      <c r="P253" s="1" t="s">
        <v>153</v>
      </c>
      <c r="Q253" s="1" t="s">
        <v>154</v>
      </c>
      <c r="R253" s="1" t="s">
        <v>155</v>
      </c>
      <c r="S253" s="1" t="s">
        <v>226</v>
      </c>
      <c r="T253" s="1" t="s">
        <v>245</v>
      </c>
      <c r="U253" s="1" t="s">
        <v>721</v>
      </c>
      <c r="V253" s="1" t="s">
        <v>160</v>
      </c>
      <c r="W253" s="1" t="s">
        <v>160</v>
      </c>
      <c r="X253" s="1" t="s">
        <v>160</v>
      </c>
      <c r="Y253" s="1" t="s">
        <v>160</v>
      </c>
      <c r="Z253" s="1" t="s">
        <v>160</v>
      </c>
      <c r="AA253" s="1" t="s">
        <v>160</v>
      </c>
      <c r="AB253" s="1" t="s">
        <v>160</v>
      </c>
      <c r="AC253" s="1" t="s">
        <v>160</v>
      </c>
      <c r="AD253" s="1" t="s">
        <v>160</v>
      </c>
      <c r="AE253" s="1" t="s">
        <v>160</v>
      </c>
      <c r="AF253" s="1" t="s">
        <v>160</v>
      </c>
      <c r="AG253" s="1" t="s">
        <v>160</v>
      </c>
      <c r="AI253" s="1" t="s">
        <v>160</v>
      </c>
      <c r="AJ253" s="1" t="s">
        <v>163</v>
      </c>
      <c r="AK253" s="1" t="s">
        <v>163</v>
      </c>
      <c r="AL253" s="1" t="s">
        <v>163</v>
      </c>
      <c r="AM253" s="1" t="s">
        <v>192</v>
      </c>
      <c r="AN253" s="1" t="s">
        <v>198</v>
      </c>
      <c r="AO253" s="1" t="s">
        <v>179</v>
      </c>
      <c r="AP253" s="1" t="s">
        <v>239</v>
      </c>
      <c r="AR253" s="1" t="s">
        <v>160</v>
      </c>
      <c r="AS253" s="1" t="s">
        <v>160</v>
      </c>
      <c r="AT253" s="1" t="s">
        <v>1207</v>
      </c>
      <c r="AU253" s="1" t="s">
        <v>160</v>
      </c>
      <c r="AV253" s="1" t="s">
        <v>160</v>
      </c>
      <c r="AW253" s="1" t="s">
        <v>159</v>
      </c>
      <c r="AX253" s="1" t="s">
        <v>160</v>
      </c>
      <c r="AY253" s="1" t="s">
        <v>160</v>
      </c>
      <c r="AZ253" s="1" t="s">
        <v>160</v>
      </c>
      <c r="BA253" s="1" t="s">
        <v>160</v>
      </c>
      <c r="BB253" s="1" t="s">
        <v>181</v>
      </c>
      <c r="BC253" s="1" t="s">
        <v>160</v>
      </c>
      <c r="BD253" s="1" t="s">
        <v>1208</v>
      </c>
      <c r="BE253" s="1" t="s">
        <v>1209</v>
      </c>
      <c r="BF253" s="1" t="s">
        <v>160</v>
      </c>
    </row>
    <row r="254" spans="1:59" ht="13" x14ac:dyDescent="0.15">
      <c r="A254" s="2">
        <v>44175.67291666667</v>
      </c>
      <c r="B254" s="2">
        <v>44175.675000000003</v>
      </c>
      <c r="C254" s="1" t="s">
        <v>39</v>
      </c>
      <c r="D254" s="1" t="s">
        <v>1210</v>
      </c>
      <c r="E254" s="1">
        <v>100</v>
      </c>
      <c r="F254" s="1">
        <v>154</v>
      </c>
      <c r="G254" s="1" t="b">
        <v>1</v>
      </c>
      <c r="H254" s="2">
        <v>44175.675000000003</v>
      </c>
      <c r="I254" s="1" t="s">
        <v>1211</v>
      </c>
      <c r="N254" s="1">
        <v>33.738693240000003</v>
      </c>
      <c r="O254" s="1">
        <v>-78.975196839999995</v>
      </c>
      <c r="P254" s="1" t="s">
        <v>153</v>
      </c>
      <c r="Q254" s="1" t="s">
        <v>154</v>
      </c>
      <c r="R254" s="1" t="s">
        <v>174</v>
      </c>
      <c r="S254" s="1" t="s">
        <v>226</v>
      </c>
      <c r="T254" s="1" t="s">
        <v>176</v>
      </c>
      <c r="U254" s="1" t="s">
        <v>491</v>
      </c>
      <c r="V254" s="1" t="s">
        <v>160</v>
      </c>
      <c r="W254" s="1" t="s">
        <v>160</v>
      </c>
      <c r="X254" s="1" t="s">
        <v>160</v>
      </c>
      <c r="Y254" s="1" t="s">
        <v>160</v>
      </c>
      <c r="Z254" s="1" t="s">
        <v>160</v>
      </c>
      <c r="AA254" s="1" t="s">
        <v>159</v>
      </c>
      <c r="AB254" s="1" t="s">
        <v>159</v>
      </c>
      <c r="AC254" s="1" t="s">
        <v>160</v>
      </c>
      <c r="AD254" s="1" t="s">
        <v>159</v>
      </c>
      <c r="AE254" s="1" t="s">
        <v>160</v>
      </c>
      <c r="AF254" s="1" t="s">
        <v>160</v>
      </c>
      <c r="AG254" s="1" t="s">
        <v>160</v>
      </c>
      <c r="AH254" s="1">
        <v>3</v>
      </c>
      <c r="AI254" s="1" t="s">
        <v>160</v>
      </c>
      <c r="AJ254" s="1" t="s">
        <v>192</v>
      </c>
      <c r="AK254" s="1" t="s">
        <v>162</v>
      </c>
      <c r="AL254" s="1" t="s">
        <v>192</v>
      </c>
      <c r="AM254" s="1" t="s">
        <v>162</v>
      </c>
      <c r="AN254" s="1" t="s">
        <v>163</v>
      </c>
      <c r="AO254" s="1" t="s">
        <v>179</v>
      </c>
      <c r="AP254" s="1" t="s">
        <v>179</v>
      </c>
      <c r="AQ254" s="3">
        <v>36458</v>
      </c>
      <c r="AR254" s="1" t="s">
        <v>160</v>
      </c>
      <c r="AS254" s="1" t="s">
        <v>159</v>
      </c>
      <c r="AT254" s="1" t="s">
        <v>180</v>
      </c>
      <c r="AU254" s="1" t="s">
        <v>159</v>
      </c>
      <c r="AV254" s="1" t="s">
        <v>159</v>
      </c>
      <c r="AW254" s="1" t="s">
        <v>159</v>
      </c>
      <c r="AX254" s="1" t="s">
        <v>159</v>
      </c>
      <c r="AY254" s="1" t="s">
        <v>159</v>
      </c>
      <c r="AZ254" s="1" t="s">
        <v>159</v>
      </c>
      <c r="BA254" s="1" t="s">
        <v>159</v>
      </c>
      <c r="BB254" s="1" t="s">
        <v>167</v>
      </c>
      <c r="BC254" s="1" t="s">
        <v>159</v>
      </c>
      <c r="BE254" s="1" t="s">
        <v>1212</v>
      </c>
      <c r="BF254" s="1" t="s">
        <v>159</v>
      </c>
    </row>
    <row r="255" spans="1:59" ht="13" x14ac:dyDescent="0.15">
      <c r="A255" s="2">
        <v>44175.674305555556</v>
      </c>
      <c r="B255" s="2">
        <v>44175.675694444442</v>
      </c>
      <c r="C255" s="1" t="s">
        <v>39</v>
      </c>
      <c r="D255" s="1" t="s">
        <v>234</v>
      </c>
      <c r="E255" s="1">
        <v>100</v>
      </c>
      <c r="F255" s="1">
        <v>119</v>
      </c>
      <c r="G255" s="1" t="b">
        <v>1</v>
      </c>
      <c r="H255" s="2">
        <v>44175.675694444442</v>
      </c>
      <c r="I255" s="1" t="s">
        <v>1213</v>
      </c>
      <c r="N255" s="1">
        <v>34.048492430000003</v>
      </c>
      <c r="O255" s="1">
        <v>-118.2528992</v>
      </c>
      <c r="P255" s="1" t="s">
        <v>153</v>
      </c>
      <c r="Q255" s="1" t="s">
        <v>154</v>
      </c>
      <c r="R255" s="1" t="s">
        <v>236</v>
      </c>
      <c r="S255" s="1" t="s">
        <v>208</v>
      </c>
      <c r="T255" s="1" t="s">
        <v>263</v>
      </c>
      <c r="U255" s="1" t="s">
        <v>1214</v>
      </c>
      <c r="V255" s="1" t="s">
        <v>160</v>
      </c>
      <c r="W255" s="1" t="s">
        <v>160</v>
      </c>
      <c r="X255" s="1" t="s">
        <v>160</v>
      </c>
      <c r="Y255" s="1" t="s">
        <v>160</v>
      </c>
      <c r="Z255" s="1" t="s">
        <v>160</v>
      </c>
      <c r="AA255" s="1" t="s">
        <v>160</v>
      </c>
      <c r="AB255" s="1" t="s">
        <v>160</v>
      </c>
      <c r="AC255" s="1" t="s">
        <v>160</v>
      </c>
      <c r="AD255" s="1" t="s">
        <v>160</v>
      </c>
      <c r="AE255" s="1" t="s">
        <v>160</v>
      </c>
      <c r="AF255" s="1" t="s">
        <v>160</v>
      </c>
      <c r="AG255" s="1" t="s">
        <v>160</v>
      </c>
      <c r="AI255" s="1" t="s">
        <v>160</v>
      </c>
      <c r="AJ255" s="1" t="s">
        <v>164</v>
      </c>
      <c r="AK255" s="1" t="s">
        <v>198</v>
      </c>
      <c r="AL255" s="1" t="s">
        <v>198</v>
      </c>
      <c r="AM255" s="1" t="s">
        <v>192</v>
      </c>
      <c r="AN255" s="1" t="s">
        <v>164</v>
      </c>
      <c r="AO255" s="1" t="s">
        <v>179</v>
      </c>
      <c r="AP255" s="1" t="s">
        <v>179</v>
      </c>
      <c r="AR255" s="1" t="s">
        <v>160</v>
      </c>
      <c r="AS255" s="1" t="s">
        <v>160</v>
      </c>
      <c r="AT255" s="1" t="s">
        <v>180</v>
      </c>
      <c r="AU255" s="1" t="s">
        <v>160</v>
      </c>
      <c r="AV255" s="1" t="s">
        <v>159</v>
      </c>
      <c r="AW255" s="1" t="s">
        <v>159</v>
      </c>
      <c r="AX255" s="1" t="s">
        <v>160</v>
      </c>
      <c r="AY255" s="1" t="s">
        <v>159</v>
      </c>
      <c r="AZ255" s="1" t="s">
        <v>160</v>
      </c>
      <c r="BA255" s="1" t="s">
        <v>159</v>
      </c>
      <c r="BB255" s="1" t="s">
        <v>222</v>
      </c>
      <c r="BC255" s="1" t="s">
        <v>160</v>
      </c>
      <c r="BD255" s="1" t="s">
        <v>1215</v>
      </c>
      <c r="BE255" s="1" t="s">
        <v>1216</v>
      </c>
      <c r="BF255" s="1" t="s">
        <v>160</v>
      </c>
    </row>
    <row r="256" spans="1:59" ht="13" x14ac:dyDescent="0.15">
      <c r="A256" s="2">
        <v>44175.675000000003</v>
      </c>
      <c r="B256" s="2">
        <v>44175.676388888889</v>
      </c>
      <c r="C256" s="1" t="s">
        <v>39</v>
      </c>
      <c r="D256" s="1" t="s">
        <v>1217</v>
      </c>
      <c r="E256" s="1">
        <v>100</v>
      </c>
      <c r="F256" s="1">
        <v>127</v>
      </c>
      <c r="G256" s="1" t="b">
        <v>1</v>
      </c>
      <c r="H256" s="2">
        <v>44175.676388888889</v>
      </c>
      <c r="I256" s="1" t="s">
        <v>1218</v>
      </c>
      <c r="N256" s="1">
        <v>40.636795040000003</v>
      </c>
      <c r="O256" s="1">
        <v>-74.000503539999997</v>
      </c>
      <c r="P256" s="1" t="s">
        <v>153</v>
      </c>
      <c r="Q256" s="1" t="s">
        <v>154</v>
      </c>
      <c r="R256" s="1" t="s">
        <v>174</v>
      </c>
      <c r="S256" s="1" t="s">
        <v>274</v>
      </c>
      <c r="T256" s="1" t="s">
        <v>176</v>
      </c>
      <c r="U256" s="1" t="s">
        <v>491</v>
      </c>
      <c r="V256" s="1" t="s">
        <v>160</v>
      </c>
      <c r="W256" s="1" t="s">
        <v>160</v>
      </c>
      <c r="X256" s="1" t="s">
        <v>160</v>
      </c>
      <c r="Y256" s="1" t="s">
        <v>160</v>
      </c>
      <c r="Z256" s="1" t="s">
        <v>160</v>
      </c>
      <c r="AA256" s="1" t="s">
        <v>159</v>
      </c>
      <c r="AB256" s="1" t="s">
        <v>159</v>
      </c>
      <c r="AC256" s="1" t="s">
        <v>160</v>
      </c>
      <c r="AD256" s="1" t="s">
        <v>160</v>
      </c>
      <c r="AE256" s="1" t="s">
        <v>160</v>
      </c>
      <c r="AF256" s="1" t="s">
        <v>160</v>
      </c>
      <c r="AG256" s="1" t="s">
        <v>160</v>
      </c>
      <c r="AH256" s="1">
        <v>4</v>
      </c>
      <c r="AI256" s="1" t="s">
        <v>160</v>
      </c>
      <c r="AJ256" s="1" t="s">
        <v>163</v>
      </c>
      <c r="AK256" s="1" t="s">
        <v>163</v>
      </c>
      <c r="AL256" s="1" t="s">
        <v>192</v>
      </c>
      <c r="AM256" s="1" t="s">
        <v>162</v>
      </c>
      <c r="AN256" s="1" t="s">
        <v>163</v>
      </c>
      <c r="AO256" s="1" t="s">
        <v>179</v>
      </c>
      <c r="AP256" s="1" t="s">
        <v>179</v>
      </c>
      <c r="AQ256" s="3">
        <v>36290</v>
      </c>
      <c r="AR256" s="1" t="s">
        <v>160</v>
      </c>
      <c r="AS256" s="1" t="s">
        <v>159</v>
      </c>
      <c r="AT256" s="1" t="s">
        <v>180</v>
      </c>
      <c r="AU256" s="1" t="s">
        <v>159</v>
      </c>
      <c r="AV256" s="1" t="s">
        <v>159</v>
      </c>
      <c r="AW256" s="1" t="s">
        <v>159</v>
      </c>
      <c r="AX256" s="1" t="s">
        <v>159</v>
      </c>
      <c r="AY256" s="1" t="s">
        <v>159</v>
      </c>
      <c r="AZ256" s="1" t="s">
        <v>159</v>
      </c>
      <c r="BA256" s="1" t="s">
        <v>159</v>
      </c>
      <c r="BB256" s="1" t="s">
        <v>167</v>
      </c>
      <c r="BC256" s="1" t="s">
        <v>159</v>
      </c>
      <c r="BE256" s="1" t="s">
        <v>1219</v>
      </c>
      <c r="BF256" s="1" t="s">
        <v>159</v>
      </c>
    </row>
    <row r="257" spans="1:59" ht="13" x14ac:dyDescent="0.15">
      <c r="A257" s="2">
        <v>44175.675694444442</v>
      </c>
      <c r="B257" s="2">
        <v>44175.677083333336</v>
      </c>
      <c r="C257" s="1" t="s">
        <v>39</v>
      </c>
      <c r="D257" s="1" t="s">
        <v>234</v>
      </c>
      <c r="E257" s="1">
        <v>100</v>
      </c>
      <c r="F257" s="1">
        <v>120</v>
      </c>
      <c r="G257" s="1" t="b">
        <v>1</v>
      </c>
      <c r="H257" s="2">
        <v>44175.677083333336</v>
      </c>
      <c r="I257" s="1" t="s">
        <v>1220</v>
      </c>
      <c r="N257" s="1">
        <v>34.048492430000003</v>
      </c>
      <c r="O257" s="1">
        <v>-118.2528992</v>
      </c>
      <c r="P257" s="1" t="s">
        <v>153</v>
      </c>
      <c r="Q257" s="1" t="s">
        <v>154</v>
      </c>
      <c r="R257" s="1" t="s">
        <v>236</v>
      </c>
      <c r="S257" s="1" t="s">
        <v>226</v>
      </c>
      <c r="T257" s="1" t="s">
        <v>176</v>
      </c>
      <c r="U257" s="1" t="s">
        <v>1171</v>
      </c>
      <c r="V257" s="1" t="s">
        <v>160</v>
      </c>
      <c r="W257" s="1" t="s">
        <v>160</v>
      </c>
      <c r="X257" s="1" t="s">
        <v>160</v>
      </c>
      <c r="Y257" s="1" t="s">
        <v>160</v>
      </c>
      <c r="Z257" s="1" t="s">
        <v>160</v>
      </c>
      <c r="AA257" s="1" t="s">
        <v>160</v>
      </c>
      <c r="AB257" s="1" t="s">
        <v>160</v>
      </c>
      <c r="AC257" s="1" t="s">
        <v>160</v>
      </c>
      <c r="AD257" s="1" t="s">
        <v>160</v>
      </c>
      <c r="AE257" s="1" t="s">
        <v>160</v>
      </c>
      <c r="AF257" s="1" t="s">
        <v>160</v>
      </c>
      <c r="AG257" s="1" t="s">
        <v>160</v>
      </c>
      <c r="AI257" s="1" t="s">
        <v>160</v>
      </c>
      <c r="AJ257" s="1" t="s">
        <v>164</v>
      </c>
      <c r="AK257" s="1" t="s">
        <v>163</v>
      </c>
      <c r="AL257" s="1" t="s">
        <v>198</v>
      </c>
      <c r="AM257" s="1" t="s">
        <v>192</v>
      </c>
      <c r="AN257" s="1" t="s">
        <v>164</v>
      </c>
      <c r="AO257" s="1" t="s">
        <v>179</v>
      </c>
      <c r="AP257" s="1" t="s">
        <v>165</v>
      </c>
      <c r="AR257" s="1" t="s">
        <v>160</v>
      </c>
      <c r="AS257" s="1" t="s">
        <v>160</v>
      </c>
      <c r="AT257" s="1" t="s">
        <v>548</v>
      </c>
      <c r="AU257" s="1" t="s">
        <v>159</v>
      </c>
      <c r="AV257" s="1" t="s">
        <v>159</v>
      </c>
      <c r="AW257" s="1" t="s">
        <v>160</v>
      </c>
      <c r="AX257" s="1" t="s">
        <v>160</v>
      </c>
      <c r="AY257" s="1" t="s">
        <v>159</v>
      </c>
      <c r="AZ257" s="1" t="s">
        <v>159</v>
      </c>
      <c r="BA257" s="1" t="s">
        <v>160</v>
      </c>
      <c r="BB257" s="1" t="s">
        <v>222</v>
      </c>
      <c r="BC257" s="1" t="s">
        <v>160</v>
      </c>
      <c r="BD257" s="1" t="s">
        <v>1221</v>
      </c>
      <c r="BE257" s="1" t="s">
        <v>1222</v>
      </c>
      <c r="BF257" s="1" t="s">
        <v>160</v>
      </c>
    </row>
    <row r="258" spans="1:59" ht="13" x14ac:dyDescent="0.15">
      <c r="A258" s="2">
        <v>44175.677083333336</v>
      </c>
      <c r="B258" s="2">
        <v>44175.678472222222</v>
      </c>
      <c r="C258" s="1" t="s">
        <v>39</v>
      </c>
      <c r="D258" s="1" t="s">
        <v>1223</v>
      </c>
      <c r="E258" s="1">
        <v>100</v>
      </c>
      <c r="F258" s="1">
        <v>134</v>
      </c>
      <c r="G258" s="1" t="b">
        <v>1</v>
      </c>
      <c r="H258" s="2">
        <v>44175.678472222222</v>
      </c>
      <c r="I258" s="1" t="s">
        <v>1224</v>
      </c>
      <c r="N258" s="1">
        <v>36.071105959999997</v>
      </c>
      <c r="O258" s="1">
        <v>-86.719596859999996</v>
      </c>
      <c r="P258" s="1" t="s">
        <v>153</v>
      </c>
      <c r="Q258" s="1" t="s">
        <v>154</v>
      </c>
      <c r="R258" s="1" t="s">
        <v>174</v>
      </c>
      <c r="S258" s="1" t="s">
        <v>274</v>
      </c>
      <c r="T258" s="1" t="s">
        <v>176</v>
      </c>
      <c r="U258" s="1" t="s">
        <v>491</v>
      </c>
      <c r="V258" s="1" t="s">
        <v>159</v>
      </c>
      <c r="W258" s="1" t="s">
        <v>160</v>
      </c>
      <c r="X258" s="1" t="s">
        <v>160</v>
      </c>
      <c r="Y258" s="1" t="s">
        <v>160</v>
      </c>
      <c r="Z258" s="1" t="s">
        <v>159</v>
      </c>
      <c r="AA258" s="1" t="s">
        <v>159</v>
      </c>
      <c r="AB258" s="1" t="s">
        <v>159</v>
      </c>
      <c r="AC258" s="1" t="s">
        <v>160</v>
      </c>
      <c r="AD258" s="1" t="s">
        <v>159</v>
      </c>
      <c r="AE258" s="1" t="s">
        <v>160</v>
      </c>
      <c r="AF258" s="1" t="s">
        <v>160</v>
      </c>
      <c r="AG258" s="1" t="s">
        <v>160</v>
      </c>
      <c r="AH258" s="1">
        <v>3</v>
      </c>
      <c r="AI258" s="1" t="s">
        <v>160</v>
      </c>
      <c r="AJ258" s="1" t="s">
        <v>162</v>
      </c>
      <c r="AK258" s="1" t="s">
        <v>192</v>
      </c>
      <c r="AL258" s="1" t="s">
        <v>162</v>
      </c>
      <c r="AM258" s="1" t="s">
        <v>164</v>
      </c>
      <c r="AN258" s="1" t="s">
        <v>162</v>
      </c>
      <c r="AO258" s="1" t="s">
        <v>179</v>
      </c>
      <c r="AP258" s="1" t="s">
        <v>179</v>
      </c>
      <c r="AQ258" s="3">
        <v>37186</v>
      </c>
      <c r="AR258" s="1" t="s">
        <v>160</v>
      </c>
      <c r="AS258" s="1" t="s">
        <v>159</v>
      </c>
      <c r="AT258" s="1" t="s">
        <v>180</v>
      </c>
      <c r="AU258" s="1" t="s">
        <v>159</v>
      </c>
      <c r="AV258" s="1" t="s">
        <v>159</v>
      </c>
      <c r="AW258" s="1" t="s">
        <v>159</v>
      </c>
      <c r="AX258" s="1" t="s">
        <v>159</v>
      </c>
      <c r="AY258" s="1" t="s">
        <v>159</v>
      </c>
      <c r="AZ258" s="1" t="s">
        <v>159</v>
      </c>
      <c r="BA258" s="1" t="s">
        <v>159</v>
      </c>
      <c r="BB258" s="1" t="s">
        <v>167</v>
      </c>
      <c r="BC258" s="1" t="s">
        <v>159</v>
      </c>
      <c r="BE258" s="1" t="s">
        <v>1225</v>
      </c>
      <c r="BF258" s="1" t="s">
        <v>159</v>
      </c>
    </row>
    <row r="259" spans="1:59" ht="13" x14ac:dyDescent="0.15">
      <c r="A259" s="2">
        <v>44175.678472222222</v>
      </c>
      <c r="B259" s="2">
        <v>44175.679861111108</v>
      </c>
      <c r="C259" s="1" t="s">
        <v>39</v>
      </c>
      <c r="D259" s="1" t="s">
        <v>978</v>
      </c>
      <c r="E259" s="1">
        <v>100</v>
      </c>
      <c r="F259" s="1">
        <v>111</v>
      </c>
      <c r="G259" s="1" t="b">
        <v>1</v>
      </c>
      <c r="H259" s="2">
        <v>44175.679861111108</v>
      </c>
      <c r="I259" s="1" t="s">
        <v>1226</v>
      </c>
      <c r="N259" s="1">
        <v>32.69169617</v>
      </c>
      <c r="O259" s="1">
        <v>-117.11509700000001</v>
      </c>
      <c r="P259" s="1" t="s">
        <v>153</v>
      </c>
      <c r="Q259" s="1" t="s">
        <v>154</v>
      </c>
      <c r="R259" s="1" t="s">
        <v>174</v>
      </c>
      <c r="S259" s="1" t="s">
        <v>274</v>
      </c>
      <c r="T259" s="1" t="s">
        <v>157</v>
      </c>
      <c r="U259" s="1" t="s">
        <v>1204</v>
      </c>
      <c r="V259" s="1" t="s">
        <v>160</v>
      </c>
      <c r="W259" s="1" t="s">
        <v>160</v>
      </c>
      <c r="X259" s="1" t="s">
        <v>160</v>
      </c>
      <c r="Y259" s="1" t="s">
        <v>160</v>
      </c>
      <c r="Z259" s="1" t="s">
        <v>159</v>
      </c>
      <c r="AA259" s="1" t="s">
        <v>159</v>
      </c>
      <c r="AB259" s="1" t="s">
        <v>160</v>
      </c>
      <c r="AC259" s="1" t="s">
        <v>160</v>
      </c>
      <c r="AD259" s="1" t="s">
        <v>160</v>
      </c>
      <c r="AE259" s="1" t="s">
        <v>160</v>
      </c>
      <c r="AF259" s="1" t="s">
        <v>160</v>
      </c>
      <c r="AG259" s="1" t="s">
        <v>160</v>
      </c>
      <c r="AH259" s="1">
        <v>3</v>
      </c>
      <c r="AI259" s="1" t="s">
        <v>160</v>
      </c>
      <c r="AJ259" s="1" t="s">
        <v>162</v>
      </c>
      <c r="AK259" s="1" t="s">
        <v>192</v>
      </c>
      <c r="AL259" s="1" t="s">
        <v>163</v>
      </c>
      <c r="AM259" s="1" t="s">
        <v>164</v>
      </c>
      <c r="AN259" s="1" t="s">
        <v>192</v>
      </c>
      <c r="AO259" s="1" t="s">
        <v>165</v>
      </c>
      <c r="AP259" s="1" t="s">
        <v>165</v>
      </c>
      <c r="AQ259" s="3">
        <v>36313</v>
      </c>
      <c r="AR259" s="1" t="s">
        <v>160</v>
      </c>
      <c r="AS259" s="1" t="s">
        <v>159</v>
      </c>
      <c r="AT259" s="1" t="s">
        <v>180</v>
      </c>
      <c r="AU259" s="1" t="s">
        <v>159</v>
      </c>
      <c r="AV259" s="1" t="s">
        <v>159</v>
      </c>
      <c r="AW259" s="1" t="s">
        <v>159</v>
      </c>
      <c r="AX259" s="1" t="s">
        <v>159</v>
      </c>
      <c r="AY259" s="1" t="s">
        <v>159</v>
      </c>
      <c r="AZ259" s="1" t="s">
        <v>159</v>
      </c>
      <c r="BA259" s="1" t="s">
        <v>159</v>
      </c>
      <c r="BB259" s="1" t="s">
        <v>181</v>
      </c>
      <c r="BC259" s="1" t="s">
        <v>159</v>
      </c>
      <c r="BE259" s="1" t="s">
        <v>1227</v>
      </c>
      <c r="BF259" s="1" t="s">
        <v>159</v>
      </c>
    </row>
    <row r="260" spans="1:59" ht="13" x14ac:dyDescent="0.15">
      <c r="A260" s="2">
        <v>44175.705555555556</v>
      </c>
      <c r="B260" s="2">
        <v>44175.709722222222</v>
      </c>
      <c r="C260" s="1" t="s">
        <v>39</v>
      </c>
      <c r="D260" s="1" t="s">
        <v>1228</v>
      </c>
      <c r="E260" s="1">
        <v>100</v>
      </c>
      <c r="F260" s="1">
        <v>352</v>
      </c>
      <c r="G260" s="1" t="b">
        <v>1</v>
      </c>
      <c r="H260" s="2">
        <v>44175.709722222222</v>
      </c>
      <c r="I260" s="1" t="s">
        <v>1229</v>
      </c>
      <c r="N260" s="1">
        <v>23.030807500000002</v>
      </c>
      <c r="O260" s="1">
        <v>113.7174072</v>
      </c>
      <c r="P260" s="1" t="s">
        <v>153</v>
      </c>
      <c r="Q260" s="1" t="s">
        <v>154</v>
      </c>
      <c r="R260" s="1" t="s">
        <v>174</v>
      </c>
      <c r="S260" s="1" t="s">
        <v>208</v>
      </c>
      <c r="T260" s="1" t="s">
        <v>263</v>
      </c>
      <c r="U260" s="1" t="s">
        <v>701</v>
      </c>
      <c r="V260" s="1" t="s">
        <v>159</v>
      </c>
      <c r="W260" s="1" t="s">
        <v>159</v>
      </c>
      <c r="X260" s="1" t="s">
        <v>159</v>
      </c>
      <c r="Y260" s="1" t="s">
        <v>159</v>
      </c>
      <c r="Z260" s="1" t="s">
        <v>160</v>
      </c>
      <c r="AA260" s="1" t="s">
        <v>160</v>
      </c>
      <c r="AB260" s="1" t="s">
        <v>160</v>
      </c>
      <c r="AC260" s="1" t="s">
        <v>160</v>
      </c>
      <c r="AD260" s="1" t="s">
        <v>160</v>
      </c>
      <c r="AE260" s="1" t="s">
        <v>160</v>
      </c>
      <c r="AF260" s="1" t="s">
        <v>159</v>
      </c>
      <c r="AG260" s="1" t="s">
        <v>159</v>
      </c>
      <c r="AH260" s="1">
        <v>1</v>
      </c>
      <c r="AI260" s="1" t="s">
        <v>159</v>
      </c>
      <c r="AJ260" s="1" t="s">
        <v>192</v>
      </c>
      <c r="AK260" s="1" t="s">
        <v>164</v>
      </c>
      <c r="AL260" s="1" t="s">
        <v>164</v>
      </c>
      <c r="AM260" s="1" t="s">
        <v>192</v>
      </c>
      <c r="AN260" s="1" t="s">
        <v>192</v>
      </c>
      <c r="AO260" s="1" t="s">
        <v>179</v>
      </c>
      <c r="AP260" s="1" t="s">
        <v>165</v>
      </c>
      <c r="AQ260" s="1">
        <v>2000</v>
      </c>
      <c r="AR260" s="1" t="s">
        <v>160</v>
      </c>
      <c r="AS260" s="1" t="s">
        <v>159</v>
      </c>
      <c r="AT260" s="1" t="s">
        <v>180</v>
      </c>
      <c r="AU260" s="1" t="s">
        <v>159</v>
      </c>
      <c r="AV260" s="1" t="s">
        <v>159</v>
      </c>
      <c r="AW260" s="1" t="s">
        <v>159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167</v>
      </c>
      <c r="BC260" s="1" t="s">
        <v>159</v>
      </c>
      <c r="BD260" s="1" t="s">
        <v>182</v>
      </c>
      <c r="BE260" s="1" t="s">
        <v>1230</v>
      </c>
      <c r="BF260" s="1" t="s">
        <v>160</v>
      </c>
      <c r="BG260" s="1" t="s">
        <v>1231</v>
      </c>
    </row>
    <row r="261" spans="1:59" ht="13" x14ac:dyDescent="0.15">
      <c r="A261" s="2">
        <v>44175.714583333334</v>
      </c>
      <c r="B261" s="2">
        <v>44175.71597222222</v>
      </c>
      <c r="C261" s="1" t="s">
        <v>39</v>
      </c>
      <c r="D261" s="1" t="s">
        <v>234</v>
      </c>
      <c r="E261" s="1">
        <v>100</v>
      </c>
      <c r="F261" s="1">
        <v>117</v>
      </c>
      <c r="G261" s="1" t="b">
        <v>1</v>
      </c>
      <c r="H261" s="2">
        <v>44175.71597222222</v>
      </c>
      <c r="I261" s="1" t="s">
        <v>1232</v>
      </c>
      <c r="N261" s="1">
        <v>34.048492430000003</v>
      </c>
      <c r="O261" s="1">
        <v>-118.2528992</v>
      </c>
      <c r="P261" s="1" t="s">
        <v>153</v>
      </c>
      <c r="Q261" s="1" t="s">
        <v>154</v>
      </c>
      <c r="R261" s="1" t="s">
        <v>155</v>
      </c>
      <c r="S261" s="1" t="s">
        <v>274</v>
      </c>
      <c r="T261" s="1" t="s">
        <v>157</v>
      </c>
      <c r="U261" s="1" t="s">
        <v>1233</v>
      </c>
      <c r="V261" s="1" t="s">
        <v>160</v>
      </c>
      <c r="W261" s="1" t="s">
        <v>160</v>
      </c>
      <c r="X261" s="1" t="s">
        <v>160</v>
      </c>
      <c r="Y261" s="1" t="s">
        <v>160</v>
      </c>
      <c r="Z261" s="1" t="s">
        <v>160</v>
      </c>
      <c r="AA261" s="1" t="s">
        <v>160</v>
      </c>
      <c r="AB261" s="1" t="s">
        <v>160</v>
      </c>
      <c r="AC261" s="1" t="s">
        <v>160</v>
      </c>
      <c r="AD261" s="1" t="s">
        <v>160</v>
      </c>
      <c r="AE261" s="1" t="s">
        <v>160</v>
      </c>
      <c r="AF261" s="1" t="s">
        <v>160</v>
      </c>
      <c r="AG261" s="1" t="s">
        <v>160</v>
      </c>
      <c r="AI261" s="1" t="s">
        <v>160</v>
      </c>
      <c r="AJ261" s="1" t="s">
        <v>164</v>
      </c>
      <c r="AK261" s="1" t="s">
        <v>198</v>
      </c>
      <c r="AL261" s="1" t="s">
        <v>198</v>
      </c>
      <c r="AM261" s="1" t="s">
        <v>198</v>
      </c>
      <c r="AN261" s="1" t="s">
        <v>192</v>
      </c>
      <c r="AO261" s="1" t="s">
        <v>179</v>
      </c>
      <c r="AP261" s="1" t="s">
        <v>165</v>
      </c>
      <c r="AR261" s="1" t="s">
        <v>160</v>
      </c>
      <c r="AS261" s="1" t="s">
        <v>160</v>
      </c>
      <c r="AT261" s="1" t="s">
        <v>1234</v>
      </c>
      <c r="AU261" s="1" t="s">
        <v>160</v>
      </c>
      <c r="AV261" s="1" t="s">
        <v>160</v>
      </c>
      <c r="AW261" s="1" t="s">
        <v>160</v>
      </c>
      <c r="AX261" s="1" t="s">
        <v>159</v>
      </c>
      <c r="AY261" s="1" t="s">
        <v>160</v>
      </c>
      <c r="AZ261" s="1" t="s">
        <v>159</v>
      </c>
      <c r="BA261" s="1" t="s">
        <v>160</v>
      </c>
      <c r="BB261" s="1" t="s">
        <v>167</v>
      </c>
      <c r="BC261" s="1" t="s">
        <v>160</v>
      </c>
      <c r="BD261" s="1" t="s">
        <v>1235</v>
      </c>
      <c r="BE261" s="1" t="s">
        <v>1236</v>
      </c>
      <c r="BF261" s="1" t="s">
        <v>160</v>
      </c>
    </row>
    <row r="262" spans="1:59" ht="13" x14ac:dyDescent="0.15">
      <c r="A262" s="2">
        <v>44175.71597222222</v>
      </c>
      <c r="B262" s="2">
        <v>44175.717361111114</v>
      </c>
      <c r="C262" s="1" t="s">
        <v>39</v>
      </c>
      <c r="D262" s="1" t="s">
        <v>234</v>
      </c>
      <c r="E262" s="1">
        <v>100</v>
      </c>
      <c r="F262" s="1">
        <v>121</v>
      </c>
      <c r="G262" s="1" t="b">
        <v>1</v>
      </c>
      <c r="H262" s="2">
        <v>44175.717361111114</v>
      </c>
      <c r="I262" s="1" t="s">
        <v>1237</v>
      </c>
      <c r="N262" s="1">
        <v>34.048492430000003</v>
      </c>
      <c r="O262" s="1">
        <v>-118.2528992</v>
      </c>
      <c r="P262" s="1" t="s">
        <v>153</v>
      </c>
      <c r="Q262" s="1" t="s">
        <v>154</v>
      </c>
      <c r="R262" s="1" t="s">
        <v>155</v>
      </c>
      <c r="S262" s="1" t="s">
        <v>226</v>
      </c>
      <c r="T262" s="1" t="s">
        <v>157</v>
      </c>
      <c r="U262" s="1" t="s">
        <v>294</v>
      </c>
      <c r="V262" s="1" t="s">
        <v>160</v>
      </c>
      <c r="W262" s="1" t="s">
        <v>160</v>
      </c>
      <c r="X262" s="1" t="s">
        <v>160</v>
      </c>
      <c r="Y262" s="1" t="s">
        <v>160</v>
      </c>
      <c r="Z262" s="1" t="s">
        <v>160</v>
      </c>
      <c r="AA262" s="1" t="s">
        <v>160</v>
      </c>
      <c r="AB262" s="1" t="s">
        <v>160</v>
      </c>
      <c r="AC262" s="1" t="s">
        <v>160</v>
      </c>
      <c r="AD262" s="1" t="s">
        <v>160</v>
      </c>
      <c r="AE262" s="1" t="s">
        <v>160</v>
      </c>
      <c r="AF262" s="1" t="s">
        <v>160</v>
      </c>
      <c r="AG262" s="1" t="s">
        <v>160</v>
      </c>
      <c r="AI262" s="1" t="s">
        <v>160</v>
      </c>
      <c r="AJ262" s="1" t="s">
        <v>163</v>
      </c>
      <c r="AK262" s="1" t="s">
        <v>192</v>
      </c>
      <c r="AL262" s="1" t="s">
        <v>192</v>
      </c>
      <c r="AM262" s="1" t="s">
        <v>163</v>
      </c>
      <c r="AN262" s="1" t="s">
        <v>164</v>
      </c>
      <c r="AO262" s="1" t="s">
        <v>179</v>
      </c>
      <c r="AP262" s="1" t="s">
        <v>179</v>
      </c>
      <c r="AR262" s="1" t="s">
        <v>160</v>
      </c>
      <c r="AS262" s="1" t="s">
        <v>160</v>
      </c>
      <c r="AT262" s="1" t="s">
        <v>210</v>
      </c>
      <c r="AU262" s="1" t="s">
        <v>160</v>
      </c>
      <c r="AV262" s="1" t="s">
        <v>160</v>
      </c>
      <c r="AW262" s="1" t="s">
        <v>160</v>
      </c>
      <c r="AX262" s="1" t="s">
        <v>160</v>
      </c>
      <c r="AY262" s="1" t="s">
        <v>159</v>
      </c>
      <c r="AZ262" s="1" t="s">
        <v>159</v>
      </c>
      <c r="BA262" s="1" t="s">
        <v>160</v>
      </c>
      <c r="BB262" s="1" t="s">
        <v>241</v>
      </c>
      <c r="BC262" s="1" t="s">
        <v>160</v>
      </c>
      <c r="BD262" s="1" t="s">
        <v>1238</v>
      </c>
      <c r="BE262" s="1" t="s">
        <v>1239</v>
      </c>
      <c r="BF262" s="1" t="s">
        <v>160</v>
      </c>
    </row>
    <row r="263" spans="1:59" ht="13" x14ac:dyDescent="0.15">
      <c r="A263" s="2">
        <v>44175.717361111114</v>
      </c>
      <c r="B263" s="2">
        <v>44175.71875</v>
      </c>
      <c r="C263" s="1" t="s">
        <v>39</v>
      </c>
      <c r="D263" s="1" t="s">
        <v>234</v>
      </c>
      <c r="E263" s="1">
        <v>100</v>
      </c>
      <c r="F263" s="1">
        <v>117</v>
      </c>
      <c r="G263" s="1" t="b">
        <v>1</v>
      </c>
      <c r="H263" s="2">
        <v>44175.71875</v>
      </c>
      <c r="I263" s="1" t="s">
        <v>1240</v>
      </c>
      <c r="N263" s="1">
        <v>34.048492430000003</v>
      </c>
      <c r="O263" s="1">
        <v>-118.2528992</v>
      </c>
      <c r="P263" s="1" t="s">
        <v>153</v>
      </c>
      <c r="Q263" s="1" t="s">
        <v>154</v>
      </c>
      <c r="R263" s="1" t="s">
        <v>236</v>
      </c>
      <c r="S263" s="1" t="s">
        <v>175</v>
      </c>
      <c r="T263" s="1" t="s">
        <v>157</v>
      </c>
      <c r="U263" s="1" t="s">
        <v>1241</v>
      </c>
      <c r="V263" s="1" t="s">
        <v>160</v>
      </c>
      <c r="W263" s="1" t="s">
        <v>160</v>
      </c>
      <c r="X263" s="1" t="s">
        <v>160</v>
      </c>
      <c r="Y263" s="1" t="s">
        <v>160</v>
      </c>
      <c r="Z263" s="1" t="s">
        <v>160</v>
      </c>
      <c r="AA263" s="1" t="s">
        <v>160</v>
      </c>
      <c r="AB263" s="1" t="s">
        <v>160</v>
      </c>
      <c r="AC263" s="1" t="s">
        <v>160</v>
      </c>
      <c r="AD263" s="1" t="s">
        <v>160</v>
      </c>
      <c r="AE263" s="1" t="s">
        <v>160</v>
      </c>
      <c r="AF263" s="1" t="s">
        <v>160</v>
      </c>
      <c r="AG263" s="1" t="s">
        <v>160</v>
      </c>
      <c r="AI263" s="1" t="s">
        <v>160</v>
      </c>
      <c r="AJ263" s="1" t="s">
        <v>164</v>
      </c>
      <c r="AK263" s="1" t="s">
        <v>192</v>
      </c>
      <c r="AL263" s="1" t="s">
        <v>163</v>
      </c>
      <c r="AM263" s="1" t="s">
        <v>192</v>
      </c>
      <c r="AN263" s="1" t="s">
        <v>192</v>
      </c>
      <c r="AO263" s="1" t="s">
        <v>179</v>
      </c>
      <c r="AP263" s="1" t="s">
        <v>179</v>
      </c>
      <c r="AR263" s="1" t="s">
        <v>160</v>
      </c>
      <c r="AS263" s="1" t="s">
        <v>160</v>
      </c>
      <c r="AT263" s="1" t="s">
        <v>1242</v>
      </c>
      <c r="AU263" s="1" t="s">
        <v>159</v>
      </c>
      <c r="AV263" s="1" t="s">
        <v>160</v>
      </c>
      <c r="AW263" s="1" t="s">
        <v>159</v>
      </c>
      <c r="AX263" s="1" t="s">
        <v>160</v>
      </c>
      <c r="AY263" s="1" t="s">
        <v>160</v>
      </c>
      <c r="AZ263" s="1" t="s">
        <v>160</v>
      </c>
      <c r="BA263" s="1" t="s">
        <v>159</v>
      </c>
      <c r="BB263" s="1" t="s">
        <v>181</v>
      </c>
      <c r="BC263" s="1" t="s">
        <v>160</v>
      </c>
      <c r="BD263" s="1" t="s">
        <v>1243</v>
      </c>
      <c r="BE263" s="1" t="s">
        <v>1244</v>
      </c>
      <c r="BF263" s="1" t="s">
        <v>160</v>
      </c>
    </row>
    <row r="264" spans="1:59" ht="13" x14ac:dyDescent="0.15">
      <c r="A264" s="2">
        <v>44175.719444444447</v>
      </c>
      <c r="B264" s="2">
        <v>44175.720833333333</v>
      </c>
      <c r="C264" s="1" t="s">
        <v>39</v>
      </c>
      <c r="D264" s="1" t="s">
        <v>234</v>
      </c>
      <c r="E264" s="1">
        <v>100</v>
      </c>
      <c r="F264" s="1">
        <v>116</v>
      </c>
      <c r="G264" s="1" t="b">
        <v>1</v>
      </c>
      <c r="H264" s="2">
        <v>44175.720833333333</v>
      </c>
      <c r="I264" s="1" t="s">
        <v>1245</v>
      </c>
      <c r="N264" s="1">
        <v>34.048492430000003</v>
      </c>
      <c r="O264" s="1">
        <v>-118.2528992</v>
      </c>
      <c r="P264" s="1" t="s">
        <v>153</v>
      </c>
      <c r="Q264" s="1" t="s">
        <v>154</v>
      </c>
      <c r="R264" s="1" t="s">
        <v>174</v>
      </c>
      <c r="S264" s="1" t="s">
        <v>310</v>
      </c>
      <c r="T264" s="1" t="s">
        <v>176</v>
      </c>
      <c r="U264" s="1" t="s">
        <v>1246</v>
      </c>
      <c r="V264" s="1" t="s">
        <v>160</v>
      </c>
      <c r="W264" s="1" t="s">
        <v>160</v>
      </c>
      <c r="X264" s="1" t="s">
        <v>160</v>
      </c>
      <c r="Y264" s="1" t="s">
        <v>160</v>
      </c>
      <c r="Z264" s="1" t="s">
        <v>160</v>
      </c>
      <c r="AA264" s="1" t="s">
        <v>160</v>
      </c>
      <c r="AB264" s="1" t="s">
        <v>160</v>
      </c>
      <c r="AC264" s="1" t="s">
        <v>160</v>
      </c>
      <c r="AD264" s="1" t="s">
        <v>160</v>
      </c>
      <c r="AE264" s="1" t="s">
        <v>160</v>
      </c>
      <c r="AF264" s="1" t="s">
        <v>160</v>
      </c>
      <c r="AG264" s="1" t="s">
        <v>160</v>
      </c>
      <c r="AI264" s="1" t="s">
        <v>160</v>
      </c>
      <c r="AJ264" s="1" t="s">
        <v>164</v>
      </c>
      <c r="AK264" s="1" t="s">
        <v>163</v>
      </c>
      <c r="AL264" s="1" t="s">
        <v>198</v>
      </c>
      <c r="AM264" s="1" t="s">
        <v>163</v>
      </c>
      <c r="AN264" s="1" t="s">
        <v>192</v>
      </c>
      <c r="AO264" s="1" t="s">
        <v>179</v>
      </c>
      <c r="AP264" s="1" t="s">
        <v>179</v>
      </c>
      <c r="AR264" s="1" t="s">
        <v>160</v>
      </c>
      <c r="AS264" s="1" t="s">
        <v>160</v>
      </c>
      <c r="AT264" s="1" t="s">
        <v>322</v>
      </c>
      <c r="AU264" s="1" t="s">
        <v>160</v>
      </c>
      <c r="AV264" s="1" t="s">
        <v>159</v>
      </c>
      <c r="AW264" s="1" t="s">
        <v>159</v>
      </c>
      <c r="AX264" s="1" t="s">
        <v>159</v>
      </c>
      <c r="AY264" s="1" t="s">
        <v>160</v>
      </c>
      <c r="AZ264" s="1" t="s">
        <v>160</v>
      </c>
      <c r="BA264" s="1" t="s">
        <v>160</v>
      </c>
      <c r="BB264" s="1" t="s">
        <v>167</v>
      </c>
      <c r="BC264" s="1" t="s">
        <v>160</v>
      </c>
      <c r="BD264" s="1" t="s">
        <v>1247</v>
      </c>
      <c r="BE264" s="1" t="s">
        <v>1248</v>
      </c>
      <c r="BF264" s="1" t="s">
        <v>160</v>
      </c>
    </row>
    <row r="265" spans="1:59" ht="13" x14ac:dyDescent="0.15">
      <c r="A265" s="2">
        <v>44175.706250000003</v>
      </c>
      <c r="B265" s="2">
        <v>44175.72152777778</v>
      </c>
      <c r="C265" s="1" t="s">
        <v>39</v>
      </c>
      <c r="D265" s="1" t="s">
        <v>1249</v>
      </c>
      <c r="E265" s="1">
        <v>100</v>
      </c>
      <c r="F265" s="1">
        <v>1312</v>
      </c>
      <c r="G265" s="1" t="b">
        <v>1</v>
      </c>
      <c r="H265" s="2">
        <v>44175.72152777778</v>
      </c>
      <c r="I265" s="1" t="s">
        <v>1250</v>
      </c>
      <c r="N265" s="1">
        <v>43.692703250000001</v>
      </c>
      <c r="O265" s="1">
        <v>-85.47810364</v>
      </c>
      <c r="P265" s="1" t="s">
        <v>153</v>
      </c>
      <c r="Q265" s="1" t="s">
        <v>154</v>
      </c>
      <c r="R265" s="1" t="s">
        <v>174</v>
      </c>
      <c r="S265" s="1" t="s">
        <v>274</v>
      </c>
      <c r="T265" s="1" t="s">
        <v>176</v>
      </c>
      <c r="U265" s="1" t="s">
        <v>496</v>
      </c>
      <c r="V265" s="1" t="s">
        <v>160</v>
      </c>
      <c r="W265" s="1" t="s">
        <v>159</v>
      </c>
      <c r="X265" s="1" t="s">
        <v>159</v>
      </c>
      <c r="Y265" s="1" t="s">
        <v>160</v>
      </c>
      <c r="Z265" s="1" t="s">
        <v>160</v>
      </c>
      <c r="AA265" s="1" t="s">
        <v>159</v>
      </c>
      <c r="AB265" s="1" t="s">
        <v>160</v>
      </c>
      <c r="AC265" s="1" t="s">
        <v>160</v>
      </c>
      <c r="AD265" s="1" t="s">
        <v>159</v>
      </c>
      <c r="AE265" s="1" t="s">
        <v>160</v>
      </c>
      <c r="AF265" s="1" t="s">
        <v>159</v>
      </c>
      <c r="AG265" s="1" t="s">
        <v>160</v>
      </c>
      <c r="AH265" s="1">
        <v>2</v>
      </c>
      <c r="AI265" s="1" t="s">
        <v>160</v>
      </c>
      <c r="AJ265" s="1" t="s">
        <v>192</v>
      </c>
      <c r="AK265" s="1" t="s">
        <v>164</v>
      </c>
      <c r="AL265" s="1" t="s">
        <v>192</v>
      </c>
      <c r="AM265" s="1" t="s">
        <v>164</v>
      </c>
      <c r="AN265" s="1" t="s">
        <v>163</v>
      </c>
      <c r="AO265" s="1" t="s">
        <v>165</v>
      </c>
      <c r="AP265" s="1" t="s">
        <v>165</v>
      </c>
      <c r="AQ265" s="1">
        <v>1999</v>
      </c>
      <c r="AR265" s="1" t="s">
        <v>160</v>
      </c>
      <c r="AS265" s="1" t="s">
        <v>159</v>
      </c>
      <c r="AT265" s="1" t="s">
        <v>180</v>
      </c>
      <c r="AU265" s="1" t="s">
        <v>159</v>
      </c>
      <c r="AV265" s="1" t="s">
        <v>159</v>
      </c>
      <c r="AW265" s="1" t="s">
        <v>159</v>
      </c>
      <c r="AX265" s="1" t="s">
        <v>159</v>
      </c>
      <c r="AY265" s="1" t="s">
        <v>159</v>
      </c>
      <c r="AZ265" s="1" t="s">
        <v>159</v>
      </c>
      <c r="BA265" s="1" t="s">
        <v>159</v>
      </c>
      <c r="BB265" s="1" t="s">
        <v>181</v>
      </c>
      <c r="BC265" s="1" t="s">
        <v>159</v>
      </c>
      <c r="BE265" s="1" t="s">
        <v>1251</v>
      </c>
      <c r="BF265" s="1" t="s">
        <v>160</v>
      </c>
      <c r="BG265" s="1" t="s">
        <v>1252</v>
      </c>
    </row>
    <row r="266" spans="1:59" ht="13" x14ac:dyDescent="0.15">
      <c r="A266" s="2">
        <v>44175.720833333333</v>
      </c>
      <c r="B266" s="2">
        <v>44175.722222222219</v>
      </c>
      <c r="C266" s="1" t="s">
        <v>39</v>
      </c>
      <c r="D266" s="1" t="s">
        <v>234</v>
      </c>
      <c r="E266" s="1">
        <v>100</v>
      </c>
      <c r="F266" s="1">
        <v>121</v>
      </c>
      <c r="G266" s="1" t="b">
        <v>1</v>
      </c>
      <c r="H266" s="2">
        <v>44175.722222222219</v>
      </c>
      <c r="I266" s="1" t="s">
        <v>1253</v>
      </c>
      <c r="N266" s="1">
        <v>34.048492430000003</v>
      </c>
      <c r="O266" s="1">
        <v>-118.2528992</v>
      </c>
      <c r="P266" s="1" t="s">
        <v>153</v>
      </c>
      <c r="Q266" s="1" t="s">
        <v>154</v>
      </c>
      <c r="R266" s="1" t="s">
        <v>236</v>
      </c>
      <c r="S266" s="1" t="s">
        <v>310</v>
      </c>
      <c r="T266" s="1" t="s">
        <v>157</v>
      </c>
      <c r="U266" s="1" t="s">
        <v>406</v>
      </c>
      <c r="V266" s="1" t="s">
        <v>160</v>
      </c>
      <c r="W266" s="1" t="s">
        <v>160</v>
      </c>
      <c r="X266" s="1" t="s">
        <v>160</v>
      </c>
      <c r="Y266" s="1" t="s">
        <v>160</v>
      </c>
      <c r="Z266" s="1" t="s">
        <v>160</v>
      </c>
      <c r="AA266" s="1" t="s">
        <v>160</v>
      </c>
      <c r="AB266" s="1" t="s">
        <v>160</v>
      </c>
      <c r="AC266" s="1" t="s">
        <v>160</v>
      </c>
      <c r="AD266" s="1" t="s">
        <v>160</v>
      </c>
      <c r="AE266" s="1" t="s">
        <v>160</v>
      </c>
      <c r="AF266" s="1" t="s">
        <v>160</v>
      </c>
      <c r="AG266" s="1" t="s">
        <v>160</v>
      </c>
      <c r="AI266" s="1" t="s">
        <v>160</v>
      </c>
      <c r="AJ266" s="1" t="s">
        <v>198</v>
      </c>
      <c r="AK266" s="1" t="s">
        <v>163</v>
      </c>
      <c r="AL266" s="1" t="s">
        <v>198</v>
      </c>
      <c r="AM266" s="1" t="s">
        <v>163</v>
      </c>
      <c r="AN266" s="1" t="s">
        <v>164</v>
      </c>
      <c r="AO266" s="1" t="s">
        <v>179</v>
      </c>
      <c r="AP266" s="1" t="s">
        <v>179</v>
      </c>
      <c r="AR266" s="1" t="s">
        <v>160</v>
      </c>
      <c r="AS266" s="1" t="s">
        <v>160</v>
      </c>
      <c r="AT266" s="1" t="s">
        <v>1254</v>
      </c>
      <c r="AU266" s="1" t="s">
        <v>159</v>
      </c>
      <c r="AV266" s="1" t="s">
        <v>160</v>
      </c>
      <c r="AW266" s="1" t="s">
        <v>159</v>
      </c>
      <c r="AX266" s="1" t="s">
        <v>159</v>
      </c>
      <c r="AY266" s="1" t="s">
        <v>160</v>
      </c>
      <c r="AZ266" s="1" t="s">
        <v>160</v>
      </c>
      <c r="BA266" s="1" t="s">
        <v>159</v>
      </c>
      <c r="BB266" s="1" t="s">
        <v>181</v>
      </c>
      <c r="BC266" s="1" t="s">
        <v>160</v>
      </c>
      <c r="BD266" s="1" t="s">
        <v>1255</v>
      </c>
      <c r="BE266" s="1" t="s">
        <v>1256</v>
      </c>
      <c r="BF266" s="1" t="s">
        <v>160</v>
      </c>
    </row>
    <row r="267" spans="1:59" ht="13" x14ac:dyDescent="0.15">
      <c r="A267" s="2">
        <v>44175.722222222219</v>
      </c>
      <c r="B267" s="2">
        <v>44175.723611111112</v>
      </c>
      <c r="C267" s="1" t="s">
        <v>39</v>
      </c>
      <c r="D267" s="1" t="s">
        <v>234</v>
      </c>
      <c r="E267" s="1">
        <v>100</v>
      </c>
      <c r="F267" s="1">
        <v>116</v>
      </c>
      <c r="G267" s="1" t="b">
        <v>1</v>
      </c>
      <c r="H267" s="2">
        <v>44175.723611111112</v>
      </c>
      <c r="I267" s="1" t="s">
        <v>1257</v>
      </c>
      <c r="N267" s="1">
        <v>34.048492430000003</v>
      </c>
      <c r="O267" s="1">
        <v>-118.2528992</v>
      </c>
      <c r="P267" s="1" t="s">
        <v>153</v>
      </c>
      <c r="Q267" s="1" t="s">
        <v>154</v>
      </c>
      <c r="R267" s="1" t="s">
        <v>155</v>
      </c>
      <c r="S267" s="1" t="s">
        <v>310</v>
      </c>
      <c r="T267" s="1" t="s">
        <v>263</v>
      </c>
      <c r="U267" s="1" t="s">
        <v>1086</v>
      </c>
      <c r="V267" s="1" t="s">
        <v>160</v>
      </c>
      <c r="W267" s="1" t="s">
        <v>160</v>
      </c>
      <c r="X267" s="1" t="s">
        <v>160</v>
      </c>
      <c r="Y267" s="1" t="s">
        <v>160</v>
      </c>
      <c r="Z267" s="1" t="s">
        <v>160</v>
      </c>
      <c r="AA267" s="1" t="s">
        <v>160</v>
      </c>
      <c r="AB267" s="1" t="s">
        <v>160</v>
      </c>
      <c r="AC267" s="1" t="s">
        <v>160</v>
      </c>
      <c r="AD267" s="1" t="s">
        <v>160</v>
      </c>
      <c r="AE267" s="1" t="s">
        <v>160</v>
      </c>
      <c r="AF267" s="1" t="s">
        <v>160</v>
      </c>
      <c r="AG267" s="1" t="s">
        <v>160</v>
      </c>
      <c r="AI267" s="1" t="s">
        <v>160</v>
      </c>
      <c r="AJ267" s="1" t="s">
        <v>192</v>
      </c>
      <c r="AK267" s="1" t="s">
        <v>192</v>
      </c>
      <c r="AL267" s="1" t="s">
        <v>163</v>
      </c>
      <c r="AM267" s="1" t="s">
        <v>163</v>
      </c>
      <c r="AN267" s="1" t="s">
        <v>198</v>
      </c>
      <c r="AO267" s="1" t="s">
        <v>179</v>
      </c>
      <c r="AP267" s="1" t="s">
        <v>179</v>
      </c>
      <c r="AR267" s="1" t="s">
        <v>160</v>
      </c>
      <c r="AS267" s="1" t="s">
        <v>160</v>
      </c>
      <c r="AT267" s="1" t="s">
        <v>1258</v>
      </c>
      <c r="AU267" s="1" t="s">
        <v>160</v>
      </c>
      <c r="AV267" s="1" t="s">
        <v>160</v>
      </c>
      <c r="AW267" s="1" t="s">
        <v>159</v>
      </c>
      <c r="AX267" s="1" t="s">
        <v>159</v>
      </c>
      <c r="AY267" s="1" t="s">
        <v>160</v>
      </c>
      <c r="AZ267" s="1" t="s">
        <v>160</v>
      </c>
      <c r="BA267" s="1" t="s">
        <v>160</v>
      </c>
      <c r="BB267" s="1" t="s">
        <v>167</v>
      </c>
      <c r="BC267" s="1" t="s">
        <v>160</v>
      </c>
      <c r="BD267" s="1" t="s">
        <v>1259</v>
      </c>
      <c r="BE267" s="1" t="s">
        <v>1260</v>
      </c>
      <c r="BF267" s="1" t="s">
        <v>160</v>
      </c>
    </row>
    <row r="268" spans="1:59" ht="13" x14ac:dyDescent="0.15">
      <c r="A268" s="2">
        <v>44175.724305555559</v>
      </c>
      <c r="B268" s="2">
        <v>44175.725694444445</v>
      </c>
      <c r="C268" s="1" t="s">
        <v>39</v>
      </c>
      <c r="D268" s="1" t="s">
        <v>234</v>
      </c>
      <c r="E268" s="1">
        <v>100</v>
      </c>
      <c r="F268" s="1">
        <v>117</v>
      </c>
      <c r="G268" s="1" t="b">
        <v>1</v>
      </c>
      <c r="H268" s="2">
        <v>44175.725694444445</v>
      </c>
      <c r="I268" s="1" t="s">
        <v>1261</v>
      </c>
      <c r="N268" s="1">
        <v>34.048492430000003</v>
      </c>
      <c r="O268" s="1">
        <v>-118.2528992</v>
      </c>
      <c r="P268" s="1" t="s">
        <v>153</v>
      </c>
      <c r="Q268" s="1" t="s">
        <v>154</v>
      </c>
      <c r="R268" s="1" t="s">
        <v>174</v>
      </c>
      <c r="S268" s="1" t="s">
        <v>175</v>
      </c>
      <c r="T268" s="1" t="s">
        <v>157</v>
      </c>
      <c r="U268" s="1" t="s">
        <v>1262</v>
      </c>
      <c r="V268" s="1" t="s">
        <v>160</v>
      </c>
      <c r="W268" s="1" t="s">
        <v>160</v>
      </c>
      <c r="X268" s="1" t="s">
        <v>160</v>
      </c>
      <c r="Y268" s="1" t="s">
        <v>160</v>
      </c>
      <c r="Z268" s="1" t="s">
        <v>160</v>
      </c>
      <c r="AA268" s="1" t="s">
        <v>160</v>
      </c>
      <c r="AB268" s="1" t="s">
        <v>160</v>
      </c>
      <c r="AC268" s="1" t="s">
        <v>160</v>
      </c>
      <c r="AD268" s="1" t="s">
        <v>160</v>
      </c>
      <c r="AE268" s="1" t="s">
        <v>160</v>
      </c>
      <c r="AF268" s="1" t="s">
        <v>160</v>
      </c>
      <c r="AG268" s="1" t="s">
        <v>160</v>
      </c>
      <c r="AI268" s="1" t="s">
        <v>160</v>
      </c>
      <c r="AJ268" s="1" t="s">
        <v>198</v>
      </c>
      <c r="AK268" s="1" t="s">
        <v>163</v>
      </c>
      <c r="AL268" s="1" t="s">
        <v>164</v>
      </c>
      <c r="AM268" s="1" t="s">
        <v>164</v>
      </c>
      <c r="AN268" s="1" t="s">
        <v>163</v>
      </c>
      <c r="AO268" s="1" t="s">
        <v>179</v>
      </c>
      <c r="AP268" s="1" t="s">
        <v>165</v>
      </c>
      <c r="AR268" s="1" t="s">
        <v>160</v>
      </c>
      <c r="AS268" s="1" t="s">
        <v>160</v>
      </c>
      <c r="AT268" s="1" t="s">
        <v>1263</v>
      </c>
      <c r="AU268" s="1" t="s">
        <v>160</v>
      </c>
      <c r="AV268" s="1" t="s">
        <v>160</v>
      </c>
      <c r="AW268" s="1" t="s">
        <v>160</v>
      </c>
      <c r="AX268" s="1" t="s">
        <v>160</v>
      </c>
      <c r="AY268" s="1" t="s">
        <v>159</v>
      </c>
      <c r="AZ268" s="1" t="s">
        <v>159</v>
      </c>
      <c r="BA268" s="1" t="s">
        <v>160</v>
      </c>
      <c r="BB268" s="1" t="s">
        <v>167</v>
      </c>
      <c r="BC268" s="1" t="s">
        <v>160</v>
      </c>
      <c r="BD268" s="1" t="s">
        <v>1264</v>
      </c>
      <c r="BE268" s="1" t="s">
        <v>1265</v>
      </c>
      <c r="BF268" s="1" t="s">
        <v>160</v>
      </c>
    </row>
    <row r="269" spans="1:59" ht="13" x14ac:dyDescent="0.15">
      <c r="A269" s="2">
        <v>44175.722916666666</v>
      </c>
      <c r="B269" s="2">
        <v>44175.727083333331</v>
      </c>
      <c r="C269" s="1" t="s">
        <v>39</v>
      </c>
      <c r="D269" s="1" t="s">
        <v>1266</v>
      </c>
      <c r="E269" s="1">
        <v>100</v>
      </c>
      <c r="F269" s="1">
        <v>330</v>
      </c>
      <c r="G269" s="1" t="b">
        <v>1</v>
      </c>
      <c r="H269" s="2">
        <v>44175.727083333331</v>
      </c>
      <c r="I269" s="1" t="s">
        <v>1267</v>
      </c>
      <c r="N269" s="1">
        <v>41.970306399999998</v>
      </c>
      <c r="O269" s="1">
        <v>-87.664001459999994</v>
      </c>
      <c r="P269" s="1" t="s">
        <v>153</v>
      </c>
      <c r="Q269" s="1" t="s">
        <v>154</v>
      </c>
      <c r="R269" s="1" t="s">
        <v>174</v>
      </c>
      <c r="S269" s="1" t="s">
        <v>274</v>
      </c>
      <c r="T269" s="1" t="s">
        <v>157</v>
      </c>
      <c r="U269" s="1" t="s">
        <v>418</v>
      </c>
      <c r="V269" s="1" t="s">
        <v>160</v>
      </c>
      <c r="W269" s="1" t="s">
        <v>159</v>
      </c>
      <c r="X269" s="1" t="s">
        <v>160</v>
      </c>
      <c r="Y269" s="1" t="s">
        <v>160</v>
      </c>
      <c r="Z269" s="1" t="s">
        <v>160</v>
      </c>
      <c r="AA269" s="1" t="s">
        <v>159</v>
      </c>
      <c r="AB269" s="1" t="s">
        <v>160</v>
      </c>
      <c r="AC269" s="1" t="s">
        <v>160</v>
      </c>
      <c r="AD269" s="1" t="s">
        <v>159</v>
      </c>
      <c r="AE269" s="1" t="s">
        <v>160</v>
      </c>
      <c r="AF269" s="1" t="s">
        <v>160</v>
      </c>
      <c r="AG269" s="1" t="s">
        <v>160</v>
      </c>
      <c r="AH269" s="1">
        <v>1</v>
      </c>
      <c r="AI269" s="1" t="s">
        <v>160</v>
      </c>
      <c r="AJ269" s="1" t="s">
        <v>192</v>
      </c>
      <c r="AK269" s="1" t="s">
        <v>163</v>
      </c>
      <c r="AL269" s="1" t="s">
        <v>192</v>
      </c>
      <c r="AM269" s="1" t="s">
        <v>164</v>
      </c>
      <c r="AN269" s="1" t="s">
        <v>163</v>
      </c>
      <c r="AO269" s="1" t="s">
        <v>165</v>
      </c>
      <c r="AP269" s="1" t="s">
        <v>165</v>
      </c>
      <c r="AQ269" s="1">
        <v>1998</v>
      </c>
      <c r="AR269" s="1" t="s">
        <v>160</v>
      </c>
      <c r="AS269" s="1" t="s">
        <v>159</v>
      </c>
      <c r="AT269" s="1" t="s">
        <v>180</v>
      </c>
      <c r="AU269" s="1" t="s">
        <v>159</v>
      </c>
      <c r="AV269" s="1" t="s">
        <v>159</v>
      </c>
      <c r="AW269" s="1" t="s">
        <v>159</v>
      </c>
      <c r="AX269" s="1" t="s">
        <v>159</v>
      </c>
      <c r="AY269" s="1" t="s">
        <v>159</v>
      </c>
      <c r="AZ269" s="1" t="s">
        <v>159</v>
      </c>
      <c r="BA269" s="1" t="s">
        <v>159</v>
      </c>
      <c r="BB269" s="1" t="s">
        <v>167</v>
      </c>
      <c r="BC269" s="1" t="s">
        <v>159</v>
      </c>
      <c r="BE269" s="1" t="s">
        <v>1268</v>
      </c>
      <c r="BF269" s="1" t="s">
        <v>160</v>
      </c>
      <c r="BG269" s="1" t="s">
        <v>1269</v>
      </c>
    </row>
    <row r="270" spans="1:59" ht="13" x14ac:dyDescent="0.15">
      <c r="A270" s="2">
        <v>44175.725694444445</v>
      </c>
      <c r="B270" s="2">
        <v>44175.727083333331</v>
      </c>
      <c r="C270" s="1" t="s">
        <v>39</v>
      </c>
      <c r="D270" s="1" t="s">
        <v>234</v>
      </c>
      <c r="E270" s="1">
        <v>100</v>
      </c>
      <c r="F270" s="1">
        <v>116</v>
      </c>
      <c r="G270" s="1" t="b">
        <v>1</v>
      </c>
      <c r="H270" s="2">
        <v>44175.727083333331</v>
      </c>
      <c r="I270" s="1" t="s">
        <v>1270</v>
      </c>
      <c r="N270" s="1">
        <v>34.048492430000003</v>
      </c>
      <c r="O270" s="1">
        <v>-118.2528992</v>
      </c>
      <c r="P270" s="1" t="s">
        <v>153</v>
      </c>
      <c r="Q270" s="1" t="s">
        <v>154</v>
      </c>
      <c r="R270" s="1" t="s">
        <v>174</v>
      </c>
      <c r="S270" s="1" t="s">
        <v>175</v>
      </c>
      <c r="T270" s="1" t="s">
        <v>245</v>
      </c>
      <c r="U270" s="1" t="s">
        <v>1271</v>
      </c>
      <c r="V270" s="1" t="s">
        <v>160</v>
      </c>
      <c r="W270" s="1" t="s">
        <v>160</v>
      </c>
      <c r="X270" s="1" t="s">
        <v>160</v>
      </c>
      <c r="Y270" s="1" t="s">
        <v>160</v>
      </c>
      <c r="Z270" s="1" t="s">
        <v>160</v>
      </c>
      <c r="AA270" s="1" t="s">
        <v>160</v>
      </c>
      <c r="AB270" s="1" t="s">
        <v>160</v>
      </c>
      <c r="AC270" s="1" t="s">
        <v>160</v>
      </c>
      <c r="AD270" s="1" t="s">
        <v>160</v>
      </c>
      <c r="AE270" s="1" t="s">
        <v>160</v>
      </c>
      <c r="AF270" s="1" t="s">
        <v>160</v>
      </c>
      <c r="AG270" s="1" t="s">
        <v>160</v>
      </c>
      <c r="AI270" s="1" t="s">
        <v>160</v>
      </c>
      <c r="AJ270" s="1" t="s">
        <v>164</v>
      </c>
      <c r="AK270" s="1" t="s">
        <v>192</v>
      </c>
      <c r="AL270" s="1" t="s">
        <v>198</v>
      </c>
      <c r="AM270" s="1" t="s">
        <v>192</v>
      </c>
      <c r="AN270" s="1" t="s">
        <v>163</v>
      </c>
      <c r="AO270" s="1" t="s">
        <v>179</v>
      </c>
      <c r="AP270" s="1" t="s">
        <v>165</v>
      </c>
      <c r="AR270" s="1" t="s">
        <v>160</v>
      </c>
      <c r="AS270" s="1" t="s">
        <v>160</v>
      </c>
      <c r="AT270" s="1" t="s">
        <v>1272</v>
      </c>
      <c r="AU270" s="1" t="s">
        <v>160</v>
      </c>
      <c r="AV270" s="1" t="s">
        <v>159</v>
      </c>
      <c r="AW270" s="1" t="s">
        <v>159</v>
      </c>
      <c r="AX270" s="1" t="s">
        <v>159</v>
      </c>
      <c r="AY270" s="1" t="s">
        <v>159</v>
      </c>
      <c r="AZ270" s="1" t="s">
        <v>159</v>
      </c>
      <c r="BA270" s="1" t="s">
        <v>160</v>
      </c>
      <c r="BB270" s="1" t="s">
        <v>181</v>
      </c>
      <c r="BC270" s="1" t="s">
        <v>160</v>
      </c>
      <c r="BD270" s="1" t="s">
        <v>1273</v>
      </c>
      <c r="BE270" s="1" t="s">
        <v>1274</v>
      </c>
      <c r="BF270" s="1" t="s">
        <v>160</v>
      </c>
    </row>
    <row r="271" spans="1:59" ht="13" x14ac:dyDescent="0.15">
      <c r="A271" s="2">
        <v>44175.727083333331</v>
      </c>
      <c r="B271" s="2">
        <v>44175.728472222225</v>
      </c>
      <c r="C271" s="1" t="s">
        <v>39</v>
      </c>
      <c r="D271" s="1" t="s">
        <v>234</v>
      </c>
      <c r="E271" s="1">
        <v>100</v>
      </c>
      <c r="F271" s="1">
        <v>121</v>
      </c>
      <c r="G271" s="1" t="b">
        <v>1</v>
      </c>
      <c r="H271" s="2">
        <v>44175.728472222225</v>
      </c>
      <c r="I271" s="1" t="s">
        <v>1275</v>
      </c>
      <c r="N271" s="1">
        <v>34.048492430000003</v>
      </c>
      <c r="O271" s="1">
        <v>-118.2528992</v>
      </c>
      <c r="P271" s="1" t="s">
        <v>153</v>
      </c>
      <c r="Q271" s="1" t="s">
        <v>154</v>
      </c>
      <c r="R271" s="1" t="s">
        <v>155</v>
      </c>
      <c r="S271" s="1" t="s">
        <v>226</v>
      </c>
      <c r="T271" s="1" t="s">
        <v>176</v>
      </c>
      <c r="U271" s="1" t="s">
        <v>427</v>
      </c>
      <c r="V271" s="1" t="s">
        <v>160</v>
      </c>
      <c r="W271" s="1" t="s">
        <v>160</v>
      </c>
      <c r="X271" s="1" t="s">
        <v>160</v>
      </c>
      <c r="Y271" s="1" t="s">
        <v>160</v>
      </c>
      <c r="Z271" s="1" t="s">
        <v>160</v>
      </c>
      <c r="AA271" s="1" t="s">
        <v>160</v>
      </c>
      <c r="AB271" s="1" t="s">
        <v>160</v>
      </c>
      <c r="AC271" s="1" t="s">
        <v>160</v>
      </c>
      <c r="AD271" s="1" t="s">
        <v>160</v>
      </c>
      <c r="AE271" s="1" t="s">
        <v>160</v>
      </c>
      <c r="AF271" s="1" t="s">
        <v>160</v>
      </c>
      <c r="AG271" s="1" t="s">
        <v>160</v>
      </c>
      <c r="AI271" s="1" t="s">
        <v>160</v>
      </c>
      <c r="AJ271" s="1" t="s">
        <v>198</v>
      </c>
      <c r="AK271" s="1" t="s">
        <v>164</v>
      </c>
      <c r="AL271" s="1" t="s">
        <v>164</v>
      </c>
      <c r="AM271" s="1" t="s">
        <v>192</v>
      </c>
      <c r="AN271" s="1" t="s">
        <v>163</v>
      </c>
      <c r="AO271" s="1" t="s">
        <v>179</v>
      </c>
      <c r="AP271" s="1" t="s">
        <v>239</v>
      </c>
      <c r="AR271" s="1" t="s">
        <v>160</v>
      </c>
      <c r="AS271" s="1" t="s">
        <v>160</v>
      </c>
      <c r="AT271" s="1" t="s">
        <v>841</v>
      </c>
      <c r="AU271" s="1" t="s">
        <v>159</v>
      </c>
      <c r="AV271" s="1" t="s">
        <v>159</v>
      </c>
      <c r="AW271" s="1" t="s">
        <v>159</v>
      </c>
      <c r="AX271" s="1" t="s">
        <v>160</v>
      </c>
      <c r="AY271" s="1" t="s">
        <v>160</v>
      </c>
      <c r="AZ271" s="1" t="s">
        <v>159</v>
      </c>
      <c r="BA271" s="1" t="s">
        <v>160</v>
      </c>
      <c r="BB271" s="1" t="s">
        <v>167</v>
      </c>
      <c r="BC271" s="1" t="s">
        <v>160</v>
      </c>
      <c r="BD271" s="1" t="s">
        <v>1276</v>
      </c>
      <c r="BE271" s="1" t="s">
        <v>1277</v>
      </c>
      <c r="BF271" s="1" t="s">
        <v>160</v>
      </c>
    </row>
    <row r="272" spans="1:59" ht="13" x14ac:dyDescent="0.15">
      <c r="A272" s="2">
        <v>44175.729166666664</v>
      </c>
      <c r="B272" s="2">
        <v>44175.730555555558</v>
      </c>
      <c r="C272" s="1" t="s">
        <v>39</v>
      </c>
      <c r="D272" s="1" t="s">
        <v>234</v>
      </c>
      <c r="E272" s="1">
        <v>100</v>
      </c>
      <c r="F272" s="1">
        <v>121</v>
      </c>
      <c r="G272" s="1" t="b">
        <v>1</v>
      </c>
      <c r="H272" s="2">
        <v>44175.730555555558</v>
      </c>
      <c r="I272" s="1" t="s">
        <v>1278</v>
      </c>
      <c r="N272" s="1">
        <v>34.048492430000003</v>
      </c>
      <c r="O272" s="1">
        <v>-118.2528992</v>
      </c>
      <c r="P272" s="1" t="s">
        <v>153</v>
      </c>
      <c r="Q272" s="1" t="s">
        <v>154</v>
      </c>
      <c r="R272" s="1" t="s">
        <v>174</v>
      </c>
      <c r="S272" s="1" t="s">
        <v>226</v>
      </c>
      <c r="T272" s="1" t="s">
        <v>237</v>
      </c>
      <c r="U272" s="1" t="s">
        <v>1279</v>
      </c>
      <c r="V272" s="1" t="s">
        <v>160</v>
      </c>
      <c r="W272" s="1" t="s">
        <v>160</v>
      </c>
      <c r="X272" s="1" t="s">
        <v>160</v>
      </c>
      <c r="Y272" s="1" t="s">
        <v>160</v>
      </c>
      <c r="Z272" s="1" t="s">
        <v>160</v>
      </c>
      <c r="AA272" s="1" t="s">
        <v>160</v>
      </c>
      <c r="AB272" s="1" t="s">
        <v>160</v>
      </c>
      <c r="AC272" s="1" t="s">
        <v>160</v>
      </c>
      <c r="AD272" s="1" t="s">
        <v>160</v>
      </c>
      <c r="AE272" s="1" t="s">
        <v>160</v>
      </c>
      <c r="AF272" s="1" t="s">
        <v>160</v>
      </c>
      <c r="AG272" s="1" t="s">
        <v>160</v>
      </c>
      <c r="AI272" s="1" t="s">
        <v>160</v>
      </c>
      <c r="AJ272" s="1" t="s">
        <v>198</v>
      </c>
      <c r="AK272" s="1" t="s">
        <v>198</v>
      </c>
      <c r="AL272" s="1" t="s">
        <v>163</v>
      </c>
      <c r="AM272" s="1" t="s">
        <v>192</v>
      </c>
      <c r="AN272" s="1" t="s">
        <v>198</v>
      </c>
      <c r="AO272" s="1" t="s">
        <v>179</v>
      </c>
      <c r="AP272" s="1" t="s">
        <v>179</v>
      </c>
      <c r="AR272" s="1" t="s">
        <v>160</v>
      </c>
      <c r="AS272" s="1" t="s">
        <v>160</v>
      </c>
      <c r="AT272" s="1" t="s">
        <v>872</v>
      </c>
      <c r="AU272" s="1" t="s">
        <v>159</v>
      </c>
      <c r="AV272" s="1" t="s">
        <v>160</v>
      </c>
      <c r="AW272" s="1" t="s">
        <v>160</v>
      </c>
      <c r="AX272" s="1" t="s">
        <v>159</v>
      </c>
      <c r="AY272" s="1" t="s">
        <v>160</v>
      </c>
      <c r="AZ272" s="1" t="s">
        <v>159</v>
      </c>
      <c r="BA272" s="1" t="s">
        <v>160</v>
      </c>
      <c r="BB272" s="1" t="s">
        <v>241</v>
      </c>
      <c r="BC272" s="1" t="s">
        <v>160</v>
      </c>
      <c r="BD272" s="1" t="s">
        <v>1280</v>
      </c>
      <c r="BE272" s="1" t="s">
        <v>1281</v>
      </c>
      <c r="BF272" s="1" t="s">
        <v>160</v>
      </c>
    </row>
    <row r="273" spans="1:59" ht="13" x14ac:dyDescent="0.15">
      <c r="A273" s="2">
        <v>44175.730555555558</v>
      </c>
      <c r="B273" s="2">
        <v>44175.731944444444</v>
      </c>
      <c r="C273" s="1" t="s">
        <v>39</v>
      </c>
      <c r="D273" s="1" t="s">
        <v>234</v>
      </c>
      <c r="E273" s="1">
        <v>100</v>
      </c>
      <c r="F273" s="1">
        <v>120</v>
      </c>
      <c r="G273" s="1" t="b">
        <v>1</v>
      </c>
      <c r="H273" s="2">
        <v>44175.731944444444</v>
      </c>
      <c r="I273" s="1" t="s">
        <v>1282</v>
      </c>
      <c r="N273" s="1">
        <v>34.048492430000003</v>
      </c>
      <c r="O273" s="1">
        <v>-118.2528992</v>
      </c>
      <c r="P273" s="1" t="s">
        <v>153</v>
      </c>
      <c r="Q273" s="1" t="s">
        <v>154</v>
      </c>
      <c r="R273" s="1" t="s">
        <v>236</v>
      </c>
      <c r="S273" s="1" t="s">
        <v>175</v>
      </c>
      <c r="T273" s="1" t="s">
        <v>237</v>
      </c>
      <c r="U273" s="1" t="s">
        <v>264</v>
      </c>
      <c r="V273" s="1" t="s">
        <v>160</v>
      </c>
      <c r="W273" s="1" t="s">
        <v>160</v>
      </c>
      <c r="X273" s="1" t="s">
        <v>160</v>
      </c>
      <c r="Y273" s="1" t="s">
        <v>160</v>
      </c>
      <c r="Z273" s="1" t="s">
        <v>160</v>
      </c>
      <c r="AA273" s="1" t="s">
        <v>160</v>
      </c>
      <c r="AB273" s="1" t="s">
        <v>160</v>
      </c>
      <c r="AC273" s="1" t="s">
        <v>160</v>
      </c>
      <c r="AD273" s="1" t="s">
        <v>160</v>
      </c>
      <c r="AE273" s="1" t="s">
        <v>160</v>
      </c>
      <c r="AF273" s="1" t="s">
        <v>160</v>
      </c>
      <c r="AG273" s="1" t="s">
        <v>160</v>
      </c>
      <c r="AI273" s="1" t="s">
        <v>160</v>
      </c>
      <c r="AJ273" s="1" t="s">
        <v>198</v>
      </c>
      <c r="AK273" s="1" t="s">
        <v>192</v>
      </c>
      <c r="AL273" s="1" t="s">
        <v>198</v>
      </c>
      <c r="AM273" s="1" t="s">
        <v>164</v>
      </c>
      <c r="AN273" s="1" t="s">
        <v>192</v>
      </c>
      <c r="AO273" s="1" t="s">
        <v>179</v>
      </c>
      <c r="AP273" s="1" t="s">
        <v>239</v>
      </c>
      <c r="AR273" s="1" t="s">
        <v>160</v>
      </c>
      <c r="AS273" s="1" t="s">
        <v>160</v>
      </c>
      <c r="AT273" s="1" t="s">
        <v>1283</v>
      </c>
      <c r="AU273" s="1" t="s">
        <v>159</v>
      </c>
      <c r="AV273" s="1" t="s">
        <v>160</v>
      </c>
      <c r="AW273" s="1" t="s">
        <v>159</v>
      </c>
      <c r="AX273" s="1" t="s">
        <v>159</v>
      </c>
      <c r="AY273" s="1" t="s">
        <v>160</v>
      </c>
      <c r="AZ273" s="1" t="s">
        <v>159</v>
      </c>
      <c r="BA273" s="1" t="s">
        <v>160</v>
      </c>
      <c r="BB273" s="1" t="s">
        <v>181</v>
      </c>
      <c r="BC273" s="1" t="s">
        <v>160</v>
      </c>
      <c r="BD273" s="1" t="s">
        <v>258</v>
      </c>
      <c r="BE273" s="1" t="s">
        <v>1284</v>
      </c>
      <c r="BF273" s="1" t="s">
        <v>160</v>
      </c>
    </row>
    <row r="274" spans="1:59" ht="13" x14ac:dyDescent="0.15">
      <c r="A274" s="2">
        <v>44175.732638888891</v>
      </c>
      <c r="B274" s="2">
        <v>44175.734027777777</v>
      </c>
      <c r="C274" s="1" t="s">
        <v>39</v>
      </c>
      <c r="D274" s="1" t="s">
        <v>234</v>
      </c>
      <c r="E274" s="1">
        <v>100</v>
      </c>
      <c r="F274" s="1">
        <v>121</v>
      </c>
      <c r="G274" s="1" t="b">
        <v>1</v>
      </c>
      <c r="H274" s="2">
        <v>44175.734027777777</v>
      </c>
      <c r="I274" s="1" t="s">
        <v>1285</v>
      </c>
      <c r="N274" s="1">
        <v>34.048492430000003</v>
      </c>
      <c r="O274" s="1">
        <v>-118.2528992</v>
      </c>
      <c r="P274" s="1" t="s">
        <v>153</v>
      </c>
      <c r="Q274" s="1" t="s">
        <v>154</v>
      </c>
      <c r="R274" s="1" t="s">
        <v>236</v>
      </c>
      <c r="S274" s="1" t="s">
        <v>226</v>
      </c>
      <c r="T274" s="1" t="s">
        <v>263</v>
      </c>
      <c r="U274" s="1" t="s">
        <v>1286</v>
      </c>
      <c r="V274" s="1" t="s">
        <v>160</v>
      </c>
      <c r="W274" s="1" t="s">
        <v>160</v>
      </c>
      <c r="X274" s="1" t="s">
        <v>160</v>
      </c>
      <c r="Y274" s="1" t="s">
        <v>160</v>
      </c>
      <c r="Z274" s="1" t="s">
        <v>160</v>
      </c>
      <c r="AA274" s="1" t="s">
        <v>160</v>
      </c>
      <c r="AB274" s="1" t="s">
        <v>160</v>
      </c>
      <c r="AC274" s="1" t="s">
        <v>160</v>
      </c>
      <c r="AD274" s="1" t="s">
        <v>160</v>
      </c>
      <c r="AE274" s="1" t="s">
        <v>160</v>
      </c>
      <c r="AF274" s="1" t="s">
        <v>160</v>
      </c>
      <c r="AG274" s="1" t="s">
        <v>160</v>
      </c>
      <c r="AI274" s="1" t="s">
        <v>160</v>
      </c>
      <c r="AJ274" s="1" t="s">
        <v>164</v>
      </c>
      <c r="AK274" s="1" t="s">
        <v>164</v>
      </c>
      <c r="AL274" s="1" t="s">
        <v>192</v>
      </c>
      <c r="AM274" s="1" t="s">
        <v>164</v>
      </c>
      <c r="AN274" s="1" t="s">
        <v>198</v>
      </c>
      <c r="AO274" s="1" t="s">
        <v>179</v>
      </c>
      <c r="AP274" s="1" t="s">
        <v>165</v>
      </c>
      <c r="AR274" s="1" t="s">
        <v>160</v>
      </c>
      <c r="AS274" s="1" t="s">
        <v>160</v>
      </c>
      <c r="AT274" s="1" t="s">
        <v>1287</v>
      </c>
      <c r="AU274" s="1" t="s">
        <v>160</v>
      </c>
      <c r="AV274" s="1" t="s">
        <v>159</v>
      </c>
      <c r="AW274" s="1" t="s">
        <v>159</v>
      </c>
      <c r="AX274" s="1" t="s">
        <v>159</v>
      </c>
      <c r="AY274" s="1" t="s">
        <v>159</v>
      </c>
      <c r="AZ274" s="1" t="s">
        <v>159</v>
      </c>
      <c r="BA274" s="1" t="s">
        <v>160</v>
      </c>
      <c r="BB274" s="1" t="s">
        <v>181</v>
      </c>
      <c r="BC274" s="1" t="s">
        <v>160</v>
      </c>
      <c r="BD274" s="1" t="s">
        <v>1288</v>
      </c>
      <c r="BE274" s="1" t="s">
        <v>1289</v>
      </c>
      <c r="BF274" s="1" t="s">
        <v>160</v>
      </c>
    </row>
    <row r="275" spans="1:59" ht="13" x14ac:dyDescent="0.15">
      <c r="A275" s="2">
        <v>44175.734027777777</v>
      </c>
      <c r="B275" s="2">
        <v>44175.73541666667</v>
      </c>
      <c r="C275" s="1" t="s">
        <v>39</v>
      </c>
      <c r="D275" s="1" t="s">
        <v>234</v>
      </c>
      <c r="E275" s="1">
        <v>100</v>
      </c>
      <c r="F275" s="1">
        <v>120</v>
      </c>
      <c r="G275" s="1" t="b">
        <v>1</v>
      </c>
      <c r="H275" s="2">
        <v>44175.73541666667</v>
      </c>
      <c r="I275" s="1" t="s">
        <v>1290</v>
      </c>
      <c r="N275" s="1">
        <v>34.048492430000003</v>
      </c>
      <c r="O275" s="1">
        <v>-118.2528992</v>
      </c>
      <c r="P275" s="1" t="s">
        <v>153</v>
      </c>
      <c r="Q275" s="1" t="s">
        <v>154</v>
      </c>
      <c r="R275" s="1" t="s">
        <v>155</v>
      </c>
      <c r="S275" s="1" t="s">
        <v>226</v>
      </c>
      <c r="T275" s="1" t="s">
        <v>237</v>
      </c>
      <c r="U275" s="1" t="s">
        <v>730</v>
      </c>
      <c r="V275" s="1" t="s">
        <v>160</v>
      </c>
      <c r="W275" s="1" t="s">
        <v>160</v>
      </c>
      <c r="X275" s="1" t="s">
        <v>160</v>
      </c>
      <c r="Y275" s="1" t="s">
        <v>160</v>
      </c>
      <c r="Z275" s="1" t="s">
        <v>160</v>
      </c>
      <c r="AA275" s="1" t="s">
        <v>160</v>
      </c>
      <c r="AB275" s="1" t="s">
        <v>160</v>
      </c>
      <c r="AC275" s="1" t="s">
        <v>160</v>
      </c>
      <c r="AD275" s="1" t="s">
        <v>160</v>
      </c>
      <c r="AE275" s="1" t="s">
        <v>160</v>
      </c>
      <c r="AF275" s="1" t="s">
        <v>160</v>
      </c>
      <c r="AG275" s="1" t="s">
        <v>160</v>
      </c>
      <c r="AI275" s="1" t="s">
        <v>160</v>
      </c>
      <c r="AJ275" s="1" t="s">
        <v>198</v>
      </c>
      <c r="AK275" s="1" t="s">
        <v>163</v>
      </c>
      <c r="AL275" s="1" t="s">
        <v>164</v>
      </c>
      <c r="AM275" s="1" t="s">
        <v>192</v>
      </c>
      <c r="AN275" s="1" t="s">
        <v>163</v>
      </c>
      <c r="AO275" s="1" t="s">
        <v>179</v>
      </c>
      <c r="AP275" s="1" t="s">
        <v>165</v>
      </c>
      <c r="AR275" s="1" t="s">
        <v>160</v>
      </c>
      <c r="AS275" s="1" t="s">
        <v>160</v>
      </c>
      <c r="AT275" s="1" t="s">
        <v>1291</v>
      </c>
      <c r="AU275" s="1" t="s">
        <v>160</v>
      </c>
      <c r="AV275" s="1" t="s">
        <v>160</v>
      </c>
      <c r="AW275" s="1" t="s">
        <v>160</v>
      </c>
      <c r="AX275" s="1" t="s">
        <v>159</v>
      </c>
      <c r="AY275" s="1" t="s">
        <v>159</v>
      </c>
      <c r="AZ275" s="1" t="s">
        <v>159</v>
      </c>
      <c r="BA275" s="1" t="s">
        <v>159</v>
      </c>
      <c r="BB275" s="1" t="s">
        <v>241</v>
      </c>
      <c r="BC275" s="1" t="s">
        <v>160</v>
      </c>
      <c r="BD275" s="1" t="s">
        <v>1292</v>
      </c>
      <c r="BE275" s="1" t="s">
        <v>1293</v>
      </c>
      <c r="BF275" s="1" t="s">
        <v>160</v>
      </c>
    </row>
    <row r="276" spans="1:59" ht="13" x14ac:dyDescent="0.15">
      <c r="A276" s="2">
        <v>44175.73541666667</v>
      </c>
      <c r="B276" s="2">
        <v>44175.736805555556</v>
      </c>
      <c r="C276" s="1" t="s">
        <v>39</v>
      </c>
      <c r="D276" s="1" t="s">
        <v>1294</v>
      </c>
      <c r="E276" s="1">
        <v>100</v>
      </c>
      <c r="F276" s="1">
        <v>150</v>
      </c>
      <c r="G276" s="1" t="b">
        <v>1</v>
      </c>
      <c r="H276" s="2">
        <v>44175.736805555556</v>
      </c>
      <c r="I276" s="1" t="s">
        <v>1295</v>
      </c>
      <c r="N276" s="1">
        <v>41.142898559999999</v>
      </c>
      <c r="O276" s="1">
        <v>-96.01779938</v>
      </c>
      <c r="P276" s="1" t="s">
        <v>153</v>
      </c>
      <c r="Q276" s="1" t="s">
        <v>154</v>
      </c>
      <c r="R276" s="1" t="s">
        <v>174</v>
      </c>
      <c r="S276" s="1" t="s">
        <v>208</v>
      </c>
      <c r="T276" s="1" t="s">
        <v>176</v>
      </c>
      <c r="U276" s="1" t="s">
        <v>418</v>
      </c>
      <c r="V276" s="1" t="s">
        <v>160</v>
      </c>
      <c r="W276" s="1" t="s">
        <v>160</v>
      </c>
      <c r="X276" s="1" t="s">
        <v>160</v>
      </c>
      <c r="Y276" s="1" t="s">
        <v>160</v>
      </c>
      <c r="Z276" s="1" t="s">
        <v>160</v>
      </c>
      <c r="AA276" s="1" t="s">
        <v>160</v>
      </c>
      <c r="AB276" s="1" t="s">
        <v>160</v>
      </c>
      <c r="AC276" s="1" t="s">
        <v>160</v>
      </c>
      <c r="AD276" s="1" t="s">
        <v>160</v>
      </c>
      <c r="AE276" s="1" t="s">
        <v>160</v>
      </c>
      <c r="AF276" s="1" t="s">
        <v>160</v>
      </c>
      <c r="AG276" s="1" t="s">
        <v>160</v>
      </c>
      <c r="AH276" s="1">
        <v>2</v>
      </c>
      <c r="AI276" s="1" t="s">
        <v>160</v>
      </c>
      <c r="AJ276" s="1" t="s">
        <v>163</v>
      </c>
      <c r="AK276" s="1" t="s">
        <v>192</v>
      </c>
      <c r="AL276" s="1" t="s">
        <v>163</v>
      </c>
      <c r="AM276" s="1" t="s">
        <v>162</v>
      </c>
      <c r="AN276" s="1" t="s">
        <v>163</v>
      </c>
      <c r="AO276" s="1" t="s">
        <v>179</v>
      </c>
      <c r="AP276" s="1" t="s">
        <v>179</v>
      </c>
      <c r="AQ276" s="1">
        <v>1996</v>
      </c>
      <c r="AR276" s="1" t="s">
        <v>160</v>
      </c>
      <c r="AS276" s="1" t="s">
        <v>160</v>
      </c>
      <c r="AT276" s="1" t="s">
        <v>180</v>
      </c>
      <c r="AU276" s="1" t="s">
        <v>160</v>
      </c>
      <c r="AV276" s="1" t="s">
        <v>160</v>
      </c>
      <c r="AW276" s="1" t="s">
        <v>159</v>
      </c>
      <c r="AX276" s="1" t="s">
        <v>159</v>
      </c>
      <c r="AY276" s="1" t="s">
        <v>159</v>
      </c>
      <c r="AZ276" s="1" t="s">
        <v>159</v>
      </c>
      <c r="BA276" s="1" t="s">
        <v>159</v>
      </c>
      <c r="BB276" s="1" t="s">
        <v>241</v>
      </c>
      <c r="BC276" s="1" t="s">
        <v>160</v>
      </c>
      <c r="BE276" s="1" t="s">
        <v>1296</v>
      </c>
      <c r="BF276" s="1" t="s">
        <v>160</v>
      </c>
      <c r="BG276" s="1" t="s">
        <v>1296</v>
      </c>
    </row>
    <row r="277" spans="1:59" ht="13" x14ac:dyDescent="0.15">
      <c r="A277" s="2">
        <v>44175.73541666667</v>
      </c>
      <c r="B277" s="2">
        <v>44175.736805555556</v>
      </c>
      <c r="C277" s="1" t="s">
        <v>39</v>
      </c>
      <c r="D277" s="1" t="s">
        <v>234</v>
      </c>
      <c r="E277" s="1">
        <v>100</v>
      </c>
      <c r="F277" s="1">
        <v>121</v>
      </c>
      <c r="G277" s="1" t="b">
        <v>1</v>
      </c>
      <c r="H277" s="2">
        <v>44175.736805555556</v>
      </c>
      <c r="I277" s="1" t="s">
        <v>1297</v>
      </c>
      <c r="N277" s="1">
        <v>34.048492430000003</v>
      </c>
      <c r="O277" s="1">
        <v>-118.2528992</v>
      </c>
      <c r="P277" s="1" t="s">
        <v>153</v>
      </c>
      <c r="Q277" s="1" t="s">
        <v>154</v>
      </c>
      <c r="R277" s="1" t="s">
        <v>174</v>
      </c>
      <c r="S277" s="1" t="s">
        <v>208</v>
      </c>
      <c r="T277" s="1" t="s">
        <v>176</v>
      </c>
      <c r="U277" s="1" t="s">
        <v>1298</v>
      </c>
      <c r="V277" s="1" t="s">
        <v>160</v>
      </c>
      <c r="W277" s="1" t="s">
        <v>160</v>
      </c>
      <c r="X277" s="1" t="s">
        <v>160</v>
      </c>
      <c r="Y277" s="1" t="s">
        <v>160</v>
      </c>
      <c r="Z277" s="1" t="s">
        <v>160</v>
      </c>
      <c r="AA277" s="1" t="s">
        <v>160</v>
      </c>
      <c r="AB277" s="1" t="s">
        <v>160</v>
      </c>
      <c r="AC277" s="1" t="s">
        <v>160</v>
      </c>
      <c r="AD277" s="1" t="s">
        <v>160</v>
      </c>
      <c r="AE277" s="1" t="s">
        <v>160</v>
      </c>
      <c r="AF277" s="1" t="s">
        <v>160</v>
      </c>
      <c r="AG277" s="1" t="s">
        <v>160</v>
      </c>
      <c r="AI277" s="1" t="s">
        <v>160</v>
      </c>
      <c r="AJ277" s="1" t="s">
        <v>192</v>
      </c>
      <c r="AK277" s="1" t="s">
        <v>192</v>
      </c>
      <c r="AL277" s="1" t="s">
        <v>198</v>
      </c>
      <c r="AM277" s="1" t="s">
        <v>192</v>
      </c>
      <c r="AN277" s="1" t="s">
        <v>164</v>
      </c>
      <c r="AO277" s="1" t="s">
        <v>179</v>
      </c>
      <c r="AP277" s="1" t="s">
        <v>165</v>
      </c>
      <c r="AR277" s="1" t="s">
        <v>160</v>
      </c>
      <c r="AS277" s="1" t="s">
        <v>160</v>
      </c>
      <c r="AT277" s="1" t="s">
        <v>1299</v>
      </c>
      <c r="AU277" s="1" t="s">
        <v>160</v>
      </c>
      <c r="AV277" s="1" t="s">
        <v>159</v>
      </c>
      <c r="AW277" s="1" t="s">
        <v>160</v>
      </c>
      <c r="AX277" s="1" t="s">
        <v>159</v>
      </c>
      <c r="AY277" s="1" t="s">
        <v>160</v>
      </c>
      <c r="AZ277" s="1" t="s">
        <v>160</v>
      </c>
      <c r="BA277" s="1" t="s">
        <v>160</v>
      </c>
      <c r="BB277" s="1" t="s">
        <v>181</v>
      </c>
      <c r="BC277" s="1" t="s">
        <v>160</v>
      </c>
      <c r="BD277" s="1" t="s">
        <v>1300</v>
      </c>
      <c r="BE277" s="1" t="s">
        <v>1301</v>
      </c>
      <c r="BF277" s="1" t="s">
        <v>160</v>
      </c>
    </row>
    <row r="278" spans="1:59" ht="13" x14ac:dyDescent="0.15">
      <c r="A278" s="2">
        <v>44175.736111111109</v>
      </c>
      <c r="B278" s="2">
        <v>44175.737500000003</v>
      </c>
      <c r="C278" s="1" t="s">
        <v>39</v>
      </c>
      <c r="D278" s="1" t="s">
        <v>843</v>
      </c>
      <c r="E278" s="1">
        <v>100</v>
      </c>
      <c r="F278" s="1">
        <v>164</v>
      </c>
      <c r="G278" s="1" t="b">
        <v>1</v>
      </c>
      <c r="H278" s="2">
        <v>44175.737500000003</v>
      </c>
      <c r="I278" s="1" t="s">
        <v>1302</v>
      </c>
      <c r="N278" s="1">
        <v>41.945999149999999</v>
      </c>
      <c r="O278" s="1">
        <v>-87.703300479999996</v>
      </c>
      <c r="P278" s="1" t="s">
        <v>153</v>
      </c>
      <c r="Q278" s="1" t="s">
        <v>154</v>
      </c>
      <c r="R278" s="1" t="s">
        <v>155</v>
      </c>
      <c r="S278" s="1" t="s">
        <v>208</v>
      </c>
      <c r="T278" s="1" t="s">
        <v>157</v>
      </c>
      <c r="U278" s="1" t="s">
        <v>418</v>
      </c>
      <c r="V278" s="1" t="s">
        <v>160</v>
      </c>
      <c r="W278" s="1" t="s">
        <v>160</v>
      </c>
      <c r="X278" s="1" t="s">
        <v>160</v>
      </c>
      <c r="Y278" s="1" t="s">
        <v>159</v>
      </c>
      <c r="Z278" s="1" t="s">
        <v>160</v>
      </c>
      <c r="AA278" s="1" t="s">
        <v>159</v>
      </c>
      <c r="AB278" s="1" t="s">
        <v>159</v>
      </c>
      <c r="AC278" s="1" t="s">
        <v>160</v>
      </c>
      <c r="AD278" s="1" t="s">
        <v>160</v>
      </c>
      <c r="AE278" s="1" t="s">
        <v>159</v>
      </c>
      <c r="AF278" s="1" t="s">
        <v>160</v>
      </c>
      <c r="AG278" s="1" t="s">
        <v>160</v>
      </c>
      <c r="AH278" s="1">
        <v>2</v>
      </c>
      <c r="AI278" s="1" t="s">
        <v>160</v>
      </c>
      <c r="AJ278" s="1" t="s">
        <v>192</v>
      </c>
      <c r="AK278" s="1" t="s">
        <v>164</v>
      </c>
      <c r="AL278" s="1" t="s">
        <v>163</v>
      </c>
      <c r="AM278" s="1" t="s">
        <v>192</v>
      </c>
      <c r="AN278" s="1" t="s">
        <v>192</v>
      </c>
      <c r="AO278" s="1" t="s">
        <v>179</v>
      </c>
      <c r="AP278" s="1" t="s">
        <v>179</v>
      </c>
      <c r="AQ278" s="1">
        <v>1998</v>
      </c>
      <c r="AR278" s="1" t="s">
        <v>160</v>
      </c>
      <c r="AS278" s="1" t="s">
        <v>159</v>
      </c>
      <c r="AT278" s="1" t="s">
        <v>180</v>
      </c>
      <c r="AU278" s="1" t="s">
        <v>159</v>
      </c>
      <c r="AV278" s="1" t="s">
        <v>159</v>
      </c>
      <c r="AW278" s="1" t="s">
        <v>159</v>
      </c>
      <c r="AX278" s="1" t="s">
        <v>159</v>
      </c>
      <c r="AY278" s="1" t="s">
        <v>159</v>
      </c>
      <c r="AZ278" s="1" t="s">
        <v>159</v>
      </c>
      <c r="BA278" s="1" t="s">
        <v>159</v>
      </c>
      <c r="BB278" s="1" t="s">
        <v>181</v>
      </c>
      <c r="BC278" s="1" t="s">
        <v>159</v>
      </c>
      <c r="BE278" s="1" t="s">
        <v>1303</v>
      </c>
      <c r="BF278" s="1" t="s">
        <v>159</v>
      </c>
    </row>
    <row r="279" spans="1:59" ht="13" x14ac:dyDescent="0.15">
      <c r="A279" s="2">
        <v>44175.737500000003</v>
      </c>
      <c r="B279" s="2">
        <v>44175.738888888889</v>
      </c>
      <c r="C279" s="1" t="s">
        <v>39</v>
      </c>
      <c r="D279" s="1" t="s">
        <v>234</v>
      </c>
      <c r="E279" s="1">
        <v>100</v>
      </c>
      <c r="F279" s="1">
        <v>116</v>
      </c>
      <c r="G279" s="1" t="b">
        <v>1</v>
      </c>
      <c r="H279" s="2">
        <v>44175.738888888889</v>
      </c>
      <c r="I279" s="1" t="s">
        <v>1304</v>
      </c>
      <c r="N279" s="1">
        <v>34.048492430000003</v>
      </c>
      <c r="O279" s="1">
        <v>-118.2528992</v>
      </c>
      <c r="P279" s="1" t="s">
        <v>153</v>
      </c>
      <c r="Q279" s="1" t="s">
        <v>154</v>
      </c>
      <c r="R279" s="1" t="s">
        <v>236</v>
      </c>
      <c r="S279" s="1" t="s">
        <v>274</v>
      </c>
      <c r="T279" s="1" t="s">
        <v>157</v>
      </c>
      <c r="U279" s="1" t="s">
        <v>1305</v>
      </c>
      <c r="V279" s="1" t="s">
        <v>160</v>
      </c>
      <c r="W279" s="1" t="s">
        <v>160</v>
      </c>
      <c r="X279" s="1" t="s">
        <v>160</v>
      </c>
      <c r="Y279" s="1" t="s">
        <v>160</v>
      </c>
      <c r="Z279" s="1" t="s">
        <v>160</v>
      </c>
      <c r="AA279" s="1" t="s">
        <v>160</v>
      </c>
      <c r="AB279" s="1" t="s">
        <v>160</v>
      </c>
      <c r="AC279" s="1" t="s">
        <v>160</v>
      </c>
      <c r="AD279" s="1" t="s">
        <v>160</v>
      </c>
      <c r="AE279" s="1" t="s">
        <v>160</v>
      </c>
      <c r="AF279" s="1" t="s">
        <v>160</v>
      </c>
      <c r="AG279" s="1" t="s">
        <v>160</v>
      </c>
      <c r="AI279" s="1" t="s">
        <v>160</v>
      </c>
      <c r="AJ279" s="1" t="s">
        <v>164</v>
      </c>
      <c r="AK279" s="1" t="s">
        <v>192</v>
      </c>
      <c r="AL279" s="1" t="s">
        <v>163</v>
      </c>
      <c r="AM279" s="1" t="s">
        <v>198</v>
      </c>
      <c r="AN279" s="1" t="s">
        <v>163</v>
      </c>
      <c r="AO279" s="1" t="s">
        <v>179</v>
      </c>
      <c r="AP279" s="1" t="s">
        <v>179</v>
      </c>
      <c r="AR279" s="1" t="s">
        <v>160</v>
      </c>
      <c r="AS279" s="1" t="s">
        <v>160</v>
      </c>
      <c r="AT279" s="1" t="s">
        <v>180</v>
      </c>
      <c r="AU279" s="1" t="s">
        <v>160</v>
      </c>
      <c r="AV279" s="1" t="s">
        <v>159</v>
      </c>
      <c r="AW279" s="1" t="s">
        <v>160</v>
      </c>
      <c r="AX279" s="1" t="s">
        <v>160</v>
      </c>
      <c r="AY279" s="1" t="s">
        <v>159</v>
      </c>
      <c r="AZ279" s="1" t="s">
        <v>159</v>
      </c>
      <c r="BA279" s="1" t="s">
        <v>160</v>
      </c>
      <c r="BB279" s="1" t="s">
        <v>241</v>
      </c>
      <c r="BC279" s="1" t="s">
        <v>160</v>
      </c>
      <c r="BD279" s="1" t="s">
        <v>1306</v>
      </c>
      <c r="BE279" s="1" t="s">
        <v>1307</v>
      </c>
      <c r="BF279" s="1" t="s">
        <v>160</v>
      </c>
    </row>
    <row r="280" spans="1:59" ht="13" x14ac:dyDescent="0.15">
      <c r="A280" s="2">
        <v>44175.738194444442</v>
      </c>
      <c r="B280" s="2">
        <v>44175.740972222222</v>
      </c>
      <c r="C280" s="1" t="s">
        <v>39</v>
      </c>
      <c r="D280" s="1" t="s">
        <v>1308</v>
      </c>
      <c r="E280" s="1">
        <v>100</v>
      </c>
      <c r="F280" s="1">
        <v>215</v>
      </c>
      <c r="G280" s="1" t="b">
        <v>1</v>
      </c>
      <c r="H280" s="2">
        <v>44175.740972222222</v>
      </c>
      <c r="I280" s="1" t="s">
        <v>1309</v>
      </c>
      <c r="N280" s="1">
        <v>41.8710022</v>
      </c>
      <c r="O280" s="1">
        <v>-87.628898620000001</v>
      </c>
      <c r="P280" s="1" t="s">
        <v>153</v>
      </c>
      <c r="Q280" s="1" t="s">
        <v>154</v>
      </c>
      <c r="R280" s="1" t="s">
        <v>155</v>
      </c>
      <c r="S280" s="1" t="s">
        <v>208</v>
      </c>
      <c r="T280" s="1" t="s">
        <v>157</v>
      </c>
      <c r="U280" s="1" t="s">
        <v>418</v>
      </c>
      <c r="V280" s="1" t="s">
        <v>160</v>
      </c>
      <c r="W280" s="1" t="s">
        <v>159</v>
      </c>
      <c r="X280" s="1" t="s">
        <v>159</v>
      </c>
      <c r="Y280" s="1" t="s">
        <v>159</v>
      </c>
      <c r="Z280" s="1" t="s">
        <v>160</v>
      </c>
      <c r="AA280" s="1" t="s">
        <v>159</v>
      </c>
      <c r="AB280" s="1" t="s">
        <v>160</v>
      </c>
      <c r="AC280" s="1" t="s">
        <v>159</v>
      </c>
      <c r="AD280" s="1" t="s">
        <v>159</v>
      </c>
      <c r="AE280" s="1" t="s">
        <v>160</v>
      </c>
      <c r="AF280" s="1" t="s">
        <v>159</v>
      </c>
      <c r="AG280" s="1" t="s">
        <v>160</v>
      </c>
      <c r="AH280" s="1">
        <v>2</v>
      </c>
      <c r="AI280" s="1" t="s">
        <v>159</v>
      </c>
      <c r="AJ280" s="1" t="s">
        <v>192</v>
      </c>
      <c r="AK280" s="1" t="s">
        <v>163</v>
      </c>
      <c r="AL280" s="1" t="s">
        <v>164</v>
      </c>
      <c r="AM280" s="1" t="s">
        <v>192</v>
      </c>
      <c r="AN280" s="1" t="s">
        <v>163</v>
      </c>
      <c r="AO280" s="1" t="s">
        <v>179</v>
      </c>
      <c r="AP280" s="1" t="s">
        <v>179</v>
      </c>
      <c r="AQ280" s="1">
        <v>1997</v>
      </c>
      <c r="AR280" s="1" t="s">
        <v>160</v>
      </c>
      <c r="AS280" s="1" t="s">
        <v>159</v>
      </c>
      <c r="AT280" s="1" t="s">
        <v>180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181</v>
      </c>
      <c r="BC280" s="1" t="s">
        <v>159</v>
      </c>
      <c r="BE280" s="1" t="s">
        <v>1310</v>
      </c>
      <c r="BF280" s="1" t="s">
        <v>159</v>
      </c>
    </row>
    <row r="281" spans="1:59" ht="13" x14ac:dyDescent="0.15">
      <c r="A281" s="2">
        <v>44175.740277777775</v>
      </c>
      <c r="B281" s="2">
        <v>44175.741666666669</v>
      </c>
      <c r="C281" s="1" t="s">
        <v>39</v>
      </c>
      <c r="D281" s="1" t="s">
        <v>234</v>
      </c>
      <c r="E281" s="1">
        <v>100</v>
      </c>
      <c r="F281" s="1">
        <v>119</v>
      </c>
      <c r="G281" s="1" t="b">
        <v>1</v>
      </c>
      <c r="H281" s="2">
        <v>44175.741666666669</v>
      </c>
      <c r="I281" s="1" t="s">
        <v>1311</v>
      </c>
      <c r="N281" s="1">
        <v>34.048492430000003</v>
      </c>
      <c r="O281" s="1">
        <v>-118.2528992</v>
      </c>
      <c r="P281" s="1" t="s">
        <v>153</v>
      </c>
      <c r="Q281" s="1" t="s">
        <v>154</v>
      </c>
      <c r="R281" s="1" t="s">
        <v>155</v>
      </c>
      <c r="S281" s="1" t="s">
        <v>310</v>
      </c>
      <c r="T281" s="1" t="s">
        <v>176</v>
      </c>
      <c r="U281" s="1" t="s">
        <v>730</v>
      </c>
      <c r="V281" s="1" t="s">
        <v>160</v>
      </c>
      <c r="W281" s="1" t="s">
        <v>160</v>
      </c>
      <c r="X281" s="1" t="s">
        <v>160</v>
      </c>
      <c r="Y281" s="1" t="s">
        <v>160</v>
      </c>
      <c r="Z281" s="1" t="s">
        <v>160</v>
      </c>
      <c r="AA281" s="1" t="s">
        <v>160</v>
      </c>
      <c r="AB281" s="1" t="s">
        <v>160</v>
      </c>
      <c r="AC281" s="1" t="s">
        <v>160</v>
      </c>
      <c r="AD281" s="1" t="s">
        <v>160</v>
      </c>
      <c r="AE281" s="1" t="s">
        <v>160</v>
      </c>
      <c r="AF281" s="1" t="s">
        <v>160</v>
      </c>
      <c r="AG281" s="1" t="s">
        <v>160</v>
      </c>
      <c r="AI281" s="1" t="s">
        <v>160</v>
      </c>
      <c r="AJ281" s="1" t="s">
        <v>198</v>
      </c>
      <c r="AK281" s="1" t="s">
        <v>163</v>
      </c>
      <c r="AL281" s="1" t="s">
        <v>198</v>
      </c>
      <c r="AM281" s="1" t="s">
        <v>192</v>
      </c>
      <c r="AN281" s="1" t="s">
        <v>198</v>
      </c>
      <c r="AO281" s="1" t="s">
        <v>179</v>
      </c>
      <c r="AP281" s="1" t="s">
        <v>239</v>
      </c>
      <c r="AR281" s="1" t="s">
        <v>160</v>
      </c>
      <c r="AS281" s="1" t="s">
        <v>160</v>
      </c>
      <c r="AT281" s="1" t="s">
        <v>312</v>
      </c>
      <c r="AU281" s="1" t="s">
        <v>159</v>
      </c>
      <c r="AV281" s="1" t="s">
        <v>159</v>
      </c>
      <c r="AW281" s="1" t="s">
        <v>160</v>
      </c>
      <c r="AX281" s="1" t="s">
        <v>160</v>
      </c>
      <c r="AY281" s="1" t="s">
        <v>160</v>
      </c>
      <c r="AZ281" s="1" t="s">
        <v>160</v>
      </c>
      <c r="BA281" s="1" t="s">
        <v>159</v>
      </c>
      <c r="BB281" s="1" t="s">
        <v>167</v>
      </c>
      <c r="BC281" s="1" t="s">
        <v>160</v>
      </c>
      <c r="BD281" s="1" t="s">
        <v>1312</v>
      </c>
      <c r="BE281" s="1" t="s">
        <v>1313</v>
      </c>
      <c r="BF281" s="1" t="s">
        <v>160</v>
      </c>
    </row>
    <row r="282" spans="1:59" ht="13" x14ac:dyDescent="0.15">
      <c r="A282" s="2">
        <v>44175.742361111108</v>
      </c>
      <c r="B282" s="2">
        <v>44175.743750000001</v>
      </c>
      <c r="C282" s="1" t="s">
        <v>39</v>
      </c>
      <c r="D282" s="1" t="s">
        <v>234</v>
      </c>
      <c r="E282" s="1">
        <v>100</v>
      </c>
      <c r="F282" s="1">
        <v>121</v>
      </c>
      <c r="G282" s="1" t="b">
        <v>1</v>
      </c>
      <c r="H282" s="2">
        <v>44175.743750000001</v>
      </c>
      <c r="I282" s="1" t="s">
        <v>1314</v>
      </c>
      <c r="N282" s="1">
        <v>34.048492430000003</v>
      </c>
      <c r="O282" s="1">
        <v>-118.2528992</v>
      </c>
      <c r="P282" s="1" t="s">
        <v>153</v>
      </c>
      <c r="Q282" s="1" t="s">
        <v>154</v>
      </c>
      <c r="R282" s="1" t="s">
        <v>236</v>
      </c>
      <c r="S282" s="1" t="s">
        <v>310</v>
      </c>
      <c r="T282" s="1" t="s">
        <v>157</v>
      </c>
      <c r="U282" s="1" t="s">
        <v>1315</v>
      </c>
      <c r="V282" s="1" t="s">
        <v>160</v>
      </c>
      <c r="W282" s="1" t="s">
        <v>160</v>
      </c>
      <c r="X282" s="1" t="s">
        <v>160</v>
      </c>
      <c r="Y282" s="1" t="s">
        <v>160</v>
      </c>
      <c r="Z282" s="1" t="s">
        <v>160</v>
      </c>
      <c r="AA282" s="1" t="s">
        <v>160</v>
      </c>
      <c r="AB282" s="1" t="s">
        <v>160</v>
      </c>
      <c r="AC282" s="1" t="s">
        <v>160</v>
      </c>
      <c r="AD282" s="1" t="s">
        <v>160</v>
      </c>
      <c r="AE282" s="1" t="s">
        <v>160</v>
      </c>
      <c r="AF282" s="1" t="s">
        <v>160</v>
      </c>
      <c r="AG282" s="1" t="s">
        <v>160</v>
      </c>
      <c r="AI282" s="1" t="s">
        <v>160</v>
      </c>
      <c r="AJ282" s="1" t="s">
        <v>163</v>
      </c>
      <c r="AK282" s="1" t="s">
        <v>198</v>
      </c>
      <c r="AL282" s="1" t="s">
        <v>198</v>
      </c>
      <c r="AM282" s="1" t="s">
        <v>192</v>
      </c>
      <c r="AN282" s="1" t="s">
        <v>164</v>
      </c>
      <c r="AO282" s="1" t="s">
        <v>179</v>
      </c>
      <c r="AP282" s="1" t="s">
        <v>165</v>
      </c>
      <c r="AR282" s="1" t="s">
        <v>160</v>
      </c>
      <c r="AS282" s="1" t="s">
        <v>160</v>
      </c>
      <c r="AT282" s="1" t="s">
        <v>1316</v>
      </c>
      <c r="AU282" s="1" t="s">
        <v>159</v>
      </c>
      <c r="AV282" s="1" t="s">
        <v>160</v>
      </c>
      <c r="AW282" s="1" t="s">
        <v>159</v>
      </c>
      <c r="AX282" s="1" t="s">
        <v>159</v>
      </c>
      <c r="AY282" s="1" t="s">
        <v>160</v>
      </c>
      <c r="AZ282" s="1" t="s">
        <v>159</v>
      </c>
      <c r="BA282" s="1" t="s">
        <v>159</v>
      </c>
      <c r="BB282" s="1" t="s">
        <v>222</v>
      </c>
      <c r="BC282" s="1" t="s">
        <v>160</v>
      </c>
      <c r="BD282" s="1" t="s">
        <v>1317</v>
      </c>
      <c r="BE282" s="1" t="s">
        <v>1318</v>
      </c>
      <c r="BF282" s="1" t="s">
        <v>160</v>
      </c>
    </row>
    <row r="283" spans="1:59" ht="13" x14ac:dyDescent="0.15">
      <c r="A283" s="2">
        <v>44175.743750000001</v>
      </c>
      <c r="B283" s="2">
        <v>44175.745138888888</v>
      </c>
      <c r="C283" s="1" t="s">
        <v>39</v>
      </c>
      <c r="D283" s="1" t="s">
        <v>234</v>
      </c>
      <c r="E283" s="1">
        <v>100</v>
      </c>
      <c r="F283" s="1">
        <v>121</v>
      </c>
      <c r="G283" s="1" t="b">
        <v>1</v>
      </c>
      <c r="H283" s="2">
        <v>44175.745138888888</v>
      </c>
      <c r="I283" s="1" t="s">
        <v>1319</v>
      </c>
      <c r="N283" s="1">
        <v>34.048492430000003</v>
      </c>
      <c r="O283" s="1">
        <v>-118.2528992</v>
      </c>
      <c r="P283" s="1" t="s">
        <v>153</v>
      </c>
      <c r="Q283" s="1" t="s">
        <v>154</v>
      </c>
      <c r="R283" s="1" t="s">
        <v>174</v>
      </c>
      <c r="S283" s="1" t="s">
        <v>274</v>
      </c>
      <c r="T283" s="1" t="s">
        <v>237</v>
      </c>
      <c r="U283" s="1" t="s">
        <v>1320</v>
      </c>
      <c r="V283" s="1" t="s">
        <v>160</v>
      </c>
      <c r="W283" s="1" t="s">
        <v>160</v>
      </c>
      <c r="X283" s="1" t="s">
        <v>160</v>
      </c>
      <c r="Y283" s="1" t="s">
        <v>160</v>
      </c>
      <c r="Z283" s="1" t="s">
        <v>160</v>
      </c>
      <c r="AA283" s="1" t="s">
        <v>160</v>
      </c>
      <c r="AB283" s="1" t="s">
        <v>160</v>
      </c>
      <c r="AC283" s="1" t="s">
        <v>160</v>
      </c>
      <c r="AD283" s="1" t="s">
        <v>160</v>
      </c>
      <c r="AE283" s="1" t="s">
        <v>160</v>
      </c>
      <c r="AF283" s="1" t="s">
        <v>160</v>
      </c>
      <c r="AG283" s="1" t="s">
        <v>160</v>
      </c>
      <c r="AI283" s="1" t="s">
        <v>160</v>
      </c>
      <c r="AJ283" s="1" t="s">
        <v>198</v>
      </c>
      <c r="AK283" s="1" t="s">
        <v>198</v>
      </c>
      <c r="AL283" s="1" t="s">
        <v>192</v>
      </c>
      <c r="AM283" s="1" t="s">
        <v>198</v>
      </c>
      <c r="AN283" s="1" t="s">
        <v>164</v>
      </c>
      <c r="AO283" s="1" t="s">
        <v>179</v>
      </c>
      <c r="AP283" s="1" t="s">
        <v>165</v>
      </c>
      <c r="AR283" s="1" t="s">
        <v>160</v>
      </c>
      <c r="AS283" s="1" t="s">
        <v>160</v>
      </c>
      <c r="AT283" s="1" t="s">
        <v>350</v>
      </c>
      <c r="AU283" s="1" t="s">
        <v>159</v>
      </c>
      <c r="AV283" s="1" t="s">
        <v>160</v>
      </c>
      <c r="AW283" s="1" t="s">
        <v>160</v>
      </c>
      <c r="AX283" s="1" t="s">
        <v>159</v>
      </c>
      <c r="AY283" s="1" t="s">
        <v>159</v>
      </c>
      <c r="AZ283" s="1" t="s">
        <v>160</v>
      </c>
      <c r="BA283" s="1" t="s">
        <v>160</v>
      </c>
      <c r="BB283" s="1" t="s">
        <v>167</v>
      </c>
      <c r="BC283" s="1" t="s">
        <v>160</v>
      </c>
      <c r="BD283" s="1" t="s">
        <v>1321</v>
      </c>
      <c r="BE283" s="1" t="s">
        <v>1322</v>
      </c>
      <c r="BF283" s="1" t="s">
        <v>160</v>
      </c>
    </row>
    <row r="284" spans="1:59" ht="13" x14ac:dyDescent="0.15">
      <c r="A284" s="2">
        <v>44175.745833333334</v>
      </c>
      <c r="B284" s="2">
        <v>44175.74722222222</v>
      </c>
      <c r="C284" s="1" t="s">
        <v>39</v>
      </c>
      <c r="D284" s="1" t="s">
        <v>234</v>
      </c>
      <c r="E284" s="1">
        <v>100</v>
      </c>
      <c r="F284" s="1">
        <v>116</v>
      </c>
      <c r="G284" s="1" t="b">
        <v>1</v>
      </c>
      <c r="H284" s="2">
        <v>44175.74722222222</v>
      </c>
      <c r="I284" s="1" t="s">
        <v>1323</v>
      </c>
      <c r="N284" s="1">
        <v>34.048492430000003</v>
      </c>
      <c r="O284" s="1">
        <v>-118.2528992</v>
      </c>
      <c r="P284" s="1" t="s">
        <v>153</v>
      </c>
      <c r="Q284" s="1" t="s">
        <v>154</v>
      </c>
      <c r="R284" s="1" t="s">
        <v>155</v>
      </c>
      <c r="S284" s="1" t="s">
        <v>175</v>
      </c>
      <c r="T284" s="1" t="s">
        <v>176</v>
      </c>
      <c r="U284" s="1" t="s">
        <v>1324</v>
      </c>
      <c r="V284" s="1" t="s">
        <v>160</v>
      </c>
      <c r="W284" s="1" t="s">
        <v>160</v>
      </c>
      <c r="X284" s="1" t="s">
        <v>160</v>
      </c>
      <c r="Y284" s="1" t="s">
        <v>160</v>
      </c>
      <c r="Z284" s="1" t="s">
        <v>160</v>
      </c>
      <c r="AA284" s="1" t="s">
        <v>160</v>
      </c>
      <c r="AB284" s="1" t="s">
        <v>160</v>
      </c>
      <c r="AC284" s="1" t="s">
        <v>160</v>
      </c>
      <c r="AD284" s="1" t="s">
        <v>160</v>
      </c>
      <c r="AE284" s="1" t="s">
        <v>160</v>
      </c>
      <c r="AF284" s="1" t="s">
        <v>160</v>
      </c>
      <c r="AG284" s="1" t="s">
        <v>160</v>
      </c>
      <c r="AI284" s="1" t="s">
        <v>160</v>
      </c>
      <c r="AJ284" s="1" t="s">
        <v>198</v>
      </c>
      <c r="AK284" s="1" t="s">
        <v>198</v>
      </c>
      <c r="AL284" s="1" t="s">
        <v>198</v>
      </c>
      <c r="AM284" s="1" t="s">
        <v>192</v>
      </c>
      <c r="AN284" s="1" t="s">
        <v>163</v>
      </c>
      <c r="AO284" s="1" t="s">
        <v>179</v>
      </c>
      <c r="AP284" s="1" t="s">
        <v>165</v>
      </c>
      <c r="AR284" s="1" t="s">
        <v>160</v>
      </c>
      <c r="AS284" s="1" t="s">
        <v>160</v>
      </c>
      <c r="AT284" s="1" t="s">
        <v>350</v>
      </c>
      <c r="AU284" s="1" t="s">
        <v>159</v>
      </c>
      <c r="AV284" s="1" t="s">
        <v>160</v>
      </c>
      <c r="AW284" s="1" t="s">
        <v>160</v>
      </c>
      <c r="AX284" s="1" t="s">
        <v>159</v>
      </c>
      <c r="AY284" s="1" t="s">
        <v>160</v>
      </c>
      <c r="AZ284" s="1" t="s">
        <v>159</v>
      </c>
      <c r="BA284" s="1" t="s">
        <v>159</v>
      </c>
      <c r="BB284" s="1" t="s">
        <v>167</v>
      </c>
      <c r="BC284" s="1" t="s">
        <v>160</v>
      </c>
      <c r="BD284" s="1" t="s">
        <v>1325</v>
      </c>
      <c r="BE284" s="1" t="s">
        <v>1326</v>
      </c>
      <c r="BF284" s="1" t="s">
        <v>160</v>
      </c>
    </row>
    <row r="285" spans="1:59" ht="13" x14ac:dyDescent="0.15">
      <c r="A285" s="2">
        <v>44175.74722222222</v>
      </c>
      <c r="B285" s="2">
        <v>44175.748611111114</v>
      </c>
      <c r="C285" s="1" t="s">
        <v>39</v>
      </c>
      <c r="D285" s="1" t="s">
        <v>234</v>
      </c>
      <c r="E285" s="1">
        <v>100</v>
      </c>
      <c r="F285" s="1">
        <v>120</v>
      </c>
      <c r="G285" s="1" t="b">
        <v>1</v>
      </c>
      <c r="H285" s="2">
        <v>44175.748611111114</v>
      </c>
      <c r="I285" s="1" t="s">
        <v>1327</v>
      </c>
      <c r="N285" s="1">
        <v>34.048492430000003</v>
      </c>
      <c r="O285" s="1">
        <v>-118.2528992</v>
      </c>
      <c r="P285" s="1" t="s">
        <v>153</v>
      </c>
      <c r="Q285" s="1" t="s">
        <v>154</v>
      </c>
      <c r="R285" s="1" t="s">
        <v>174</v>
      </c>
      <c r="S285" s="1" t="s">
        <v>208</v>
      </c>
      <c r="T285" s="1" t="s">
        <v>237</v>
      </c>
      <c r="U285" s="1" t="s">
        <v>570</v>
      </c>
      <c r="V285" s="1" t="s">
        <v>160</v>
      </c>
      <c r="W285" s="1" t="s">
        <v>160</v>
      </c>
      <c r="X285" s="1" t="s">
        <v>160</v>
      </c>
      <c r="Y285" s="1" t="s">
        <v>160</v>
      </c>
      <c r="Z285" s="1" t="s">
        <v>160</v>
      </c>
      <c r="AA285" s="1" t="s">
        <v>160</v>
      </c>
      <c r="AB285" s="1" t="s">
        <v>160</v>
      </c>
      <c r="AC285" s="1" t="s">
        <v>160</v>
      </c>
      <c r="AD285" s="1" t="s">
        <v>160</v>
      </c>
      <c r="AE285" s="1" t="s">
        <v>160</v>
      </c>
      <c r="AF285" s="1" t="s">
        <v>160</v>
      </c>
      <c r="AG285" s="1" t="s">
        <v>160</v>
      </c>
      <c r="AI285" s="1" t="s">
        <v>160</v>
      </c>
      <c r="AJ285" s="1" t="s">
        <v>163</v>
      </c>
      <c r="AK285" s="1" t="s">
        <v>164</v>
      </c>
      <c r="AL285" s="1" t="s">
        <v>192</v>
      </c>
      <c r="AM285" s="1" t="s">
        <v>164</v>
      </c>
      <c r="AN285" s="1" t="s">
        <v>198</v>
      </c>
      <c r="AO285" s="1" t="s">
        <v>179</v>
      </c>
      <c r="AP285" s="1" t="s">
        <v>179</v>
      </c>
      <c r="AR285" s="1" t="s">
        <v>160</v>
      </c>
      <c r="AS285" s="1" t="s">
        <v>160</v>
      </c>
      <c r="AT285" s="1" t="s">
        <v>702</v>
      </c>
      <c r="AU285" s="1" t="s">
        <v>160</v>
      </c>
      <c r="AV285" s="1" t="s">
        <v>160</v>
      </c>
      <c r="AW285" s="1" t="s">
        <v>159</v>
      </c>
      <c r="AX285" s="1" t="s">
        <v>159</v>
      </c>
      <c r="AY285" s="1" t="s">
        <v>159</v>
      </c>
      <c r="AZ285" s="1" t="s">
        <v>160</v>
      </c>
      <c r="BA285" s="1" t="s">
        <v>159</v>
      </c>
      <c r="BB285" s="1" t="s">
        <v>222</v>
      </c>
      <c r="BC285" s="1" t="s">
        <v>160</v>
      </c>
      <c r="BD285" s="1" t="s">
        <v>1328</v>
      </c>
      <c r="BE285" s="1" t="s">
        <v>1329</v>
      </c>
      <c r="BF285" s="1" t="s">
        <v>160</v>
      </c>
    </row>
    <row r="286" spans="1:59" ht="13" x14ac:dyDescent="0.15">
      <c r="A286" s="2">
        <v>44175.741666666669</v>
      </c>
      <c r="B286" s="2">
        <v>44175.748611111114</v>
      </c>
      <c r="C286" s="1" t="s">
        <v>39</v>
      </c>
      <c r="D286" s="1" t="s">
        <v>1330</v>
      </c>
      <c r="E286" s="1">
        <v>100</v>
      </c>
      <c r="F286" s="1">
        <v>643</v>
      </c>
      <c r="G286" s="1" t="b">
        <v>1</v>
      </c>
      <c r="H286" s="2">
        <v>44175.748611111114</v>
      </c>
      <c r="I286" s="1" t="s">
        <v>1331</v>
      </c>
      <c r="N286" s="1">
        <v>41.955505369999997</v>
      </c>
      <c r="O286" s="1">
        <v>-87.661300659999995</v>
      </c>
      <c r="P286" s="1" t="s">
        <v>153</v>
      </c>
      <c r="Q286" s="1" t="s">
        <v>154</v>
      </c>
      <c r="R286" s="1" t="s">
        <v>174</v>
      </c>
      <c r="S286" s="1" t="s">
        <v>226</v>
      </c>
      <c r="T286" s="1" t="s">
        <v>157</v>
      </c>
      <c r="U286" s="1" t="s">
        <v>496</v>
      </c>
      <c r="V286" s="1" t="s">
        <v>160</v>
      </c>
      <c r="W286" s="1" t="s">
        <v>159</v>
      </c>
      <c r="X286" s="1" t="s">
        <v>160</v>
      </c>
      <c r="Y286" s="1" t="s">
        <v>159</v>
      </c>
      <c r="Z286" s="1" t="s">
        <v>159</v>
      </c>
      <c r="AA286" s="1" t="s">
        <v>159</v>
      </c>
      <c r="AB286" s="1" t="s">
        <v>160</v>
      </c>
      <c r="AC286" s="1" t="s">
        <v>159</v>
      </c>
      <c r="AD286" s="1" t="s">
        <v>160</v>
      </c>
      <c r="AE286" s="1" t="s">
        <v>159</v>
      </c>
      <c r="AF286" s="1" t="s">
        <v>159</v>
      </c>
      <c r="AG286" s="1" t="s">
        <v>159</v>
      </c>
      <c r="AH286" s="1">
        <v>2</v>
      </c>
      <c r="AI286" s="1" t="s">
        <v>160</v>
      </c>
      <c r="AJ286" s="1" t="s">
        <v>192</v>
      </c>
      <c r="AK286" s="1" t="s">
        <v>163</v>
      </c>
      <c r="AL286" s="1" t="s">
        <v>164</v>
      </c>
      <c r="AM286" s="1" t="s">
        <v>163</v>
      </c>
      <c r="AN286" s="1" t="s">
        <v>192</v>
      </c>
      <c r="AO286" s="1" t="s">
        <v>179</v>
      </c>
      <c r="AP286" s="1" t="s">
        <v>179</v>
      </c>
      <c r="AQ286" s="1">
        <v>1999</v>
      </c>
      <c r="AR286" s="1" t="s">
        <v>160</v>
      </c>
      <c r="AS286" s="1" t="s">
        <v>159</v>
      </c>
      <c r="AT286" s="1" t="s">
        <v>180</v>
      </c>
      <c r="AU286" s="1" t="s">
        <v>159</v>
      </c>
      <c r="AV286" s="1" t="s">
        <v>159</v>
      </c>
      <c r="AW286" s="1" t="s">
        <v>159</v>
      </c>
      <c r="AX286" s="1" t="s">
        <v>159</v>
      </c>
      <c r="AY286" s="1" t="s">
        <v>159</v>
      </c>
      <c r="AZ286" s="1" t="s">
        <v>159</v>
      </c>
      <c r="BA286" s="1" t="s">
        <v>159</v>
      </c>
      <c r="BB286" s="1" t="s">
        <v>167</v>
      </c>
      <c r="BC286" s="1" t="s">
        <v>159</v>
      </c>
      <c r="BE286" s="1" t="s">
        <v>1332</v>
      </c>
      <c r="BF286" s="1" t="s">
        <v>159</v>
      </c>
    </row>
    <row r="287" spans="1:59" ht="13" x14ac:dyDescent="0.15">
      <c r="A287" s="2">
        <v>44175.748611111114</v>
      </c>
      <c r="B287" s="2">
        <v>44175.75</v>
      </c>
      <c r="C287" s="1" t="s">
        <v>39</v>
      </c>
      <c r="D287" s="1" t="s">
        <v>234</v>
      </c>
      <c r="E287" s="1">
        <v>100</v>
      </c>
      <c r="F287" s="1">
        <v>121</v>
      </c>
      <c r="G287" s="1" t="b">
        <v>1</v>
      </c>
      <c r="H287" s="2">
        <v>44175.75</v>
      </c>
      <c r="I287" s="1" t="s">
        <v>1333</v>
      </c>
      <c r="N287" s="1">
        <v>34.048492430000003</v>
      </c>
      <c r="O287" s="1">
        <v>-118.2528992</v>
      </c>
      <c r="P287" s="1" t="s">
        <v>153</v>
      </c>
      <c r="Q287" s="1" t="s">
        <v>154</v>
      </c>
      <c r="R287" s="1" t="s">
        <v>236</v>
      </c>
      <c r="S287" s="1" t="s">
        <v>310</v>
      </c>
      <c r="T287" s="1" t="s">
        <v>176</v>
      </c>
      <c r="U287" s="1" t="s">
        <v>1334</v>
      </c>
      <c r="V287" s="1" t="s">
        <v>160</v>
      </c>
      <c r="W287" s="1" t="s">
        <v>160</v>
      </c>
      <c r="X287" s="1" t="s">
        <v>160</v>
      </c>
      <c r="Y287" s="1" t="s">
        <v>160</v>
      </c>
      <c r="Z287" s="1" t="s">
        <v>160</v>
      </c>
      <c r="AA287" s="1" t="s">
        <v>160</v>
      </c>
      <c r="AB287" s="1" t="s">
        <v>160</v>
      </c>
      <c r="AC287" s="1" t="s">
        <v>160</v>
      </c>
      <c r="AD287" s="1" t="s">
        <v>160</v>
      </c>
      <c r="AE287" s="1" t="s">
        <v>160</v>
      </c>
      <c r="AF287" s="1" t="s">
        <v>160</v>
      </c>
      <c r="AG287" s="1" t="s">
        <v>160</v>
      </c>
      <c r="AI287" s="1" t="s">
        <v>160</v>
      </c>
      <c r="AJ287" s="1" t="s">
        <v>198</v>
      </c>
      <c r="AK287" s="1" t="s">
        <v>192</v>
      </c>
      <c r="AL287" s="1" t="s">
        <v>192</v>
      </c>
      <c r="AM287" s="1" t="s">
        <v>164</v>
      </c>
      <c r="AN287" s="1" t="s">
        <v>192</v>
      </c>
      <c r="AO287" s="1" t="s">
        <v>179</v>
      </c>
      <c r="AP287" s="1" t="s">
        <v>179</v>
      </c>
      <c r="AR287" s="1" t="s">
        <v>160</v>
      </c>
      <c r="AS287" s="1" t="s">
        <v>160</v>
      </c>
      <c r="AT287" s="1" t="s">
        <v>1335</v>
      </c>
      <c r="AU287" s="1" t="s">
        <v>160</v>
      </c>
      <c r="AV287" s="1" t="s">
        <v>160</v>
      </c>
      <c r="AW287" s="1" t="s">
        <v>159</v>
      </c>
      <c r="AX287" s="1" t="s">
        <v>160</v>
      </c>
      <c r="AY287" s="1" t="s">
        <v>159</v>
      </c>
      <c r="AZ287" s="1" t="s">
        <v>160</v>
      </c>
      <c r="BA287" s="1" t="s">
        <v>159</v>
      </c>
      <c r="BB287" s="1" t="s">
        <v>241</v>
      </c>
      <c r="BC287" s="1" t="s">
        <v>160</v>
      </c>
      <c r="BD287" s="1" t="s">
        <v>1336</v>
      </c>
      <c r="BE287" s="1" t="s">
        <v>1337</v>
      </c>
      <c r="BF287" s="1" t="s">
        <v>160</v>
      </c>
    </row>
    <row r="288" spans="1:59" ht="13" x14ac:dyDescent="0.15">
      <c r="A288" s="2">
        <v>44175.75</v>
      </c>
      <c r="B288" s="2">
        <v>44175.751388888886</v>
      </c>
      <c r="C288" s="1" t="s">
        <v>39</v>
      </c>
      <c r="D288" s="1" t="s">
        <v>1338</v>
      </c>
      <c r="E288" s="1">
        <v>100</v>
      </c>
      <c r="F288" s="1">
        <v>142</v>
      </c>
      <c r="G288" s="1" t="b">
        <v>1</v>
      </c>
      <c r="H288" s="2">
        <v>44175.751388888886</v>
      </c>
      <c r="I288" s="1" t="s">
        <v>1339</v>
      </c>
      <c r="N288" s="1">
        <v>41.769699099999997</v>
      </c>
      <c r="O288" s="1">
        <v>-87.698501590000006</v>
      </c>
      <c r="P288" s="1" t="s">
        <v>153</v>
      </c>
      <c r="Q288" s="1" t="s">
        <v>154</v>
      </c>
      <c r="R288" s="1" t="s">
        <v>174</v>
      </c>
      <c r="S288" s="1" t="s">
        <v>274</v>
      </c>
      <c r="T288" s="1" t="s">
        <v>157</v>
      </c>
      <c r="U288" s="1" t="s">
        <v>496</v>
      </c>
      <c r="V288" s="1" t="s">
        <v>160</v>
      </c>
      <c r="W288" s="1" t="s">
        <v>160</v>
      </c>
      <c r="X288" s="1" t="s">
        <v>160</v>
      </c>
      <c r="Y288" s="1" t="s">
        <v>159</v>
      </c>
      <c r="Z288" s="1" t="s">
        <v>159</v>
      </c>
      <c r="AA288" s="1" t="s">
        <v>159</v>
      </c>
      <c r="AB288" s="1" t="s">
        <v>160</v>
      </c>
      <c r="AC288" s="1" t="s">
        <v>160</v>
      </c>
      <c r="AD288" s="1" t="s">
        <v>159</v>
      </c>
      <c r="AE288" s="1" t="s">
        <v>160</v>
      </c>
      <c r="AF288" s="1" t="s">
        <v>160</v>
      </c>
      <c r="AG288" s="1" t="s">
        <v>160</v>
      </c>
      <c r="AH288" s="1">
        <v>1</v>
      </c>
      <c r="AI288" s="1" t="s">
        <v>160</v>
      </c>
      <c r="AJ288" s="1" t="s">
        <v>192</v>
      </c>
      <c r="AK288" s="1" t="s">
        <v>163</v>
      </c>
      <c r="AL288" s="1" t="s">
        <v>192</v>
      </c>
      <c r="AM288" s="1" t="s">
        <v>163</v>
      </c>
      <c r="AN288" s="1" t="s">
        <v>163</v>
      </c>
      <c r="AO288" s="1" t="s">
        <v>179</v>
      </c>
      <c r="AP288" s="1" t="s">
        <v>179</v>
      </c>
      <c r="AQ288" s="1">
        <v>1998</v>
      </c>
      <c r="AR288" s="1" t="s">
        <v>160</v>
      </c>
      <c r="AS288" s="1" t="s">
        <v>159</v>
      </c>
      <c r="AT288" s="1" t="s">
        <v>180</v>
      </c>
      <c r="AU288" s="1" t="s">
        <v>159</v>
      </c>
      <c r="AV288" s="1" t="s">
        <v>159</v>
      </c>
      <c r="AW288" s="1" t="s">
        <v>159</v>
      </c>
      <c r="AX288" s="1" t="s">
        <v>159</v>
      </c>
      <c r="AY288" s="1" t="s">
        <v>159</v>
      </c>
      <c r="AZ288" s="1" t="s">
        <v>159</v>
      </c>
      <c r="BA288" s="1" t="s">
        <v>159</v>
      </c>
      <c r="BB288" s="1" t="s">
        <v>167</v>
      </c>
      <c r="BC288" s="1" t="s">
        <v>159</v>
      </c>
      <c r="BE288" s="1" t="s">
        <v>1340</v>
      </c>
      <c r="BF288" s="1" t="s">
        <v>159</v>
      </c>
    </row>
    <row r="289" spans="1:59" ht="13" x14ac:dyDescent="0.15">
      <c r="A289" s="2">
        <v>44175.750694444447</v>
      </c>
      <c r="B289" s="2">
        <v>44175.752083333333</v>
      </c>
      <c r="C289" s="1" t="s">
        <v>39</v>
      </c>
      <c r="D289" s="1" t="s">
        <v>234</v>
      </c>
      <c r="E289" s="1">
        <v>100</v>
      </c>
      <c r="F289" s="1">
        <v>116</v>
      </c>
      <c r="G289" s="1" t="b">
        <v>1</v>
      </c>
      <c r="H289" s="2">
        <v>44175.752083333333</v>
      </c>
      <c r="I289" s="1" t="s">
        <v>1341</v>
      </c>
      <c r="N289" s="1">
        <v>34.048492430000003</v>
      </c>
      <c r="O289" s="1">
        <v>-118.2528992</v>
      </c>
      <c r="P289" s="1" t="s">
        <v>153</v>
      </c>
      <c r="Q289" s="1" t="s">
        <v>154</v>
      </c>
      <c r="R289" s="1" t="s">
        <v>174</v>
      </c>
      <c r="S289" s="1" t="s">
        <v>208</v>
      </c>
      <c r="T289" s="1" t="s">
        <v>263</v>
      </c>
      <c r="U289" s="1" t="s">
        <v>1342</v>
      </c>
      <c r="V289" s="1" t="s">
        <v>160</v>
      </c>
      <c r="W289" s="1" t="s">
        <v>160</v>
      </c>
      <c r="X289" s="1" t="s">
        <v>160</v>
      </c>
      <c r="Y289" s="1" t="s">
        <v>160</v>
      </c>
      <c r="Z289" s="1" t="s">
        <v>160</v>
      </c>
      <c r="AA289" s="1" t="s">
        <v>160</v>
      </c>
      <c r="AB289" s="1" t="s">
        <v>160</v>
      </c>
      <c r="AC289" s="1" t="s">
        <v>160</v>
      </c>
      <c r="AD289" s="1" t="s">
        <v>160</v>
      </c>
      <c r="AE289" s="1" t="s">
        <v>160</v>
      </c>
      <c r="AF289" s="1" t="s">
        <v>160</v>
      </c>
      <c r="AG289" s="1" t="s">
        <v>160</v>
      </c>
      <c r="AI289" s="1" t="s">
        <v>160</v>
      </c>
      <c r="AJ289" s="1" t="s">
        <v>192</v>
      </c>
      <c r="AK289" s="1" t="s">
        <v>163</v>
      </c>
      <c r="AL289" s="1" t="s">
        <v>198</v>
      </c>
      <c r="AM289" s="1" t="s">
        <v>192</v>
      </c>
      <c r="AN289" s="1" t="s">
        <v>198</v>
      </c>
      <c r="AO289" s="1" t="s">
        <v>179</v>
      </c>
      <c r="AP289" s="1" t="s">
        <v>239</v>
      </c>
      <c r="AR289" s="1" t="s">
        <v>160</v>
      </c>
      <c r="AS289" s="1" t="s">
        <v>160</v>
      </c>
      <c r="AT289" s="1" t="s">
        <v>322</v>
      </c>
      <c r="AU289" s="1" t="s">
        <v>159</v>
      </c>
      <c r="AV289" s="1" t="s">
        <v>160</v>
      </c>
      <c r="AW289" s="1" t="s">
        <v>160</v>
      </c>
      <c r="AX289" s="1" t="s">
        <v>159</v>
      </c>
      <c r="AY289" s="1" t="s">
        <v>160</v>
      </c>
      <c r="AZ289" s="1" t="s">
        <v>160</v>
      </c>
      <c r="BA289" s="1" t="s">
        <v>160</v>
      </c>
      <c r="BB289" s="1" t="s">
        <v>241</v>
      </c>
      <c r="BC289" s="1" t="s">
        <v>160</v>
      </c>
      <c r="BD289" s="1" t="s">
        <v>1343</v>
      </c>
      <c r="BE289" s="1" t="s">
        <v>1344</v>
      </c>
      <c r="BF289" s="1" t="s">
        <v>160</v>
      </c>
    </row>
    <row r="290" spans="1:59" ht="13" x14ac:dyDescent="0.15">
      <c r="A290" s="2">
        <v>44175.752083333333</v>
      </c>
      <c r="B290" s="2">
        <v>44175.753472222219</v>
      </c>
      <c r="C290" s="1" t="s">
        <v>39</v>
      </c>
      <c r="D290" s="1" t="s">
        <v>234</v>
      </c>
      <c r="E290" s="1">
        <v>100</v>
      </c>
      <c r="F290" s="1">
        <v>121</v>
      </c>
      <c r="G290" s="1" t="b">
        <v>1</v>
      </c>
      <c r="H290" s="2">
        <v>44175.753472222219</v>
      </c>
      <c r="I290" s="1" t="s">
        <v>1345</v>
      </c>
      <c r="N290" s="1">
        <v>34.048492430000003</v>
      </c>
      <c r="O290" s="1">
        <v>-118.2528992</v>
      </c>
      <c r="P290" s="1" t="s">
        <v>153</v>
      </c>
      <c r="Q290" s="1" t="s">
        <v>154</v>
      </c>
      <c r="R290" s="1" t="s">
        <v>155</v>
      </c>
      <c r="S290" s="1" t="s">
        <v>274</v>
      </c>
      <c r="T290" s="1" t="s">
        <v>245</v>
      </c>
      <c r="U290" s="1" t="s">
        <v>197</v>
      </c>
      <c r="V290" s="1" t="s">
        <v>160</v>
      </c>
      <c r="W290" s="1" t="s">
        <v>160</v>
      </c>
      <c r="X290" s="1" t="s">
        <v>160</v>
      </c>
      <c r="Y290" s="1" t="s">
        <v>160</v>
      </c>
      <c r="Z290" s="1" t="s">
        <v>160</v>
      </c>
      <c r="AA290" s="1" t="s">
        <v>160</v>
      </c>
      <c r="AB290" s="1" t="s">
        <v>160</v>
      </c>
      <c r="AC290" s="1" t="s">
        <v>160</v>
      </c>
      <c r="AD290" s="1" t="s">
        <v>160</v>
      </c>
      <c r="AE290" s="1" t="s">
        <v>160</v>
      </c>
      <c r="AF290" s="1" t="s">
        <v>160</v>
      </c>
      <c r="AG290" s="1" t="s">
        <v>160</v>
      </c>
      <c r="AI290" s="1" t="s">
        <v>160</v>
      </c>
      <c r="AJ290" s="1" t="s">
        <v>192</v>
      </c>
      <c r="AK290" s="1" t="s">
        <v>163</v>
      </c>
      <c r="AL290" s="1" t="s">
        <v>192</v>
      </c>
      <c r="AM290" s="1" t="s">
        <v>164</v>
      </c>
      <c r="AN290" s="1" t="s">
        <v>198</v>
      </c>
      <c r="AO290" s="1" t="s">
        <v>179</v>
      </c>
      <c r="AP290" s="1" t="s">
        <v>165</v>
      </c>
      <c r="AR290" s="1" t="s">
        <v>160</v>
      </c>
      <c r="AS290" s="1" t="s">
        <v>160</v>
      </c>
      <c r="AT290" s="1" t="s">
        <v>464</v>
      </c>
      <c r="AU290" s="1" t="s">
        <v>160</v>
      </c>
      <c r="AV290" s="1" t="s">
        <v>159</v>
      </c>
      <c r="AW290" s="1" t="s">
        <v>159</v>
      </c>
      <c r="AX290" s="1" t="s">
        <v>159</v>
      </c>
      <c r="AY290" s="1" t="s">
        <v>160</v>
      </c>
      <c r="AZ290" s="1" t="s">
        <v>160</v>
      </c>
      <c r="BA290" s="1" t="s">
        <v>160</v>
      </c>
      <c r="BB290" s="1" t="s">
        <v>167</v>
      </c>
      <c r="BC290" s="1" t="s">
        <v>160</v>
      </c>
      <c r="BD290" s="1" t="s">
        <v>1346</v>
      </c>
      <c r="BE290" s="1" t="s">
        <v>1347</v>
      </c>
      <c r="BF290" s="1" t="s">
        <v>160</v>
      </c>
    </row>
    <row r="291" spans="1:59" ht="13" x14ac:dyDescent="0.15">
      <c r="A291" s="2">
        <v>44175.753472222219</v>
      </c>
      <c r="B291" s="2">
        <v>44175.754861111112</v>
      </c>
      <c r="C291" s="1" t="s">
        <v>39</v>
      </c>
      <c r="D291" s="1" t="s">
        <v>234</v>
      </c>
      <c r="E291" s="1">
        <v>100</v>
      </c>
      <c r="F291" s="1">
        <v>116</v>
      </c>
      <c r="G291" s="1" t="b">
        <v>1</v>
      </c>
      <c r="H291" s="2">
        <v>44175.754861111112</v>
      </c>
      <c r="I291" s="1" t="s">
        <v>1348</v>
      </c>
      <c r="N291" s="1">
        <v>34.048492430000003</v>
      </c>
      <c r="O291" s="1">
        <v>-118.2528992</v>
      </c>
      <c r="P291" s="1" t="s">
        <v>153</v>
      </c>
      <c r="Q291" s="1" t="s">
        <v>154</v>
      </c>
      <c r="R291" s="1" t="s">
        <v>174</v>
      </c>
      <c r="S291" s="1" t="s">
        <v>175</v>
      </c>
      <c r="T291" s="1" t="s">
        <v>263</v>
      </c>
      <c r="U291" s="1" t="s">
        <v>1349</v>
      </c>
      <c r="V291" s="1" t="s">
        <v>160</v>
      </c>
      <c r="W291" s="1" t="s">
        <v>160</v>
      </c>
      <c r="X291" s="1" t="s">
        <v>160</v>
      </c>
      <c r="Y291" s="1" t="s">
        <v>160</v>
      </c>
      <c r="Z291" s="1" t="s">
        <v>160</v>
      </c>
      <c r="AA291" s="1" t="s">
        <v>160</v>
      </c>
      <c r="AB291" s="1" t="s">
        <v>160</v>
      </c>
      <c r="AC291" s="1" t="s">
        <v>160</v>
      </c>
      <c r="AD291" s="1" t="s">
        <v>160</v>
      </c>
      <c r="AE291" s="1" t="s">
        <v>160</v>
      </c>
      <c r="AF291" s="1" t="s">
        <v>160</v>
      </c>
      <c r="AG291" s="1" t="s">
        <v>160</v>
      </c>
      <c r="AI291" s="1" t="s">
        <v>160</v>
      </c>
      <c r="AJ291" s="1" t="s">
        <v>198</v>
      </c>
      <c r="AK291" s="1" t="s">
        <v>198</v>
      </c>
      <c r="AL291" s="1" t="s">
        <v>163</v>
      </c>
      <c r="AM291" s="1" t="s">
        <v>164</v>
      </c>
      <c r="AN291" s="1" t="s">
        <v>192</v>
      </c>
      <c r="AO291" s="1" t="s">
        <v>179</v>
      </c>
      <c r="AP291" s="1" t="s">
        <v>179</v>
      </c>
      <c r="AR291" s="1" t="s">
        <v>160</v>
      </c>
      <c r="AS291" s="1" t="s">
        <v>160</v>
      </c>
      <c r="AT291" s="1" t="s">
        <v>1350</v>
      </c>
      <c r="AU291" s="1" t="s">
        <v>159</v>
      </c>
      <c r="AV291" s="1" t="s">
        <v>160</v>
      </c>
      <c r="AW291" s="1" t="s">
        <v>160</v>
      </c>
      <c r="AX291" s="1" t="s">
        <v>159</v>
      </c>
      <c r="AY291" s="1" t="s">
        <v>160</v>
      </c>
      <c r="AZ291" s="1" t="s">
        <v>159</v>
      </c>
      <c r="BA291" s="1" t="s">
        <v>160</v>
      </c>
      <c r="BB291" s="1" t="s">
        <v>222</v>
      </c>
      <c r="BC291" s="1" t="s">
        <v>160</v>
      </c>
      <c r="BD291" s="1" t="s">
        <v>1351</v>
      </c>
      <c r="BE291" s="1" t="s">
        <v>1352</v>
      </c>
      <c r="BF291" s="1" t="s">
        <v>160</v>
      </c>
    </row>
    <row r="292" spans="1:59" ht="13" x14ac:dyDescent="0.15">
      <c r="A292" s="2">
        <v>44175.755555555559</v>
      </c>
      <c r="B292" s="2">
        <v>44175.756944444445</v>
      </c>
      <c r="C292" s="1" t="s">
        <v>39</v>
      </c>
      <c r="D292" s="1" t="s">
        <v>234</v>
      </c>
      <c r="E292" s="1">
        <v>100</v>
      </c>
      <c r="F292" s="1">
        <v>121</v>
      </c>
      <c r="G292" s="1" t="b">
        <v>1</v>
      </c>
      <c r="H292" s="2">
        <v>44175.756944444445</v>
      </c>
      <c r="I292" s="1" t="s">
        <v>1353</v>
      </c>
      <c r="N292" s="1">
        <v>34.048492430000003</v>
      </c>
      <c r="O292" s="1">
        <v>-118.2528992</v>
      </c>
      <c r="P292" s="1" t="s">
        <v>153</v>
      </c>
      <c r="Q292" s="1" t="s">
        <v>154</v>
      </c>
      <c r="R292" s="1" t="s">
        <v>155</v>
      </c>
      <c r="S292" s="1" t="s">
        <v>208</v>
      </c>
      <c r="T292" s="1" t="s">
        <v>245</v>
      </c>
      <c r="U292" s="1" t="s">
        <v>418</v>
      </c>
      <c r="V292" s="1" t="s">
        <v>160</v>
      </c>
      <c r="W292" s="1" t="s">
        <v>160</v>
      </c>
      <c r="X292" s="1" t="s">
        <v>160</v>
      </c>
      <c r="Y292" s="1" t="s">
        <v>160</v>
      </c>
      <c r="Z292" s="1" t="s">
        <v>160</v>
      </c>
      <c r="AA292" s="1" t="s">
        <v>160</v>
      </c>
      <c r="AB292" s="1" t="s">
        <v>160</v>
      </c>
      <c r="AC292" s="1" t="s">
        <v>160</v>
      </c>
      <c r="AD292" s="1" t="s">
        <v>160</v>
      </c>
      <c r="AE292" s="1" t="s">
        <v>160</v>
      </c>
      <c r="AF292" s="1" t="s">
        <v>160</v>
      </c>
      <c r="AG292" s="1" t="s">
        <v>160</v>
      </c>
      <c r="AI292" s="1" t="s">
        <v>160</v>
      </c>
      <c r="AJ292" s="1" t="s">
        <v>198</v>
      </c>
      <c r="AK292" s="1" t="s">
        <v>163</v>
      </c>
      <c r="AL292" s="1" t="s">
        <v>198</v>
      </c>
      <c r="AM292" s="1" t="s">
        <v>163</v>
      </c>
      <c r="AN292" s="1" t="s">
        <v>192</v>
      </c>
      <c r="AO292" s="1" t="s">
        <v>179</v>
      </c>
      <c r="AP292" s="1" t="s">
        <v>239</v>
      </c>
      <c r="AR292" s="1" t="s">
        <v>160</v>
      </c>
      <c r="AS292" s="1" t="s">
        <v>160</v>
      </c>
      <c r="AT292" s="1" t="s">
        <v>529</v>
      </c>
      <c r="AU292" s="1" t="s">
        <v>160</v>
      </c>
      <c r="AV292" s="1" t="s">
        <v>159</v>
      </c>
      <c r="AW292" s="1" t="s">
        <v>160</v>
      </c>
      <c r="AX292" s="1" t="s">
        <v>160</v>
      </c>
      <c r="AY292" s="1" t="s">
        <v>160</v>
      </c>
      <c r="AZ292" s="1" t="s">
        <v>159</v>
      </c>
      <c r="BA292" s="1" t="s">
        <v>159</v>
      </c>
      <c r="BB292" s="1" t="s">
        <v>167</v>
      </c>
      <c r="BC292" s="1" t="s">
        <v>160</v>
      </c>
      <c r="BD292" s="1" t="s">
        <v>1354</v>
      </c>
      <c r="BE292" s="1" t="s">
        <v>1355</v>
      </c>
      <c r="BF292" s="1" t="s">
        <v>160</v>
      </c>
    </row>
    <row r="293" spans="1:59" ht="13" x14ac:dyDescent="0.15">
      <c r="A293" s="2">
        <v>44175.756944444445</v>
      </c>
      <c r="B293" s="2">
        <v>44175.758333333331</v>
      </c>
      <c r="C293" s="1" t="s">
        <v>39</v>
      </c>
      <c r="D293" s="1" t="s">
        <v>234</v>
      </c>
      <c r="E293" s="1">
        <v>100</v>
      </c>
      <c r="F293" s="1">
        <v>121</v>
      </c>
      <c r="G293" s="1" t="b">
        <v>1</v>
      </c>
      <c r="H293" s="2">
        <v>44175.758333333331</v>
      </c>
      <c r="I293" s="1" t="s">
        <v>1356</v>
      </c>
      <c r="N293" s="1">
        <v>34.048492430000003</v>
      </c>
      <c r="O293" s="1">
        <v>-118.2528992</v>
      </c>
      <c r="P293" s="1" t="s">
        <v>153</v>
      </c>
      <c r="Q293" s="1" t="s">
        <v>154</v>
      </c>
      <c r="R293" s="1" t="s">
        <v>155</v>
      </c>
      <c r="S293" s="1" t="s">
        <v>226</v>
      </c>
      <c r="T293" s="1" t="s">
        <v>245</v>
      </c>
      <c r="U293" s="1" t="s">
        <v>1357</v>
      </c>
      <c r="V293" s="1" t="s">
        <v>160</v>
      </c>
      <c r="W293" s="1" t="s">
        <v>160</v>
      </c>
      <c r="X293" s="1" t="s">
        <v>160</v>
      </c>
      <c r="Y293" s="1" t="s">
        <v>160</v>
      </c>
      <c r="Z293" s="1" t="s">
        <v>160</v>
      </c>
      <c r="AA293" s="1" t="s">
        <v>160</v>
      </c>
      <c r="AB293" s="1" t="s">
        <v>160</v>
      </c>
      <c r="AC293" s="1" t="s">
        <v>160</v>
      </c>
      <c r="AD293" s="1" t="s">
        <v>160</v>
      </c>
      <c r="AE293" s="1" t="s">
        <v>160</v>
      </c>
      <c r="AF293" s="1" t="s">
        <v>160</v>
      </c>
      <c r="AG293" s="1" t="s">
        <v>160</v>
      </c>
      <c r="AI293" s="1" t="s">
        <v>160</v>
      </c>
      <c r="AJ293" s="1" t="s">
        <v>163</v>
      </c>
      <c r="AK293" s="1" t="s">
        <v>192</v>
      </c>
      <c r="AL293" s="1" t="s">
        <v>198</v>
      </c>
      <c r="AM293" s="1" t="s">
        <v>198</v>
      </c>
      <c r="AN293" s="1" t="s">
        <v>192</v>
      </c>
      <c r="AO293" s="1" t="s">
        <v>179</v>
      </c>
      <c r="AP293" s="1" t="s">
        <v>179</v>
      </c>
      <c r="AR293" s="1" t="s">
        <v>160</v>
      </c>
      <c r="AS293" s="1" t="s">
        <v>160</v>
      </c>
      <c r="AT293" s="1" t="s">
        <v>731</v>
      </c>
      <c r="AU293" s="1" t="s">
        <v>160</v>
      </c>
      <c r="AV293" s="1" t="s">
        <v>159</v>
      </c>
      <c r="AW293" s="1" t="s">
        <v>160</v>
      </c>
      <c r="AX293" s="1" t="s">
        <v>159</v>
      </c>
      <c r="AY293" s="1" t="s">
        <v>159</v>
      </c>
      <c r="AZ293" s="1" t="s">
        <v>160</v>
      </c>
      <c r="BA293" s="1" t="s">
        <v>160</v>
      </c>
      <c r="BB293" s="1" t="s">
        <v>167</v>
      </c>
      <c r="BC293" s="1" t="s">
        <v>160</v>
      </c>
      <c r="BD293" s="1" t="s">
        <v>1358</v>
      </c>
      <c r="BE293" s="1" t="s">
        <v>1359</v>
      </c>
      <c r="BF293" s="1" t="s">
        <v>160</v>
      </c>
    </row>
    <row r="294" spans="1:59" ht="13" x14ac:dyDescent="0.15">
      <c r="A294" s="2">
        <v>44175.752083333333</v>
      </c>
      <c r="B294" s="2">
        <v>44175.759027777778</v>
      </c>
      <c r="C294" s="1" t="s">
        <v>39</v>
      </c>
      <c r="D294" s="1" t="s">
        <v>1360</v>
      </c>
      <c r="E294" s="1">
        <v>100</v>
      </c>
      <c r="F294" s="1">
        <v>632</v>
      </c>
      <c r="G294" s="1" t="b">
        <v>1</v>
      </c>
      <c r="H294" s="2">
        <v>44175.759027777778</v>
      </c>
      <c r="I294" s="1" t="s">
        <v>1361</v>
      </c>
      <c r="N294" s="1">
        <v>41.923004149999997</v>
      </c>
      <c r="O294" s="1">
        <v>-87.753097530000005</v>
      </c>
      <c r="P294" s="1" t="s">
        <v>153</v>
      </c>
      <c r="Q294" s="1" t="s">
        <v>154</v>
      </c>
      <c r="R294" s="1" t="s">
        <v>174</v>
      </c>
      <c r="S294" s="1" t="s">
        <v>274</v>
      </c>
      <c r="T294" s="1" t="s">
        <v>157</v>
      </c>
      <c r="U294" s="1" t="s">
        <v>1362</v>
      </c>
      <c r="V294" s="1" t="s">
        <v>160</v>
      </c>
      <c r="W294" s="1" t="s">
        <v>159</v>
      </c>
      <c r="X294" s="1" t="s">
        <v>160</v>
      </c>
      <c r="Y294" s="1" t="s">
        <v>159</v>
      </c>
      <c r="Z294" s="1" t="s">
        <v>159</v>
      </c>
      <c r="AA294" s="1" t="s">
        <v>159</v>
      </c>
      <c r="AB294" s="1" t="s">
        <v>159</v>
      </c>
      <c r="AC294" s="1" t="s">
        <v>160</v>
      </c>
      <c r="AD294" s="1" t="s">
        <v>159</v>
      </c>
      <c r="AE294" s="1" t="s">
        <v>160</v>
      </c>
      <c r="AF294" s="1" t="s">
        <v>160</v>
      </c>
      <c r="AG294" s="1" t="s">
        <v>160</v>
      </c>
      <c r="AH294" s="1">
        <v>1</v>
      </c>
      <c r="AI294" s="1" t="s">
        <v>160</v>
      </c>
      <c r="AJ294" s="1" t="s">
        <v>192</v>
      </c>
      <c r="AK294" s="1" t="s">
        <v>164</v>
      </c>
      <c r="AL294" s="1" t="s">
        <v>163</v>
      </c>
      <c r="AM294" s="1" t="s">
        <v>192</v>
      </c>
      <c r="AN294" s="1" t="s">
        <v>192</v>
      </c>
      <c r="AO294" s="1" t="s">
        <v>179</v>
      </c>
      <c r="AP294" s="1" t="s">
        <v>179</v>
      </c>
      <c r="AQ294" s="1">
        <v>1999</v>
      </c>
      <c r="AR294" s="1" t="s">
        <v>160</v>
      </c>
      <c r="AS294" s="1" t="s">
        <v>159</v>
      </c>
      <c r="AT294" s="1" t="s">
        <v>180</v>
      </c>
      <c r="AU294" s="1" t="s">
        <v>159</v>
      </c>
      <c r="AV294" s="1" t="s">
        <v>159</v>
      </c>
      <c r="AW294" s="1" t="s">
        <v>159</v>
      </c>
      <c r="AX294" s="1" t="s">
        <v>159</v>
      </c>
      <c r="AY294" s="1" t="s">
        <v>159</v>
      </c>
      <c r="AZ294" s="1" t="s">
        <v>159</v>
      </c>
      <c r="BA294" s="1" t="s">
        <v>159</v>
      </c>
      <c r="BB294" s="1" t="s">
        <v>167</v>
      </c>
      <c r="BC294" s="1" t="s">
        <v>159</v>
      </c>
      <c r="BE294" s="1" t="s">
        <v>1363</v>
      </c>
      <c r="BF294" s="1" t="s">
        <v>160</v>
      </c>
      <c r="BG294" s="1" t="s">
        <v>1363</v>
      </c>
    </row>
    <row r="295" spans="1:59" ht="13" x14ac:dyDescent="0.15">
      <c r="A295" s="2">
        <v>44175.758333333331</v>
      </c>
      <c r="B295" s="2">
        <v>44175.760416666664</v>
      </c>
      <c r="C295" s="1" t="s">
        <v>39</v>
      </c>
      <c r="D295" s="1" t="s">
        <v>234</v>
      </c>
      <c r="E295" s="1">
        <v>100</v>
      </c>
      <c r="F295" s="1">
        <v>123</v>
      </c>
      <c r="G295" s="1" t="b">
        <v>1</v>
      </c>
      <c r="H295" s="2">
        <v>44175.760416666664</v>
      </c>
      <c r="I295" s="1" t="s">
        <v>1364</v>
      </c>
      <c r="N295" s="1">
        <v>34.048492430000003</v>
      </c>
      <c r="O295" s="1">
        <v>-118.2528992</v>
      </c>
      <c r="P295" s="1" t="s">
        <v>153</v>
      </c>
      <c r="Q295" s="1" t="s">
        <v>154</v>
      </c>
      <c r="R295" s="1" t="s">
        <v>236</v>
      </c>
      <c r="S295" s="1" t="s">
        <v>208</v>
      </c>
      <c r="T295" s="1" t="s">
        <v>176</v>
      </c>
      <c r="U295" s="1" t="s">
        <v>1365</v>
      </c>
      <c r="V295" s="1" t="s">
        <v>160</v>
      </c>
      <c r="W295" s="1" t="s">
        <v>160</v>
      </c>
      <c r="X295" s="1" t="s">
        <v>160</v>
      </c>
      <c r="Y295" s="1" t="s">
        <v>160</v>
      </c>
      <c r="Z295" s="1" t="s">
        <v>160</v>
      </c>
      <c r="AA295" s="1" t="s">
        <v>160</v>
      </c>
      <c r="AB295" s="1" t="s">
        <v>160</v>
      </c>
      <c r="AC295" s="1" t="s">
        <v>160</v>
      </c>
      <c r="AD295" s="1" t="s">
        <v>160</v>
      </c>
      <c r="AE295" s="1" t="s">
        <v>160</v>
      </c>
      <c r="AF295" s="1" t="s">
        <v>160</v>
      </c>
      <c r="AG295" s="1" t="s">
        <v>160</v>
      </c>
      <c r="AI295" s="1" t="s">
        <v>160</v>
      </c>
      <c r="AJ295" s="1" t="s">
        <v>163</v>
      </c>
      <c r="AK295" s="1" t="s">
        <v>198</v>
      </c>
      <c r="AL295" s="1" t="s">
        <v>192</v>
      </c>
      <c r="AM295" s="1" t="s">
        <v>198</v>
      </c>
      <c r="AN295" s="1" t="s">
        <v>192</v>
      </c>
      <c r="AO295" s="1" t="s">
        <v>179</v>
      </c>
      <c r="AP295" s="1" t="s">
        <v>165</v>
      </c>
      <c r="AR295" s="1" t="s">
        <v>160</v>
      </c>
      <c r="AS295" s="1" t="s">
        <v>160</v>
      </c>
      <c r="AT295" s="1" t="s">
        <v>1366</v>
      </c>
      <c r="AU295" s="1" t="s">
        <v>160</v>
      </c>
      <c r="AV295" s="1" t="s">
        <v>160</v>
      </c>
      <c r="AW295" s="1" t="s">
        <v>160</v>
      </c>
      <c r="AX295" s="1" t="s">
        <v>159</v>
      </c>
      <c r="AY295" s="1" t="s">
        <v>159</v>
      </c>
      <c r="AZ295" s="1" t="s">
        <v>160</v>
      </c>
      <c r="BA295" s="1" t="s">
        <v>159</v>
      </c>
      <c r="BB295" s="1" t="s">
        <v>181</v>
      </c>
      <c r="BC295" s="1" t="s">
        <v>160</v>
      </c>
      <c r="BD295" s="1" t="s">
        <v>1367</v>
      </c>
      <c r="BE295" s="1" t="s">
        <v>1368</v>
      </c>
      <c r="BF295" s="1" t="s">
        <v>160</v>
      </c>
    </row>
    <row r="296" spans="1:59" ht="13" x14ac:dyDescent="0.15">
      <c r="A296" s="2">
        <v>44175.760416666664</v>
      </c>
      <c r="B296" s="2">
        <v>44175.761805555558</v>
      </c>
      <c r="C296" s="1" t="s">
        <v>39</v>
      </c>
      <c r="D296" s="1" t="s">
        <v>234</v>
      </c>
      <c r="E296" s="1">
        <v>100</v>
      </c>
      <c r="F296" s="1">
        <v>115</v>
      </c>
      <c r="G296" s="1" t="b">
        <v>1</v>
      </c>
      <c r="H296" s="2">
        <v>44175.761805555558</v>
      </c>
      <c r="I296" s="1" t="s">
        <v>1369</v>
      </c>
      <c r="N296" s="1">
        <v>34.048492430000003</v>
      </c>
      <c r="O296" s="1">
        <v>-118.2528992</v>
      </c>
      <c r="P296" s="1" t="s">
        <v>153</v>
      </c>
      <c r="Q296" s="1" t="s">
        <v>154</v>
      </c>
      <c r="R296" s="1" t="s">
        <v>236</v>
      </c>
      <c r="S296" s="1" t="s">
        <v>274</v>
      </c>
      <c r="T296" s="1" t="s">
        <v>237</v>
      </c>
      <c r="U296" s="1" t="s">
        <v>1370</v>
      </c>
      <c r="V296" s="1" t="s">
        <v>160</v>
      </c>
      <c r="W296" s="1" t="s">
        <v>160</v>
      </c>
      <c r="X296" s="1" t="s">
        <v>160</v>
      </c>
      <c r="Y296" s="1" t="s">
        <v>160</v>
      </c>
      <c r="Z296" s="1" t="s">
        <v>160</v>
      </c>
      <c r="AA296" s="1" t="s">
        <v>160</v>
      </c>
      <c r="AB296" s="1" t="s">
        <v>160</v>
      </c>
      <c r="AC296" s="1" t="s">
        <v>160</v>
      </c>
      <c r="AD296" s="1" t="s">
        <v>160</v>
      </c>
      <c r="AE296" s="1" t="s">
        <v>160</v>
      </c>
      <c r="AF296" s="1" t="s">
        <v>160</v>
      </c>
      <c r="AG296" s="1" t="s">
        <v>160</v>
      </c>
      <c r="AI296" s="1" t="s">
        <v>160</v>
      </c>
      <c r="AJ296" s="1" t="s">
        <v>164</v>
      </c>
      <c r="AK296" s="1" t="s">
        <v>163</v>
      </c>
      <c r="AL296" s="1" t="s">
        <v>198</v>
      </c>
      <c r="AM296" s="1" t="s">
        <v>198</v>
      </c>
      <c r="AN296" s="1" t="s">
        <v>192</v>
      </c>
      <c r="AO296" s="1" t="s">
        <v>179</v>
      </c>
      <c r="AP296" s="1" t="s">
        <v>179</v>
      </c>
      <c r="AR296" s="1" t="s">
        <v>160</v>
      </c>
      <c r="AS296" s="1" t="s">
        <v>160</v>
      </c>
      <c r="AT296" s="1" t="s">
        <v>1371</v>
      </c>
      <c r="AU296" s="1" t="s">
        <v>159</v>
      </c>
      <c r="AV296" s="1" t="s">
        <v>159</v>
      </c>
      <c r="AW296" s="1" t="s">
        <v>160</v>
      </c>
      <c r="AX296" s="1" t="s">
        <v>160</v>
      </c>
      <c r="AY296" s="1" t="s">
        <v>160</v>
      </c>
      <c r="AZ296" s="1" t="s">
        <v>160</v>
      </c>
      <c r="BA296" s="1" t="s">
        <v>159</v>
      </c>
      <c r="BB296" s="1" t="s">
        <v>222</v>
      </c>
      <c r="BC296" s="1" t="s">
        <v>160</v>
      </c>
      <c r="BD296" s="1" t="s">
        <v>469</v>
      </c>
      <c r="BE296" s="1" t="s">
        <v>1372</v>
      </c>
      <c r="BF296" s="1" t="s">
        <v>160</v>
      </c>
    </row>
    <row r="297" spans="1:59" ht="13" x14ac:dyDescent="0.15">
      <c r="A297" s="2">
        <v>44175.761805555558</v>
      </c>
      <c r="B297" s="2">
        <v>44175.763194444444</v>
      </c>
      <c r="C297" s="1" t="s">
        <v>39</v>
      </c>
      <c r="D297" s="1" t="s">
        <v>234</v>
      </c>
      <c r="E297" s="1">
        <v>100</v>
      </c>
      <c r="F297" s="1">
        <v>121</v>
      </c>
      <c r="G297" s="1" t="b">
        <v>1</v>
      </c>
      <c r="H297" s="2">
        <v>44175.763194444444</v>
      </c>
      <c r="I297" s="1" t="s">
        <v>1373</v>
      </c>
      <c r="N297" s="1">
        <v>34.048492430000003</v>
      </c>
      <c r="O297" s="1">
        <v>-118.2528992</v>
      </c>
      <c r="P297" s="1" t="s">
        <v>153</v>
      </c>
      <c r="Q297" s="1" t="s">
        <v>154</v>
      </c>
      <c r="R297" s="1" t="s">
        <v>174</v>
      </c>
      <c r="S297" s="1" t="s">
        <v>208</v>
      </c>
      <c r="T297" s="1" t="s">
        <v>263</v>
      </c>
      <c r="U297" s="1" t="s">
        <v>418</v>
      </c>
      <c r="V297" s="1" t="s">
        <v>160</v>
      </c>
      <c r="W297" s="1" t="s">
        <v>160</v>
      </c>
      <c r="X297" s="1" t="s">
        <v>160</v>
      </c>
      <c r="Y297" s="1" t="s">
        <v>160</v>
      </c>
      <c r="Z297" s="1" t="s">
        <v>160</v>
      </c>
      <c r="AA297" s="1" t="s">
        <v>160</v>
      </c>
      <c r="AB297" s="1" t="s">
        <v>160</v>
      </c>
      <c r="AC297" s="1" t="s">
        <v>160</v>
      </c>
      <c r="AD297" s="1" t="s">
        <v>160</v>
      </c>
      <c r="AE297" s="1" t="s">
        <v>160</v>
      </c>
      <c r="AF297" s="1" t="s">
        <v>160</v>
      </c>
      <c r="AG297" s="1" t="s">
        <v>160</v>
      </c>
      <c r="AI297" s="1" t="s">
        <v>160</v>
      </c>
      <c r="AJ297" s="1" t="s">
        <v>192</v>
      </c>
      <c r="AK297" s="1" t="s">
        <v>163</v>
      </c>
      <c r="AL297" s="1" t="s">
        <v>164</v>
      </c>
      <c r="AM297" s="1" t="s">
        <v>163</v>
      </c>
      <c r="AN297" s="1" t="s">
        <v>163</v>
      </c>
      <c r="AO297" s="1" t="s">
        <v>179</v>
      </c>
      <c r="AP297" s="1" t="s">
        <v>179</v>
      </c>
      <c r="AR297" s="1" t="s">
        <v>160</v>
      </c>
      <c r="AS297" s="1" t="s">
        <v>160</v>
      </c>
      <c r="AT297" s="1" t="s">
        <v>1374</v>
      </c>
      <c r="AU297" s="1" t="s">
        <v>159</v>
      </c>
      <c r="AV297" s="1" t="s">
        <v>160</v>
      </c>
      <c r="AW297" s="1" t="s">
        <v>159</v>
      </c>
      <c r="AX297" s="1" t="s">
        <v>159</v>
      </c>
      <c r="AY297" s="1" t="s">
        <v>160</v>
      </c>
      <c r="AZ297" s="1" t="s">
        <v>160</v>
      </c>
      <c r="BA297" s="1" t="s">
        <v>159</v>
      </c>
      <c r="BB297" s="1" t="s">
        <v>222</v>
      </c>
      <c r="BC297" s="1" t="s">
        <v>160</v>
      </c>
      <c r="BD297" s="1" t="s">
        <v>1375</v>
      </c>
      <c r="BE297" s="1" t="s">
        <v>1376</v>
      </c>
      <c r="BF297" s="1" t="s">
        <v>160</v>
      </c>
    </row>
    <row r="298" spans="1:59" ht="13" x14ac:dyDescent="0.15">
      <c r="A298" s="2">
        <v>44175.763888888891</v>
      </c>
      <c r="B298" s="2">
        <v>44175.765277777777</v>
      </c>
      <c r="C298" s="1" t="s">
        <v>39</v>
      </c>
      <c r="D298" s="1" t="s">
        <v>234</v>
      </c>
      <c r="E298" s="1">
        <v>100</v>
      </c>
      <c r="F298" s="1">
        <v>116</v>
      </c>
      <c r="G298" s="1" t="b">
        <v>1</v>
      </c>
      <c r="H298" s="2">
        <v>44175.765277777777</v>
      </c>
      <c r="I298" s="1" t="s">
        <v>1377</v>
      </c>
      <c r="N298" s="1">
        <v>34.048492430000003</v>
      </c>
      <c r="O298" s="1">
        <v>-118.2528992</v>
      </c>
      <c r="P298" s="1" t="s">
        <v>153</v>
      </c>
      <c r="Q298" s="1" t="s">
        <v>154</v>
      </c>
      <c r="R298" s="1" t="s">
        <v>174</v>
      </c>
      <c r="S298" s="1" t="s">
        <v>226</v>
      </c>
      <c r="T298" s="1" t="s">
        <v>157</v>
      </c>
      <c r="U298" s="1" t="s">
        <v>290</v>
      </c>
      <c r="V298" s="1" t="s">
        <v>160</v>
      </c>
      <c r="W298" s="1" t="s">
        <v>160</v>
      </c>
      <c r="X298" s="1" t="s">
        <v>160</v>
      </c>
      <c r="Y298" s="1" t="s">
        <v>160</v>
      </c>
      <c r="Z298" s="1" t="s">
        <v>160</v>
      </c>
      <c r="AA298" s="1" t="s">
        <v>160</v>
      </c>
      <c r="AB298" s="1" t="s">
        <v>160</v>
      </c>
      <c r="AC298" s="1" t="s">
        <v>160</v>
      </c>
      <c r="AD298" s="1" t="s">
        <v>160</v>
      </c>
      <c r="AE298" s="1" t="s">
        <v>160</v>
      </c>
      <c r="AF298" s="1" t="s">
        <v>160</v>
      </c>
      <c r="AG298" s="1" t="s">
        <v>160</v>
      </c>
      <c r="AI298" s="1" t="s">
        <v>160</v>
      </c>
      <c r="AJ298" s="1" t="s">
        <v>164</v>
      </c>
      <c r="AK298" s="1" t="s">
        <v>163</v>
      </c>
      <c r="AL298" s="1" t="s">
        <v>163</v>
      </c>
      <c r="AM298" s="1" t="s">
        <v>198</v>
      </c>
      <c r="AN298" s="1" t="s">
        <v>198</v>
      </c>
      <c r="AO298" s="1" t="s">
        <v>179</v>
      </c>
      <c r="AP298" s="1" t="s">
        <v>179</v>
      </c>
      <c r="AR298" s="1" t="s">
        <v>160</v>
      </c>
      <c r="AS298" s="1" t="s">
        <v>160</v>
      </c>
      <c r="AT298" s="1" t="s">
        <v>1378</v>
      </c>
      <c r="AU298" s="1" t="s">
        <v>159</v>
      </c>
      <c r="AV298" s="1" t="s">
        <v>159</v>
      </c>
      <c r="AW298" s="1" t="s">
        <v>159</v>
      </c>
      <c r="AX298" s="1" t="s">
        <v>160</v>
      </c>
      <c r="AY298" s="1" t="s">
        <v>159</v>
      </c>
      <c r="AZ298" s="1" t="s">
        <v>160</v>
      </c>
      <c r="BA298" s="1" t="s">
        <v>160</v>
      </c>
      <c r="BB298" s="1" t="s">
        <v>181</v>
      </c>
      <c r="BC298" s="1" t="s">
        <v>160</v>
      </c>
      <c r="BD298" s="1" t="s">
        <v>1379</v>
      </c>
      <c r="BE298" s="1" t="s">
        <v>1380</v>
      </c>
      <c r="BF298" s="1" t="s">
        <v>160</v>
      </c>
    </row>
    <row r="299" spans="1:59" ht="13" x14ac:dyDescent="0.15">
      <c r="A299" s="2">
        <v>44175.765277777777</v>
      </c>
      <c r="B299" s="2">
        <v>44175.76666666667</v>
      </c>
      <c r="C299" s="1" t="s">
        <v>39</v>
      </c>
      <c r="D299" s="1" t="s">
        <v>234</v>
      </c>
      <c r="E299" s="1">
        <v>100</v>
      </c>
      <c r="F299" s="1">
        <v>115</v>
      </c>
      <c r="G299" s="1" t="b">
        <v>1</v>
      </c>
      <c r="H299" s="2">
        <v>44175.76666666667</v>
      </c>
      <c r="I299" s="1" t="s">
        <v>1381</v>
      </c>
      <c r="N299" s="1">
        <v>34.048492430000003</v>
      </c>
      <c r="O299" s="1">
        <v>-118.2528992</v>
      </c>
      <c r="P299" s="1" t="s">
        <v>153</v>
      </c>
      <c r="Q299" s="1" t="s">
        <v>154</v>
      </c>
      <c r="R299" s="1" t="s">
        <v>155</v>
      </c>
      <c r="S299" s="1" t="s">
        <v>310</v>
      </c>
      <c r="T299" s="1" t="s">
        <v>237</v>
      </c>
      <c r="U299" s="1" t="s">
        <v>436</v>
      </c>
      <c r="V299" s="1" t="s">
        <v>160</v>
      </c>
      <c r="W299" s="1" t="s">
        <v>160</v>
      </c>
      <c r="X299" s="1" t="s">
        <v>160</v>
      </c>
      <c r="Y299" s="1" t="s">
        <v>160</v>
      </c>
      <c r="Z299" s="1" t="s">
        <v>160</v>
      </c>
      <c r="AA299" s="1" t="s">
        <v>160</v>
      </c>
      <c r="AB299" s="1" t="s">
        <v>160</v>
      </c>
      <c r="AC299" s="1" t="s">
        <v>160</v>
      </c>
      <c r="AD299" s="1" t="s">
        <v>160</v>
      </c>
      <c r="AE299" s="1" t="s">
        <v>160</v>
      </c>
      <c r="AF299" s="1" t="s">
        <v>160</v>
      </c>
      <c r="AG299" s="1" t="s">
        <v>160</v>
      </c>
      <c r="AI299" s="1" t="s">
        <v>160</v>
      </c>
      <c r="AJ299" s="1" t="s">
        <v>163</v>
      </c>
      <c r="AK299" s="1" t="s">
        <v>164</v>
      </c>
      <c r="AL299" s="1" t="s">
        <v>163</v>
      </c>
      <c r="AM299" s="1" t="s">
        <v>164</v>
      </c>
      <c r="AN299" s="1" t="s">
        <v>192</v>
      </c>
      <c r="AO299" s="1" t="s">
        <v>179</v>
      </c>
      <c r="AP299" s="1" t="s">
        <v>179</v>
      </c>
      <c r="AR299" s="1" t="s">
        <v>160</v>
      </c>
      <c r="AS299" s="1" t="s">
        <v>160</v>
      </c>
      <c r="AT299" s="1" t="s">
        <v>1064</v>
      </c>
      <c r="AU299" s="1" t="s">
        <v>159</v>
      </c>
      <c r="AV299" s="1" t="s">
        <v>159</v>
      </c>
      <c r="AW299" s="1" t="s">
        <v>160</v>
      </c>
      <c r="AX299" s="1" t="s">
        <v>159</v>
      </c>
      <c r="AY299" s="1" t="s">
        <v>159</v>
      </c>
      <c r="AZ299" s="1" t="s">
        <v>160</v>
      </c>
      <c r="BA299" s="1" t="s">
        <v>160</v>
      </c>
      <c r="BB299" s="1" t="s">
        <v>241</v>
      </c>
      <c r="BC299" s="1" t="s">
        <v>160</v>
      </c>
      <c r="BD299" s="1" t="s">
        <v>1382</v>
      </c>
      <c r="BE299" s="1" t="s">
        <v>1383</v>
      </c>
      <c r="BF299" s="1" t="s">
        <v>160</v>
      </c>
    </row>
    <row r="300" spans="1:59" ht="13" x14ac:dyDescent="0.15">
      <c r="A300" s="2">
        <v>44175.76666666667</v>
      </c>
      <c r="B300" s="2">
        <v>44175.768055555556</v>
      </c>
      <c r="C300" s="1" t="s">
        <v>39</v>
      </c>
      <c r="D300" s="1" t="s">
        <v>234</v>
      </c>
      <c r="E300" s="1">
        <v>100</v>
      </c>
      <c r="F300" s="1">
        <v>121</v>
      </c>
      <c r="G300" s="1" t="b">
        <v>1</v>
      </c>
      <c r="H300" s="2">
        <v>44175.768055555556</v>
      </c>
      <c r="I300" s="1" t="s">
        <v>1384</v>
      </c>
      <c r="N300" s="1">
        <v>34.048492430000003</v>
      </c>
      <c r="O300" s="1">
        <v>-118.2528992</v>
      </c>
      <c r="P300" s="1" t="s">
        <v>153</v>
      </c>
      <c r="Q300" s="1" t="s">
        <v>154</v>
      </c>
      <c r="R300" s="1" t="s">
        <v>174</v>
      </c>
      <c r="S300" s="1" t="s">
        <v>175</v>
      </c>
      <c r="T300" s="1" t="s">
        <v>157</v>
      </c>
      <c r="U300" s="1" t="s">
        <v>1385</v>
      </c>
      <c r="V300" s="1" t="s">
        <v>160</v>
      </c>
      <c r="W300" s="1" t="s">
        <v>160</v>
      </c>
      <c r="X300" s="1" t="s">
        <v>160</v>
      </c>
      <c r="Y300" s="1" t="s">
        <v>160</v>
      </c>
      <c r="Z300" s="1" t="s">
        <v>160</v>
      </c>
      <c r="AA300" s="1" t="s">
        <v>160</v>
      </c>
      <c r="AB300" s="1" t="s">
        <v>160</v>
      </c>
      <c r="AC300" s="1" t="s">
        <v>160</v>
      </c>
      <c r="AD300" s="1" t="s">
        <v>160</v>
      </c>
      <c r="AE300" s="1" t="s">
        <v>160</v>
      </c>
      <c r="AF300" s="1" t="s">
        <v>160</v>
      </c>
      <c r="AG300" s="1" t="s">
        <v>160</v>
      </c>
      <c r="AI300" s="1" t="s">
        <v>160</v>
      </c>
      <c r="AJ300" s="1" t="s">
        <v>192</v>
      </c>
      <c r="AK300" s="1" t="s">
        <v>163</v>
      </c>
      <c r="AL300" s="1" t="s">
        <v>192</v>
      </c>
      <c r="AM300" s="1" t="s">
        <v>164</v>
      </c>
      <c r="AN300" s="1" t="s">
        <v>198</v>
      </c>
      <c r="AO300" s="1" t="s">
        <v>179</v>
      </c>
      <c r="AP300" s="1" t="s">
        <v>165</v>
      </c>
      <c r="AR300" s="1" t="s">
        <v>160</v>
      </c>
      <c r="AS300" s="1" t="s">
        <v>160</v>
      </c>
      <c r="AT300" s="1" t="s">
        <v>1386</v>
      </c>
      <c r="AU300" s="1" t="s">
        <v>159</v>
      </c>
      <c r="AV300" s="1" t="s">
        <v>159</v>
      </c>
      <c r="AW300" s="1" t="s">
        <v>160</v>
      </c>
      <c r="AX300" s="1" t="s">
        <v>159</v>
      </c>
      <c r="AY300" s="1" t="s">
        <v>160</v>
      </c>
      <c r="AZ300" s="1" t="s">
        <v>160</v>
      </c>
      <c r="BA300" s="1" t="s">
        <v>160</v>
      </c>
      <c r="BB300" s="1" t="s">
        <v>241</v>
      </c>
      <c r="BC300" s="1" t="s">
        <v>160</v>
      </c>
      <c r="BD300" s="1" t="s">
        <v>313</v>
      </c>
      <c r="BE300" s="1" t="s">
        <v>1387</v>
      </c>
      <c r="BF300" s="1" t="s">
        <v>160</v>
      </c>
    </row>
    <row r="301" spans="1:59" ht="13" x14ac:dyDescent="0.15">
      <c r="A301" s="2">
        <v>44175.768750000003</v>
      </c>
      <c r="B301" s="2">
        <v>44175.770138888889</v>
      </c>
      <c r="C301" s="1" t="s">
        <v>39</v>
      </c>
      <c r="D301" s="1" t="s">
        <v>234</v>
      </c>
      <c r="E301" s="1">
        <v>100</v>
      </c>
      <c r="F301" s="1">
        <v>121</v>
      </c>
      <c r="G301" s="1" t="b">
        <v>1</v>
      </c>
      <c r="H301" s="2">
        <v>44175.770138888889</v>
      </c>
      <c r="I301" s="1" t="s">
        <v>1388</v>
      </c>
      <c r="N301" s="1">
        <v>34.048492430000003</v>
      </c>
      <c r="O301" s="1">
        <v>-118.2528992</v>
      </c>
      <c r="P301" s="1" t="s">
        <v>153</v>
      </c>
      <c r="Q301" s="1" t="s">
        <v>154</v>
      </c>
      <c r="R301" s="1" t="s">
        <v>236</v>
      </c>
      <c r="S301" s="1" t="s">
        <v>274</v>
      </c>
      <c r="T301" s="1" t="s">
        <v>237</v>
      </c>
      <c r="U301" s="1" t="s">
        <v>1389</v>
      </c>
      <c r="V301" s="1" t="s">
        <v>160</v>
      </c>
      <c r="W301" s="1" t="s">
        <v>160</v>
      </c>
      <c r="X301" s="1" t="s">
        <v>160</v>
      </c>
      <c r="Y301" s="1" t="s">
        <v>160</v>
      </c>
      <c r="Z301" s="1" t="s">
        <v>160</v>
      </c>
      <c r="AA301" s="1" t="s">
        <v>160</v>
      </c>
      <c r="AB301" s="1" t="s">
        <v>160</v>
      </c>
      <c r="AC301" s="1" t="s">
        <v>160</v>
      </c>
      <c r="AD301" s="1" t="s">
        <v>160</v>
      </c>
      <c r="AE301" s="1" t="s">
        <v>160</v>
      </c>
      <c r="AF301" s="1" t="s">
        <v>160</v>
      </c>
      <c r="AG301" s="1" t="s">
        <v>160</v>
      </c>
      <c r="AI301" s="1" t="s">
        <v>160</v>
      </c>
      <c r="AJ301" s="1" t="s">
        <v>198</v>
      </c>
      <c r="AK301" s="1" t="s">
        <v>198</v>
      </c>
      <c r="AL301" s="1" t="s">
        <v>192</v>
      </c>
      <c r="AM301" s="1" t="s">
        <v>198</v>
      </c>
      <c r="AN301" s="1" t="s">
        <v>164</v>
      </c>
      <c r="AO301" s="1" t="s">
        <v>179</v>
      </c>
      <c r="AP301" s="1" t="s">
        <v>239</v>
      </c>
      <c r="AR301" s="1" t="s">
        <v>160</v>
      </c>
      <c r="AS301" s="1" t="s">
        <v>160</v>
      </c>
      <c r="AT301" s="1" t="s">
        <v>1390</v>
      </c>
      <c r="AU301" s="1" t="s">
        <v>159</v>
      </c>
      <c r="AV301" s="1" t="s">
        <v>160</v>
      </c>
      <c r="AW301" s="1" t="s">
        <v>160</v>
      </c>
      <c r="AX301" s="1" t="s">
        <v>160</v>
      </c>
      <c r="AY301" s="1" t="s">
        <v>160</v>
      </c>
      <c r="AZ301" s="1" t="s">
        <v>159</v>
      </c>
      <c r="BA301" s="1" t="s">
        <v>159</v>
      </c>
      <c r="BB301" s="1" t="s">
        <v>241</v>
      </c>
      <c r="BC301" s="1" t="s">
        <v>160</v>
      </c>
      <c r="BD301" s="1" t="s">
        <v>1391</v>
      </c>
      <c r="BE301" s="1" t="s">
        <v>1392</v>
      </c>
      <c r="BF301" s="1" t="s">
        <v>160</v>
      </c>
    </row>
    <row r="302" spans="1:59" ht="13" x14ac:dyDescent="0.15">
      <c r="A302" s="2">
        <v>44175.770138888889</v>
      </c>
      <c r="B302" s="2">
        <v>44175.771527777775</v>
      </c>
      <c r="C302" s="1" t="s">
        <v>39</v>
      </c>
      <c r="D302" s="1" t="s">
        <v>234</v>
      </c>
      <c r="E302" s="1">
        <v>100</v>
      </c>
      <c r="F302" s="1">
        <v>120</v>
      </c>
      <c r="G302" s="1" t="b">
        <v>1</v>
      </c>
      <c r="H302" s="2">
        <v>44175.771527777775</v>
      </c>
      <c r="I302" s="1" t="s">
        <v>1393</v>
      </c>
      <c r="N302" s="1">
        <v>34.048492430000003</v>
      </c>
      <c r="O302" s="1">
        <v>-118.2528992</v>
      </c>
      <c r="P302" s="1" t="s">
        <v>153</v>
      </c>
      <c r="Q302" s="1" t="s">
        <v>154</v>
      </c>
      <c r="R302" s="1" t="s">
        <v>174</v>
      </c>
      <c r="S302" s="1" t="s">
        <v>226</v>
      </c>
      <c r="T302" s="1" t="s">
        <v>237</v>
      </c>
      <c r="U302" s="1" t="s">
        <v>1246</v>
      </c>
      <c r="V302" s="1" t="s">
        <v>160</v>
      </c>
      <c r="W302" s="1" t="s">
        <v>160</v>
      </c>
      <c r="X302" s="1" t="s">
        <v>160</v>
      </c>
      <c r="Y302" s="1" t="s">
        <v>160</v>
      </c>
      <c r="Z302" s="1" t="s">
        <v>160</v>
      </c>
      <c r="AA302" s="1" t="s">
        <v>160</v>
      </c>
      <c r="AB302" s="1" t="s">
        <v>160</v>
      </c>
      <c r="AC302" s="1" t="s">
        <v>160</v>
      </c>
      <c r="AD302" s="1" t="s">
        <v>160</v>
      </c>
      <c r="AE302" s="1" t="s">
        <v>160</v>
      </c>
      <c r="AF302" s="1" t="s">
        <v>160</v>
      </c>
      <c r="AG302" s="1" t="s">
        <v>160</v>
      </c>
      <c r="AI302" s="1" t="s">
        <v>160</v>
      </c>
      <c r="AJ302" s="1" t="s">
        <v>198</v>
      </c>
      <c r="AK302" s="1" t="s">
        <v>164</v>
      </c>
      <c r="AL302" s="1" t="s">
        <v>163</v>
      </c>
      <c r="AM302" s="1" t="s">
        <v>164</v>
      </c>
      <c r="AN302" s="1" t="s">
        <v>192</v>
      </c>
      <c r="AO302" s="1" t="s">
        <v>179</v>
      </c>
      <c r="AP302" s="1" t="s">
        <v>165</v>
      </c>
      <c r="AR302" s="1" t="s">
        <v>160</v>
      </c>
      <c r="AS302" s="1" t="s">
        <v>160</v>
      </c>
      <c r="AT302" s="1" t="s">
        <v>1394</v>
      </c>
      <c r="AU302" s="1" t="s">
        <v>159</v>
      </c>
      <c r="AV302" s="1" t="s">
        <v>159</v>
      </c>
      <c r="AW302" s="1" t="s">
        <v>160</v>
      </c>
      <c r="AX302" s="1" t="s">
        <v>159</v>
      </c>
      <c r="AY302" s="1" t="s">
        <v>159</v>
      </c>
      <c r="AZ302" s="1" t="s">
        <v>159</v>
      </c>
      <c r="BA302" s="1" t="s">
        <v>160</v>
      </c>
      <c r="BB302" s="1" t="s">
        <v>181</v>
      </c>
      <c r="BC302" s="1" t="s">
        <v>160</v>
      </c>
      <c r="BD302" s="1" t="s">
        <v>1395</v>
      </c>
      <c r="BE302" s="1" t="s">
        <v>1396</v>
      </c>
      <c r="BF302" s="1" t="s">
        <v>160</v>
      </c>
    </row>
    <row r="303" spans="1:59" ht="13" x14ac:dyDescent="0.15">
      <c r="A303" s="2">
        <v>44175.771527777775</v>
      </c>
      <c r="B303" s="2">
        <v>44175.772916666669</v>
      </c>
      <c r="C303" s="1" t="s">
        <v>39</v>
      </c>
      <c r="D303" s="1" t="s">
        <v>234</v>
      </c>
      <c r="E303" s="1">
        <v>100</v>
      </c>
      <c r="F303" s="1">
        <v>121</v>
      </c>
      <c r="G303" s="1" t="b">
        <v>1</v>
      </c>
      <c r="H303" s="2">
        <v>44175.772916666669</v>
      </c>
      <c r="I303" s="1" t="s">
        <v>1397</v>
      </c>
      <c r="N303" s="1">
        <v>34.048492430000003</v>
      </c>
      <c r="O303" s="1">
        <v>-118.2528992</v>
      </c>
      <c r="P303" s="1" t="s">
        <v>153</v>
      </c>
      <c r="Q303" s="1" t="s">
        <v>154</v>
      </c>
      <c r="R303" s="1" t="s">
        <v>174</v>
      </c>
      <c r="S303" s="1" t="s">
        <v>208</v>
      </c>
      <c r="T303" s="1" t="s">
        <v>157</v>
      </c>
      <c r="U303" s="1" t="s">
        <v>1398</v>
      </c>
      <c r="V303" s="1" t="s">
        <v>160</v>
      </c>
      <c r="W303" s="1" t="s">
        <v>160</v>
      </c>
      <c r="X303" s="1" t="s">
        <v>160</v>
      </c>
      <c r="Y303" s="1" t="s">
        <v>160</v>
      </c>
      <c r="Z303" s="1" t="s">
        <v>160</v>
      </c>
      <c r="AA303" s="1" t="s">
        <v>160</v>
      </c>
      <c r="AB303" s="1" t="s">
        <v>160</v>
      </c>
      <c r="AC303" s="1" t="s">
        <v>160</v>
      </c>
      <c r="AD303" s="1" t="s">
        <v>160</v>
      </c>
      <c r="AE303" s="1" t="s">
        <v>160</v>
      </c>
      <c r="AF303" s="1" t="s">
        <v>160</v>
      </c>
      <c r="AG303" s="1" t="s">
        <v>160</v>
      </c>
      <c r="AI303" s="1" t="s">
        <v>160</v>
      </c>
      <c r="AJ303" s="1" t="s">
        <v>192</v>
      </c>
      <c r="AK303" s="1" t="s">
        <v>192</v>
      </c>
      <c r="AL303" s="1" t="s">
        <v>198</v>
      </c>
      <c r="AM303" s="1" t="s">
        <v>192</v>
      </c>
      <c r="AN303" s="1" t="s">
        <v>163</v>
      </c>
      <c r="AO303" s="1" t="s">
        <v>179</v>
      </c>
      <c r="AP303" s="1" t="s">
        <v>239</v>
      </c>
      <c r="AR303" s="1" t="s">
        <v>160</v>
      </c>
      <c r="AS303" s="1" t="s">
        <v>160</v>
      </c>
      <c r="AT303" s="1" t="s">
        <v>1399</v>
      </c>
      <c r="AU303" s="1" t="s">
        <v>160</v>
      </c>
      <c r="AV303" s="1" t="s">
        <v>160</v>
      </c>
      <c r="AW303" s="1" t="s">
        <v>159</v>
      </c>
      <c r="AX303" s="1" t="s">
        <v>159</v>
      </c>
      <c r="AY303" s="1" t="s">
        <v>159</v>
      </c>
      <c r="AZ303" s="1" t="s">
        <v>160</v>
      </c>
      <c r="BA303" s="1" t="s">
        <v>159</v>
      </c>
      <c r="BB303" s="1" t="s">
        <v>167</v>
      </c>
      <c r="BC303" s="1" t="s">
        <v>160</v>
      </c>
      <c r="BD303" s="1" t="s">
        <v>1400</v>
      </c>
      <c r="BE303" s="1" t="s">
        <v>1401</v>
      </c>
      <c r="BF303" s="1" t="s">
        <v>160</v>
      </c>
    </row>
    <row r="304" spans="1:59" ht="13" x14ac:dyDescent="0.15">
      <c r="A304" s="2">
        <v>44175.773611111108</v>
      </c>
      <c r="B304" s="2">
        <v>44175.775000000001</v>
      </c>
      <c r="C304" s="1" t="s">
        <v>39</v>
      </c>
      <c r="D304" s="1" t="s">
        <v>234</v>
      </c>
      <c r="E304" s="1">
        <v>100</v>
      </c>
      <c r="F304" s="1">
        <v>121</v>
      </c>
      <c r="G304" s="1" t="b">
        <v>1</v>
      </c>
      <c r="H304" s="2">
        <v>44175.775000000001</v>
      </c>
      <c r="I304" s="1" t="s">
        <v>1402</v>
      </c>
      <c r="N304" s="1">
        <v>34.048492430000003</v>
      </c>
      <c r="O304" s="1">
        <v>-118.2528992</v>
      </c>
      <c r="P304" s="1" t="s">
        <v>153</v>
      </c>
      <c r="Q304" s="1" t="s">
        <v>154</v>
      </c>
      <c r="R304" s="1" t="s">
        <v>174</v>
      </c>
      <c r="S304" s="1" t="s">
        <v>175</v>
      </c>
      <c r="T304" s="1" t="s">
        <v>263</v>
      </c>
      <c r="U304" s="1" t="s">
        <v>1403</v>
      </c>
      <c r="V304" s="1" t="s">
        <v>160</v>
      </c>
      <c r="W304" s="1" t="s">
        <v>160</v>
      </c>
      <c r="X304" s="1" t="s">
        <v>160</v>
      </c>
      <c r="Y304" s="1" t="s">
        <v>160</v>
      </c>
      <c r="Z304" s="1" t="s">
        <v>160</v>
      </c>
      <c r="AA304" s="1" t="s">
        <v>160</v>
      </c>
      <c r="AB304" s="1" t="s">
        <v>160</v>
      </c>
      <c r="AC304" s="1" t="s">
        <v>160</v>
      </c>
      <c r="AD304" s="1" t="s">
        <v>160</v>
      </c>
      <c r="AE304" s="1" t="s">
        <v>160</v>
      </c>
      <c r="AF304" s="1" t="s">
        <v>160</v>
      </c>
      <c r="AG304" s="1" t="s">
        <v>160</v>
      </c>
      <c r="AI304" s="1" t="s">
        <v>160</v>
      </c>
      <c r="AJ304" s="1" t="s">
        <v>192</v>
      </c>
      <c r="AK304" s="1" t="s">
        <v>192</v>
      </c>
      <c r="AL304" s="1" t="s">
        <v>198</v>
      </c>
      <c r="AM304" s="1" t="s">
        <v>198</v>
      </c>
      <c r="AN304" s="1" t="s">
        <v>164</v>
      </c>
      <c r="AO304" s="1" t="s">
        <v>179</v>
      </c>
      <c r="AP304" s="1" t="s">
        <v>239</v>
      </c>
      <c r="AR304" s="1" t="s">
        <v>160</v>
      </c>
      <c r="AS304" s="1" t="s">
        <v>160</v>
      </c>
      <c r="AT304" s="1" t="s">
        <v>605</v>
      </c>
      <c r="AU304" s="1" t="s">
        <v>160</v>
      </c>
      <c r="AV304" s="1" t="s">
        <v>160</v>
      </c>
      <c r="AW304" s="1" t="s">
        <v>160</v>
      </c>
      <c r="AX304" s="1" t="s">
        <v>160</v>
      </c>
      <c r="AY304" s="1" t="s">
        <v>159</v>
      </c>
      <c r="AZ304" s="1" t="s">
        <v>159</v>
      </c>
      <c r="BA304" s="1" t="s">
        <v>159</v>
      </c>
      <c r="BB304" s="1" t="s">
        <v>222</v>
      </c>
      <c r="BC304" s="1" t="s">
        <v>160</v>
      </c>
      <c r="BD304" s="1" t="s">
        <v>1404</v>
      </c>
      <c r="BE304" s="1" t="s">
        <v>1405</v>
      </c>
      <c r="BF304" s="1" t="s">
        <v>160</v>
      </c>
    </row>
    <row r="305" spans="1:59" ht="13" x14ac:dyDescent="0.15">
      <c r="A305" s="2">
        <v>44175.775000000001</v>
      </c>
      <c r="B305" s="2">
        <v>44175.776388888888</v>
      </c>
      <c r="C305" s="1" t="s">
        <v>39</v>
      </c>
      <c r="D305" s="1" t="s">
        <v>234</v>
      </c>
      <c r="E305" s="1">
        <v>100</v>
      </c>
      <c r="F305" s="1">
        <v>121</v>
      </c>
      <c r="G305" s="1" t="b">
        <v>1</v>
      </c>
      <c r="H305" s="2">
        <v>44175.776388888888</v>
      </c>
      <c r="I305" s="1" t="s">
        <v>1406</v>
      </c>
      <c r="N305" s="1">
        <v>34.048492430000003</v>
      </c>
      <c r="O305" s="1">
        <v>-118.2528992</v>
      </c>
      <c r="P305" s="1" t="s">
        <v>153</v>
      </c>
      <c r="Q305" s="1" t="s">
        <v>154</v>
      </c>
      <c r="R305" s="1" t="s">
        <v>174</v>
      </c>
      <c r="S305" s="1" t="s">
        <v>208</v>
      </c>
      <c r="T305" s="1" t="s">
        <v>263</v>
      </c>
      <c r="U305" s="1" t="s">
        <v>1407</v>
      </c>
      <c r="V305" s="1" t="s">
        <v>160</v>
      </c>
      <c r="W305" s="1" t="s">
        <v>160</v>
      </c>
      <c r="X305" s="1" t="s">
        <v>160</v>
      </c>
      <c r="Y305" s="1" t="s">
        <v>160</v>
      </c>
      <c r="Z305" s="1" t="s">
        <v>160</v>
      </c>
      <c r="AA305" s="1" t="s">
        <v>160</v>
      </c>
      <c r="AB305" s="1" t="s">
        <v>160</v>
      </c>
      <c r="AC305" s="1" t="s">
        <v>160</v>
      </c>
      <c r="AD305" s="1" t="s">
        <v>160</v>
      </c>
      <c r="AE305" s="1" t="s">
        <v>160</v>
      </c>
      <c r="AF305" s="1" t="s">
        <v>160</v>
      </c>
      <c r="AG305" s="1" t="s">
        <v>160</v>
      </c>
      <c r="AI305" s="1" t="s">
        <v>160</v>
      </c>
      <c r="AJ305" s="1" t="s">
        <v>198</v>
      </c>
      <c r="AK305" s="1" t="s">
        <v>164</v>
      </c>
      <c r="AL305" s="1" t="s">
        <v>198</v>
      </c>
      <c r="AM305" s="1" t="s">
        <v>192</v>
      </c>
      <c r="AN305" s="1" t="s">
        <v>164</v>
      </c>
      <c r="AO305" s="1" t="s">
        <v>179</v>
      </c>
      <c r="AP305" s="1" t="s">
        <v>179</v>
      </c>
      <c r="AR305" s="1" t="s">
        <v>160</v>
      </c>
      <c r="AS305" s="1" t="s">
        <v>160</v>
      </c>
      <c r="AT305" s="1" t="s">
        <v>402</v>
      </c>
      <c r="AU305" s="1" t="s">
        <v>159</v>
      </c>
      <c r="AV305" s="1" t="s">
        <v>159</v>
      </c>
      <c r="AW305" s="1" t="s">
        <v>159</v>
      </c>
      <c r="AX305" s="1" t="s">
        <v>159</v>
      </c>
      <c r="AY305" s="1" t="s">
        <v>159</v>
      </c>
      <c r="AZ305" s="1" t="s">
        <v>159</v>
      </c>
      <c r="BA305" s="1" t="s">
        <v>159</v>
      </c>
      <c r="BB305" s="1" t="s">
        <v>167</v>
      </c>
      <c r="BC305" s="1" t="s">
        <v>160</v>
      </c>
      <c r="BD305" s="1" t="s">
        <v>1408</v>
      </c>
      <c r="BE305" s="1" t="s">
        <v>1409</v>
      </c>
      <c r="BF305" s="1" t="s">
        <v>160</v>
      </c>
    </row>
    <row r="306" spans="1:59" ht="13" x14ac:dyDescent="0.15">
      <c r="A306" s="2">
        <v>44175.76666666667</v>
      </c>
      <c r="B306" s="2">
        <v>44175.776388888888</v>
      </c>
      <c r="C306" s="1" t="s">
        <v>39</v>
      </c>
      <c r="D306" s="1" t="s">
        <v>1410</v>
      </c>
      <c r="E306" s="1">
        <v>100</v>
      </c>
      <c r="F306" s="1">
        <v>855</v>
      </c>
      <c r="G306" s="1" t="b">
        <v>1</v>
      </c>
      <c r="H306" s="2">
        <v>44175.776388888888</v>
      </c>
      <c r="I306" s="1" t="s">
        <v>1411</v>
      </c>
      <c r="N306" s="1">
        <v>51.523895260000003</v>
      </c>
      <c r="O306" s="1">
        <v>0.57640075700000004</v>
      </c>
      <c r="P306" s="1" t="s">
        <v>153</v>
      </c>
      <c r="Q306" s="1" t="s">
        <v>154</v>
      </c>
      <c r="R306" s="1" t="s">
        <v>174</v>
      </c>
      <c r="S306" s="1" t="s">
        <v>208</v>
      </c>
      <c r="T306" s="1" t="s">
        <v>176</v>
      </c>
      <c r="U306" s="1" t="s">
        <v>1086</v>
      </c>
      <c r="V306" s="1" t="s">
        <v>160</v>
      </c>
      <c r="W306" s="1" t="s">
        <v>160</v>
      </c>
      <c r="X306" s="1" t="s">
        <v>160</v>
      </c>
      <c r="Y306" s="1" t="s">
        <v>160</v>
      </c>
      <c r="Z306" s="1" t="s">
        <v>160</v>
      </c>
      <c r="AA306" s="1" t="s">
        <v>159</v>
      </c>
      <c r="AB306" s="1" t="s">
        <v>160</v>
      </c>
      <c r="AC306" s="1" t="s">
        <v>160</v>
      </c>
      <c r="AD306" s="1" t="s">
        <v>159</v>
      </c>
      <c r="AE306" s="1" t="s">
        <v>160</v>
      </c>
      <c r="AF306" s="1" t="s">
        <v>160</v>
      </c>
      <c r="AG306" s="1" t="s">
        <v>160</v>
      </c>
      <c r="AH306" s="1">
        <v>2</v>
      </c>
      <c r="AI306" s="1" t="s">
        <v>160</v>
      </c>
      <c r="AJ306" s="1" t="s">
        <v>192</v>
      </c>
      <c r="AK306" s="1" t="s">
        <v>163</v>
      </c>
      <c r="AL306" s="1" t="s">
        <v>163</v>
      </c>
      <c r="AM306" s="1" t="s">
        <v>163</v>
      </c>
      <c r="AN306" s="1" t="s">
        <v>163</v>
      </c>
      <c r="AO306" s="1" t="s">
        <v>179</v>
      </c>
      <c r="AP306" s="1" t="s">
        <v>179</v>
      </c>
      <c r="AQ306" s="1">
        <v>1995</v>
      </c>
      <c r="AR306" s="1" t="s">
        <v>160</v>
      </c>
      <c r="AS306" s="1" t="s">
        <v>160</v>
      </c>
      <c r="AT306" s="1" t="s">
        <v>166</v>
      </c>
      <c r="AU306" s="1" t="s">
        <v>159</v>
      </c>
      <c r="AV306" s="1" t="s">
        <v>160</v>
      </c>
      <c r="AW306" s="1" t="s">
        <v>159</v>
      </c>
      <c r="AX306" s="1" t="s">
        <v>159</v>
      </c>
      <c r="AY306" s="1" t="s">
        <v>159</v>
      </c>
      <c r="AZ306" s="1" t="s">
        <v>159</v>
      </c>
      <c r="BA306" s="1" t="s">
        <v>159</v>
      </c>
      <c r="BB306" s="1" t="s">
        <v>167</v>
      </c>
      <c r="BC306" s="1" t="s">
        <v>159</v>
      </c>
      <c r="BE306" s="1" t="s">
        <v>1412</v>
      </c>
      <c r="BF306" s="1" t="s">
        <v>160</v>
      </c>
      <c r="BG306" s="1" t="s">
        <v>1413</v>
      </c>
    </row>
    <row r="307" spans="1:59" ht="13" x14ac:dyDescent="0.15">
      <c r="A307" s="2">
        <v>44175.777083333334</v>
      </c>
      <c r="B307" s="2">
        <v>44175.77847222222</v>
      </c>
      <c r="C307" s="1" t="s">
        <v>39</v>
      </c>
      <c r="D307" s="1" t="s">
        <v>234</v>
      </c>
      <c r="E307" s="1">
        <v>100</v>
      </c>
      <c r="F307" s="1">
        <v>121</v>
      </c>
      <c r="G307" s="1" t="b">
        <v>1</v>
      </c>
      <c r="H307" s="2">
        <v>44175.77847222222</v>
      </c>
      <c r="I307" s="1" t="s">
        <v>1414</v>
      </c>
      <c r="N307" s="1">
        <v>34.048492430000003</v>
      </c>
      <c r="O307" s="1">
        <v>-118.2528992</v>
      </c>
      <c r="P307" s="1" t="s">
        <v>153</v>
      </c>
      <c r="Q307" s="1" t="s">
        <v>154</v>
      </c>
      <c r="R307" s="1" t="s">
        <v>236</v>
      </c>
      <c r="S307" s="1" t="s">
        <v>226</v>
      </c>
      <c r="T307" s="1" t="s">
        <v>237</v>
      </c>
      <c r="U307" s="1" t="s">
        <v>1415</v>
      </c>
      <c r="V307" s="1" t="s">
        <v>160</v>
      </c>
      <c r="W307" s="1" t="s">
        <v>160</v>
      </c>
      <c r="X307" s="1" t="s">
        <v>160</v>
      </c>
      <c r="Y307" s="1" t="s">
        <v>160</v>
      </c>
      <c r="Z307" s="1" t="s">
        <v>160</v>
      </c>
      <c r="AA307" s="1" t="s">
        <v>160</v>
      </c>
      <c r="AB307" s="1" t="s">
        <v>160</v>
      </c>
      <c r="AC307" s="1" t="s">
        <v>160</v>
      </c>
      <c r="AD307" s="1" t="s">
        <v>160</v>
      </c>
      <c r="AE307" s="1" t="s">
        <v>160</v>
      </c>
      <c r="AF307" s="1" t="s">
        <v>160</v>
      </c>
      <c r="AG307" s="1" t="s">
        <v>160</v>
      </c>
      <c r="AI307" s="1" t="s">
        <v>160</v>
      </c>
      <c r="AJ307" s="1" t="s">
        <v>164</v>
      </c>
      <c r="AK307" s="1" t="s">
        <v>198</v>
      </c>
      <c r="AL307" s="1" t="s">
        <v>164</v>
      </c>
      <c r="AM307" s="1" t="s">
        <v>163</v>
      </c>
      <c r="AN307" s="1" t="s">
        <v>192</v>
      </c>
      <c r="AO307" s="1" t="s">
        <v>179</v>
      </c>
      <c r="AP307" s="1" t="s">
        <v>165</v>
      </c>
      <c r="AR307" s="1" t="s">
        <v>160</v>
      </c>
      <c r="AS307" s="1" t="s">
        <v>160</v>
      </c>
      <c r="AT307" s="1" t="s">
        <v>1416</v>
      </c>
      <c r="AU307" s="1" t="s">
        <v>159</v>
      </c>
      <c r="AV307" s="1" t="s">
        <v>160</v>
      </c>
      <c r="AW307" s="1" t="s">
        <v>160</v>
      </c>
      <c r="AX307" s="1" t="s">
        <v>159</v>
      </c>
      <c r="AY307" s="1" t="s">
        <v>160</v>
      </c>
      <c r="AZ307" s="1" t="s">
        <v>160</v>
      </c>
      <c r="BA307" s="1" t="s">
        <v>160</v>
      </c>
      <c r="BB307" s="1" t="s">
        <v>181</v>
      </c>
      <c r="BC307" s="1" t="s">
        <v>160</v>
      </c>
      <c r="BD307" s="1" t="s">
        <v>1417</v>
      </c>
      <c r="BE307" s="1" t="s">
        <v>1418</v>
      </c>
      <c r="BF307" s="1" t="s">
        <v>160</v>
      </c>
    </row>
    <row r="308" spans="1:59" ht="13" x14ac:dyDescent="0.15">
      <c r="A308" s="2">
        <v>44175.77847222222</v>
      </c>
      <c r="B308" s="2">
        <v>44175.779861111114</v>
      </c>
      <c r="C308" s="1" t="s">
        <v>39</v>
      </c>
      <c r="D308" s="1" t="s">
        <v>234</v>
      </c>
      <c r="E308" s="1">
        <v>100</v>
      </c>
      <c r="F308" s="1">
        <v>120</v>
      </c>
      <c r="G308" s="1" t="b">
        <v>1</v>
      </c>
      <c r="H308" s="2">
        <v>44175.779861111114</v>
      </c>
      <c r="I308" s="1" t="s">
        <v>1419</v>
      </c>
      <c r="N308" s="1">
        <v>34.048492430000003</v>
      </c>
      <c r="O308" s="1">
        <v>-118.2528992</v>
      </c>
      <c r="P308" s="1" t="s">
        <v>153</v>
      </c>
      <c r="Q308" s="1" t="s">
        <v>154</v>
      </c>
      <c r="R308" s="1" t="s">
        <v>174</v>
      </c>
      <c r="S308" s="1" t="s">
        <v>175</v>
      </c>
      <c r="T308" s="1" t="s">
        <v>157</v>
      </c>
      <c r="U308" s="1" t="s">
        <v>1420</v>
      </c>
      <c r="V308" s="1" t="s">
        <v>160</v>
      </c>
      <c r="W308" s="1" t="s">
        <v>160</v>
      </c>
      <c r="X308" s="1" t="s">
        <v>160</v>
      </c>
      <c r="Y308" s="1" t="s">
        <v>160</v>
      </c>
      <c r="Z308" s="1" t="s">
        <v>160</v>
      </c>
      <c r="AA308" s="1" t="s">
        <v>160</v>
      </c>
      <c r="AB308" s="1" t="s">
        <v>160</v>
      </c>
      <c r="AC308" s="1" t="s">
        <v>160</v>
      </c>
      <c r="AD308" s="1" t="s">
        <v>160</v>
      </c>
      <c r="AE308" s="1" t="s">
        <v>160</v>
      </c>
      <c r="AF308" s="1" t="s">
        <v>160</v>
      </c>
      <c r="AG308" s="1" t="s">
        <v>160</v>
      </c>
      <c r="AI308" s="1" t="s">
        <v>160</v>
      </c>
      <c r="AJ308" s="1" t="s">
        <v>164</v>
      </c>
      <c r="AK308" s="1" t="s">
        <v>198</v>
      </c>
      <c r="AL308" s="1" t="s">
        <v>192</v>
      </c>
      <c r="AM308" s="1" t="s">
        <v>192</v>
      </c>
      <c r="AN308" s="1" t="s">
        <v>198</v>
      </c>
      <c r="AO308" s="1" t="s">
        <v>179</v>
      </c>
      <c r="AP308" s="1" t="s">
        <v>239</v>
      </c>
      <c r="AR308" s="1" t="s">
        <v>160</v>
      </c>
      <c r="AS308" s="1" t="s">
        <v>160</v>
      </c>
      <c r="AT308" s="1" t="s">
        <v>1421</v>
      </c>
      <c r="AU308" s="1" t="s">
        <v>160</v>
      </c>
      <c r="AV308" s="1" t="s">
        <v>160</v>
      </c>
      <c r="AW308" s="1" t="s">
        <v>160</v>
      </c>
      <c r="AX308" s="1" t="s">
        <v>160</v>
      </c>
      <c r="AY308" s="1" t="s">
        <v>160</v>
      </c>
      <c r="AZ308" s="1" t="s">
        <v>160</v>
      </c>
      <c r="BA308" s="1" t="s">
        <v>160</v>
      </c>
      <c r="BB308" s="1" t="s">
        <v>241</v>
      </c>
      <c r="BC308" s="1" t="s">
        <v>160</v>
      </c>
      <c r="BD308" s="1" t="s">
        <v>1422</v>
      </c>
      <c r="BE308" s="1" t="s">
        <v>1423</v>
      </c>
      <c r="BF308" s="1" t="s">
        <v>160</v>
      </c>
    </row>
    <row r="309" spans="1:59" ht="13" x14ac:dyDescent="0.15">
      <c r="A309" s="2">
        <v>44175.777777777781</v>
      </c>
      <c r="B309" s="2">
        <v>44175.78125</v>
      </c>
      <c r="C309" s="1" t="s">
        <v>39</v>
      </c>
      <c r="D309" s="1" t="s">
        <v>1424</v>
      </c>
      <c r="E309" s="1">
        <v>100</v>
      </c>
      <c r="F309" s="1">
        <v>292</v>
      </c>
      <c r="G309" s="1" t="b">
        <v>1</v>
      </c>
      <c r="H309" s="2">
        <v>44175.78125</v>
      </c>
      <c r="I309" s="1" t="s">
        <v>1425</v>
      </c>
      <c r="N309" s="1">
        <v>36.806503300000003</v>
      </c>
      <c r="O309" s="1">
        <v>127.1521912</v>
      </c>
      <c r="P309" s="1" t="s">
        <v>153</v>
      </c>
      <c r="Q309" s="1" t="s">
        <v>154</v>
      </c>
      <c r="R309" s="1" t="s">
        <v>174</v>
      </c>
      <c r="S309" s="1" t="s">
        <v>208</v>
      </c>
      <c r="T309" s="1" t="s">
        <v>176</v>
      </c>
      <c r="U309" s="1" t="s">
        <v>1086</v>
      </c>
      <c r="V309" s="1" t="s">
        <v>159</v>
      </c>
      <c r="W309" s="1" t="s">
        <v>160</v>
      </c>
      <c r="X309" s="1" t="s">
        <v>160</v>
      </c>
      <c r="Y309" s="1" t="s">
        <v>160</v>
      </c>
      <c r="Z309" s="1" t="s">
        <v>159</v>
      </c>
      <c r="AA309" s="1" t="s">
        <v>159</v>
      </c>
      <c r="AB309" s="1" t="s">
        <v>160</v>
      </c>
      <c r="AC309" s="1" t="s">
        <v>160</v>
      </c>
      <c r="AD309" s="1" t="s">
        <v>159</v>
      </c>
      <c r="AE309" s="1" t="s">
        <v>160</v>
      </c>
      <c r="AF309" s="1" t="s">
        <v>160</v>
      </c>
      <c r="AG309" s="1" t="s">
        <v>160</v>
      </c>
      <c r="AH309" s="1">
        <v>1</v>
      </c>
      <c r="AI309" s="1" t="s">
        <v>160</v>
      </c>
      <c r="AJ309" s="1" t="s">
        <v>163</v>
      </c>
      <c r="AK309" s="1" t="s">
        <v>163</v>
      </c>
      <c r="AL309" s="1" t="s">
        <v>162</v>
      </c>
      <c r="AM309" s="1" t="s">
        <v>163</v>
      </c>
      <c r="AN309" s="1" t="s">
        <v>163</v>
      </c>
      <c r="AO309" s="1" t="s">
        <v>179</v>
      </c>
      <c r="AP309" s="1" t="s">
        <v>179</v>
      </c>
      <c r="AQ309" s="1">
        <v>1996</v>
      </c>
      <c r="AR309" s="1" t="s">
        <v>160</v>
      </c>
      <c r="AS309" s="1" t="s">
        <v>159</v>
      </c>
      <c r="AT309" s="1" t="s">
        <v>210</v>
      </c>
      <c r="AU309" s="1" t="s">
        <v>159</v>
      </c>
      <c r="AV309" s="1" t="s">
        <v>160</v>
      </c>
      <c r="AW309" s="1" t="s">
        <v>159</v>
      </c>
      <c r="AX309" s="1" t="s">
        <v>160</v>
      </c>
      <c r="AY309" s="1" t="s">
        <v>159</v>
      </c>
      <c r="AZ309" s="1" t="s">
        <v>159</v>
      </c>
      <c r="BA309" s="1" t="s">
        <v>159</v>
      </c>
      <c r="BB309" s="1" t="s">
        <v>167</v>
      </c>
      <c r="BC309" s="1" t="s">
        <v>159</v>
      </c>
      <c r="BE309" s="1" t="s">
        <v>1426</v>
      </c>
      <c r="BF309" s="1" t="s">
        <v>160</v>
      </c>
      <c r="BG309" s="1" t="s">
        <v>1427</v>
      </c>
    </row>
    <row r="310" spans="1:59" ht="13" x14ac:dyDescent="0.15">
      <c r="A310" s="2">
        <v>44175.779861111114</v>
      </c>
      <c r="B310" s="2">
        <v>44175.78125</v>
      </c>
      <c r="C310" s="1" t="s">
        <v>39</v>
      </c>
      <c r="D310" s="1" t="s">
        <v>234</v>
      </c>
      <c r="E310" s="1">
        <v>100</v>
      </c>
      <c r="F310" s="1">
        <v>116</v>
      </c>
      <c r="G310" s="1" t="b">
        <v>1</v>
      </c>
      <c r="H310" s="2">
        <v>44175.78125</v>
      </c>
      <c r="I310" s="1" t="s">
        <v>1428</v>
      </c>
      <c r="N310" s="1">
        <v>34.048492430000003</v>
      </c>
      <c r="O310" s="1">
        <v>-118.2528992</v>
      </c>
      <c r="P310" s="1" t="s">
        <v>153</v>
      </c>
      <c r="Q310" s="1" t="s">
        <v>154</v>
      </c>
      <c r="R310" s="1" t="s">
        <v>155</v>
      </c>
      <c r="S310" s="1" t="s">
        <v>208</v>
      </c>
      <c r="T310" s="1" t="s">
        <v>237</v>
      </c>
      <c r="U310" s="1" t="s">
        <v>1429</v>
      </c>
      <c r="V310" s="1" t="s">
        <v>160</v>
      </c>
      <c r="W310" s="1" t="s">
        <v>160</v>
      </c>
      <c r="X310" s="1" t="s">
        <v>160</v>
      </c>
      <c r="Y310" s="1" t="s">
        <v>160</v>
      </c>
      <c r="Z310" s="1" t="s">
        <v>160</v>
      </c>
      <c r="AA310" s="1" t="s">
        <v>160</v>
      </c>
      <c r="AB310" s="1" t="s">
        <v>160</v>
      </c>
      <c r="AC310" s="1" t="s">
        <v>160</v>
      </c>
      <c r="AD310" s="1" t="s">
        <v>160</v>
      </c>
      <c r="AE310" s="1" t="s">
        <v>160</v>
      </c>
      <c r="AF310" s="1" t="s">
        <v>160</v>
      </c>
      <c r="AG310" s="1" t="s">
        <v>160</v>
      </c>
      <c r="AI310" s="1" t="s">
        <v>160</v>
      </c>
      <c r="AJ310" s="1" t="s">
        <v>163</v>
      </c>
      <c r="AK310" s="1" t="s">
        <v>163</v>
      </c>
      <c r="AL310" s="1" t="s">
        <v>198</v>
      </c>
      <c r="AM310" s="1" t="s">
        <v>192</v>
      </c>
      <c r="AN310" s="1" t="s">
        <v>163</v>
      </c>
      <c r="AO310" s="1" t="s">
        <v>179</v>
      </c>
      <c r="AP310" s="1" t="s">
        <v>239</v>
      </c>
      <c r="AR310" s="1" t="s">
        <v>160</v>
      </c>
      <c r="AS310" s="1" t="s">
        <v>160</v>
      </c>
      <c r="AT310" s="1" t="s">
        <v>322</v>
      </c>
      <c r="AU310" s="1" t="s">
        <v>160</v>
      </c>
      <c r="AV310" s="1" t="s">
        <v>159</v>
      </c>
      <c r="AW310" s="1" t="s">
        <v>160</v>
      </c>
      <c r="AX310" s="1" t="s">
        <v>160</v>
      </c>
      <c r="AY310" s="1" t="s">
        <v>160</v>
      </c>
      <c r="AZ310" s="1" t="s">
        <v>160</v>
      </c>
      <c r="BA310" s="1" t="s">
        <v>159</v>
      </c>
      <c r="BB310" s="1" t="s">
        <v>167</v>
      </c>
      <c r="BC310" s="1" t="s">
        <v>160</v>
      </c>
      <c r="BD310" s="1" t="s">
        <v>1430</v>
      </c>
      <c r="BE310" s="1" t="s">
        <v>1431</v>
      </c>
      <c r="BF310" s="1" t="s">
        <v>160</v>
      </c>
    </row>
    <row r="311" spans="1:59" ht="13" x14ac:dyDescent="0.15">
      <c r="A311" s="2">
        <v>44175.780555555553</v>
      </c>
      <c r="B311" s="2">
        <v>44175.782638888886</v>
      </c>
      <c r="C311" s="1" t="s">
        <v>39</v>
      </c>
      <c r="D311" s="1" t="s">
        <v>1432</v>
      </c>
      <c r="E311" s="1">
        <v>100</v>
      </c>
      <c r="F311" s="1">
        <v>160</v>
      </c>
      <c r="G311" s="1" t="b">
        <v>1</v>
      </c>
      <c r="H311" s="2">
        <v>44175.782638888886</v>
      </c>
      <c r="I311" s="1" t="s">
        <v>1433</v>
      </c>
      <c r="N311" s="1">
        <v>41.848602290000002</v>
      </c>
      <c r="O311" s="1">
        <v>-87.628799439999995</v>
      </c>
      <c r="P311" s="1" t="s">
        <v>153</v>
      </c>
      <c r="Q311" s="1" t="s">
        <v>154</v>
      </c>
      <c r="R311" s="1" t="s">
        <v>174</v>
      </c>
      <c r="S311" s="1" t="s">
        <v>274</v>
      </c>
      <c r="T311" s="1" t="s">
        <v>157</v>
      </c>
      <c r="U311" s="1" t="s">
        <v>1362</v>
      </c>
      <c r="V311" s="1" t="s">
        <v>160</v>
      </c>
      <c r="W311" s="1" t="s">
        <v>159</v>
      </c>
      <c r="X311" s="1" t="s">
        <v>160</v>
      </c>
      <c r="Y311" s="1" t="s">
        <v>159</v>
      </c>
      <c r="Z311" s="1" t="s">
        <v>160</v>
      </c>
      <c r="AA311" s="1" t="s">
        <v>159</v>
      </c>
      <c r="AB311" s="1" t="s">
        <v>159</v>
      </c>
      <c r="AC311" s="1" t="s">
        <v>160</v>
      </c>
      <c r="AD311" s="1" t="s">
        <v>160</v>
      </c>
      <c r="AE311" s="1" t="s">
        <v>160</v>
      </c>
      <c r="AF311" s="1" t="s">
        <v>160</v>
      </c>
      <c r="AG311" s="1" t="s">
        <v>160</v>
      </c>
      <c r="AH311" s="1">
        <v>1</v>
      </c>
      <c r="AI311" s="1" t="s">
        <v>160</v>
      </c>
      <c r="AJ311" s="1" t="s">
        <v>192</v>
      </c>
      <c r="AK311" s="1" t="s">
        <v>163</v>
      </c>
      <c r="AL311" s="1" t="s">
        <v>164</v>
      </c>
      <c r="AM311" s="1" t="s">
        <v>192</v>
      </c>
      <c r="AN311" s="1" t="s">
        <v>164</v>
      </c>
      <c r="AO311" s="1" t="s">
        <v>179</v>
      </c>
      <c r="AP311" s="1" t="s">
        <v>179</v>
      </c>
      <c r="AQ311" s="1">
        <v>1998</v>
      </c>
      <c r="AR311" s="1" t="s">
        <v>160</v>
      </c>
      <c r="AS311" s="1" t="s">
        <v>159</v>
      </c>
      <c r="AT311" s="1" t="s">
        <v>180</v>
      </c>
      <c r="AU311" s="1" t="s">
        <v>159</v>
      </c>
      <c r="AV311" s="1" t="s">
        <v>159</v>
      </c>
      <c r="AW311" s="1" t="s">
        <v>159</v>
      </c>
      <c r="AX311" s="1" t="s">
        <v>159</v>
      </c>
      <c r="AY311" s="1" t="s">
        <v>159</v>
      </c>
      <c r="AZ311" s="1" t="s">
        <v>159</v>
      </c>
      <c r="BA311" s="1" t="s">
        <v>159</v>
      </c>
      <c r="BB311" s="1" t="s">
        <v>181</v>
      </c>
      <c r="BC311" s="1" t="s">
        <v>159</v>
      </c>
      <c r="BE311" s="1" t="s">
        <v>1434</v>
      </c>
      <c r="BF311" s="1" t="s">
        <v>159</v>
      </c>
    </row>
    <row r="312" spans="1:59" ht="13" x14ac:dyDescent="0.15">
      <c r="A312" s="2">
        <v>44175.781944444447</v>
      </c>
      <c r="B312" s="2">
        <v>44175.783333333333</v>
      </c>
      <c r="C312" s="1" t="s">
        <v>39</v>
      </c>
      <c r="D312" s="1" t="s">
        <v>234</v>
      </c>
      <c r="E312" s="1">
        <v>100</v>
      </c>
      <c r="F312" s="1">
        <v>121</v>
      </c>
      <c r="G312" s="1" t="b">
        <v>1</v>
      </c>
      <c r="H312" s="2">
        <v>44175.783333333333</v>
      </c>
      <c r="I312" s="1" t="s">
        <v>1435</v>
      </c>
      <c r="N312" s="1">
        <v>34.048492430000003</v>
      </c>
      <c r="O312" s="1">
        <v>-118.2528992</v>
      </c>
      <c r="P312" s="1" t="s">
        <v>153</v>
      </c>
      <c r="Q312" s="1" t="s">
        <v>154</v>
      </c>
      <c r="R312" s="1" t="s">
        <v>174</v>
      </c>
      <c r="S312" s="1" t="s">
        <v>310</v>
      </c>
      <c r="T312" s="1" t="s">
        <v>176</v>
      </c>
      <c r="U312" s="1" t="s">
        <v>1436</v>
      </c>
      <c r="V312" s="1" t="s">
        <v>160</v>
      </c>
      <c r="W312" s="1" t="s">
        <v>160</v>
      </c>
      <c r="X312" s="1" t="s">
        <v>160</v>
      </c>
      <c r="Y312" s="1" t="s">
        <v>160</v>
      </c>
      <c r="Z312" s="1" t="s">
        <v>160</v>
      </c>
      <c r="AA312" s="1" t="s">
        <v>160</v>
      </c>
      <c r="AB312" s="1" t="s">
        <v>160</v>
      </c>
      <c r="AC312" s="1" t="s">
        <v>160</v>
      </c>
      <c r="AD312" s="1" t="s">
        <v>160</v>
      </c>
      <c r="AE312" s="1" t="s">
        <v>160</v>
      </c>
      <c r="AF312" s="1" t="s">
        <v>160</v>
      </c>
      <c r="AG312" s="1" t="s">
        <v>160</v>
      </c>
      <c r="AI312" s="1" t="s">
        <v>160</v>
      </c>
      <c r="AJ312" s="1" t="s">
        <v>163</v>
      </c>
      <c r="AK312" s="1" t="s">
        <v>192</v>
      </c>
      <c r="AL312" s="1" t="s">
        <v>164</v>
      </c>
      <c r="AM312" s="1" t="s">
        <v>164</v>
      </c>
      <c r="AN312" s="1" t="s">
        <v>198</v>
      </c>
      <c r="AO312" s="1" t="s">
        <v>179</v>
      </c>
      <c r="AP312" s="1" t="s">
        <v>165</v>
      </c>
      <c r="AR312" s="1" t="s">
        <v>160</v>
      </c>
      <c r="AS312" s="1" t="s">
        <v>160</v>
      </c>
      <c r="AT312" s="1" t="s">
        <v>1437</v>
      </c>
      <c r="AU312" s="1" t="s">
        <v>159</v>
      </c>
      <c r="AV312" s="1" t="s">
        <v>159</v>
      </c>
      <c r="AW312" s="1" t="s">
        <v>160</v>
      </c>
      <c r="AX312" s="1" t="s">
        <v>160</v>
      </c>
      <c r="AY312" s="1" t="s">
        <v>159</v>
      </c>
      <c r="AZ312" s="1" t="s">
        <v>160</v>
      </c>
      <c r="BA312" s="1" t="s">
        <v>160</v>
      </c>
      <c r="BB312" s="1" t="s">
        <v>222</v>
      </c>
      <c r="BC312" s="1" t="s">
        <v>160</v>
      </c>
      <c r="BD312" s="1" t="s">
        <v>1438</v>
      </c>
      <c r="BE312" s="1" t="s">
        <v>1439</v>
      </c>
      <c r="BF312" s="1" t="s">
        <v>160</v>
      </c>
    </row>
    <row r="313" spans="1:59" ht="13" x14ac:dyDescent="0.15">
      <c r="A313" s="2">
        <v>44175.783333333333</v>
      </c>
      <c r="B313" s="2">
        <v>44175.784722222219</v>
      </c>
      <c r="C313" s="1" t="s">
        <v>39</v>
      </c>
      <c r="D313" s="1" t="s">
        <v>234</v>
      </c>
      <c r="E313" s="1">
        <v>100</v>
      </c>
      <c r="F313" s="1">
        <v>122</v>
      </c>
      <c r="G313" s="1" t="b">
        <v>1</v>
      </c>
      <c r="H313" s="2">
        <v>44175.784722222219</v>
      </c>
      <c r="I313" s="1" t="s">
        <v>1440</v>
      </c>
      <c r="N313" s="1">
        <v>34.048492430000003</v>
      </c>
      <c r="O313" s="1">
        <v>-118.2528992</v>
      </c>
      <c r="P313" s="1" t="s">
        <v>153</v>
      </c>
      <c r="Q313" s="1" t="s">
        <v>154</v>
      </c>
      <c r="R313" s="1" t="s">
        <v>236</v>
      </c>
      <c r="S313" s="1" t="s">
        <v>208</v>
      </c>
      <c r="T313" s="1" t="s">
        <v>263</v>
      </c>
      <c r="U313" s="1" t="s">
        <v>1441</v>
      </c>
      <c r="V313" s="1" t="s">
        <v>160</v>
      </c>
      <c r="W313" s="1" t="s">
        <v>160</v>
      </c>
      <c r="X313" s="1" t="s">
        <v>160</v>
      </c>
      <c r="Y313" s="1" t="s">
        <v>160</v>
      </c>
      <c r="Z313" s="1" t="s">
        <v>160</v>
      </c>
      <c r="AA313" s="1" t="s">
        <v>160</v>
      </c>
      <c r="AB313" s="1" t="s">
        <v>160</v>
      </c>
      <c r="AC313" s="1" t="s">
        <v>160</v>
      </c>
      <c r="AD313" s="1" t="s">
        <v>160</v>
      </c>
      <c r="AE313" s="1" t="s">
        <v>160</v>
      </c>
      <c r="AF313" s="1" t="s">
        <v>160</v>
      </c>
      <c r="AG313" s="1" t="s">
        <v>160</v>
      </c>
      <c r="AI313" s="1" t="s">
        <v>160</v>
      </c>
      <c r="AJ313" s="1" t="s">
        <v>163</v>
      </c>
      <c r="AK313" s="1" t="s">
        <v>198</v>
      </c>
      <c r="AL313" s="1" t="s">
        <v>198</v>
      </c>
      <c r="AM313" s="1" t="s">
        <v>198</v>
      </c>
      <c r="AN313" s="1" t="s">
        <v>192</v>
      </c>
      <c r="AO313" s="1" t="s">
        <v>179</v>
      </c>
      <c r="AP313" s="1" t="s">
        <v>179</v>
      </c>
      <c r="AR313" s="1" t="s">
        <v>160</v>
      </c>
      <c r="AS313" s="1" t="s">
        <v>160</v>
      </c>
      <c r="AT313" s="1" t="s">
        <v>1442</v>
      </c>
      <c r="AU313" s="1" t="s">
        <v>159</v>
      </c>
      <c r="AV313" s="1" t="s">
        <v>159</v>
      </c>
      <c r="AW313" s="1" t="s">
        <v>159</v>
      </c>
      <c r="AX313" s="1" t="s">
        <v>160</v>
      </c>
      <c r="AY313" s="1" t="s">
        <v>159</v>
      </c>
      <c r="AZ313" s="1" t="s">
        <v>160</v>
      </c>
      <c r="BA313" s="1" t="s">
        <v>159</v>
      </c>
      <c r="BB313" s="1" t="s">
        <v>167</v>
      </c>
      <c r="BC313" s="1" t="s">
        <v>160</v>
      </c>
      <c r="BD313" s="1" t="s">
        <v>1443</v>
      </c>
      <c r="BE313" s="1" t="s">
        <v>1444</v>
      </c>
      <c r="BF313" s="1" t="s">
        <v>160</v>
      </c>
    </row>
    <row r="314" spans="1:59" ht="13" x14ac:dyDescent="0.15">
      <c r="A314" s="2">
        <v>44175.782638888886</v>
      </c>
      <c r="B314" s="2">
        <v>44175.784722222219</v>
      </c>
      <c r="C314" s="1" t="s">
        <v>39</v>
      </c>
      <c r="D314" s="1" t="s">
        <v>1445</v>
      </c>
      <c r="E314" s="1">
        <v>100</v>
      </c>
      <c r="F314" s="1">
        <v>199</v>
      </c>
      <c r="G314" s="1" t="b">
        <v>1</v>
      </c>
      <c r="H314" s="2">
        <v>44175.784722222219</v>
      </c>
      <c r="I314" s="1" t="s">
        <v>1446</v>
      </c>
      <c r="N314" s="1">
        <v>41.581893919999999</v>
      </c>
      <c r="O314" s="1">
        <v>2.5493926999999998</v>
      </c>
      <c r="P314" s="1" t="s">
        <v>153</v>
      </c>
      <c r="Q314" s="1" t="s">
        <v>154</v>
      </c>
      <c r="R314" s="1" t="s">
        <v>174</v>
      </c>
      <c r="S314" s="1" t="s">
        <v>274</v>
      </c>
      <c r="T314" s="1" t="s">
        <v>176</v>
      </c>
      <c r="U314" s="1" t="s">
        <v>496</v>
      </c>
      <c r="V314" s="1" t="s">
        <v>160</v>
      </c>
      <c r="W314" s="1" t="s">
        <v>160</v>
      </c>
      <c r="X314" s="1" t="s">
        <v>160</v>
      </c>
      <c r="Y314" s="1" t="s">
        <v>160</v>
      </c>
      <c r="Z314" s="1" t="s">
        <v>160</v>
      </c>
      <c r="AA314" s="1" t="s">
        <v>159</v>
      </c>
      <c r="AB314" s="1" t="s">
        <v>160</v>
      </c>
      <c r="AC314" s="1" t="s">
        <v>160</v>
      </c>
      <c r="AD314" s="1" t="s">
        <v>159</v>
      </c>
      <c r="AE314" s="1" t="s">
        <v>160</v>
      </c>
      <c r="AF314" s="1" t="s">
        <v>160</v>
      </c>
      <c r="AG314" s="1" t="s">
        <v>160</v>
      </c>
      <c r="AH314" s="1">
        <v>1</v>
      </c>
      <c r="AI314" s="1" t="s">
        <v>160</v>
      </c>
      <c r="AJ314" s="1" t="s">
        <v>164</v>
      </c>
      <c r="AK314" s="1" t="s">
        <v>192</v>
      </c>
      <c r="AL314" s="1" t="s">
        <v>163</v>
      </c>
      <c r="AM314" s="1" t="s">
        <v>162</v>
      </c>
      <c r="AN314" s="1" t="s">
        <v>163</v>
      </c>
      <c r="AO314" s="1" t="s">
        <v>179</v>
      </c>
      <c r="AP314" s="1" t="s">
        <v>179</v>
      </c>
      <c r="AQ314" s="1">
        <v>1996</v>
      </c>
      <c r="AR314" s="1" t="s">
        <v>160</v>
      </c>
      <c r="AS314" s="1" t="s">
        <v>159</v>
      </c>
      <c r="AT314" s="1" t="s">
        <v>166</v>
      </c>
      <c r="AU314" s="1" t="s">
        <v>159</v>
      </c>
      <c r="AV314" s="1" t="s">
        <v>160</v>
      </c>
      <c r="AW314" s="1" t="s">
        <v>159</v>
      </c>
      <c r="AX314" s="1" t="s">
        <v>159</v>
      </c>
      <c r="AY314" s="1" t="s">
        <v>159</v>
      </c>
      <c r="AZ314" s="1" t="s">
        <v>159</v>
      </c>
      <c r="BA314" s="1" t="s">
        <v>159</v>
      </c>
      <c r="BB314" s="1" t="s">
        <v>167</v>
      </c>
      <c r="BC314" s="1" t="s">
        <v>160</v>
      </c>
      <c r="BE314" s="1" t="s">
        <v>1447</v>
      </c>
      <c r="BF314" s="1" t="s">
        <v>160</v>
      </c>
      <c r="BG314" s="1" t="s">
        <v>1448</v>
      </c>
    </row>
    <row r="315" spans="1:59" ht="13" x14ac:dyDescent="0.15">
      <c r="A315" s="2">
        <v>44175.784722222219</v>
      </c>
      <c r="B315" s="2">
        <v>44175.786805555559</v>
      </c>
      <c r="C315" s="1" t="s">
        <v>39</v>
      </c>
      <c r="D315" s="1" t="s">
        <v>234</v>
      </c>
      <c r="E315" s="1">
        <v>100</v>
      </c>
      <c r="F315" s="1">
        <v>121</v>
      </c>
      <c r="G315" s="1" t="b">
        <v>1</v>
      </c>
      <c r="H315" s="2">
        <v>44175.786805555559</v>
      </c>
      <c r="I315" s="1" t="s">
        <v>1449</v>
      </c>
      <c r="N315" s="1">
        <v>34.048492430000003</v>
      </c>
      <c r="O315" s="1">
        <v>-118.2528992</v>
      </c>
      <c r="P315" s="1" t="s">
        <v>153</v>
      </c>
      <c r="Q315" s="1" t="s">
        <v>154</v>
      </c>
      <c r="R315" s="1" t="s">
        <v>236</v>
      </c>
      <c r="S315" s="1" t="s">
        <v>208</v>
      </c>
      <c r="T315" s="1" t="s">
        <v>245</v>
      </c>
      <c r="U315" s="1" t="s">
        <v>1365</v>
      </c>
      <c r="V315" s="1" t="s">
        <v>160</v>
      </c>
      <c r="W315" s="1" t="s">
        <v>160</v>
      </c>
      <c r="X315" s="1" t="s">
        <v>160</v>
      </c>
      <c r="Y315" s="1" t="s">
        <v>160</v>
      </c>
      <c r="Z315" s="1" t="s">
        <v>160</v>
      </c>
      <c r="AA315" s="1" t="s">
        <v>160</v>
      </c>
      <c r="AB315" s="1" t="s">
        <v>160</v>
      </c>
      <c r="AC315" s="1" t="s">
        <v>160</v>
      </c>
      <c r="AD315" s="1" t="s">
        <v>160</v>
      </c>
      <c r="AE315" s="1" t="s">
        <v>160</v>
      </c>
      <c r="AF315" s="1" t="s">
        <v>160</v>
      </c>
      <c r="AG315" s="1" t="s">
        <v>160</v>
      </c>
      <c r="AI315" s="1" t="s">
        <v>160</v>
      </c>
      <c r="AJ315" s="1" t="s">
        <v>164</v>
      </c>
      <c r="AK315" s="1" t="s">
        <v>192</v>
      </c>
      <c r="AL315" s="1" t="s">
        <v>163</v>
      </c>
      <c r="AM315" s="1" t="s">
        <v>164</v>
      </c>
      <c r="AN315" s="1" t="s">
        <v>198</v>
      </c>
      <c r="AO315" s="1" t="s">
        <v>179</v>
      </c>
      <c r="AP315" s="1" t="s">
        <v>179</v>
      </c>
      <c r="AR315" s="1" t="s">
        <v>160</v>
      </c>
      <c r="AS315" s="1" t="s">
        <v>160</v>
      </c>
      <c r="AT315" s="1" t="s">
        <v>327</v>
      </c>
      <c r="AU315" s="1" t="s">
        <v>160</v>
      </c>
      <c r="AV315" s="1" t="s">
        <v>160</v>
      </c>
      <c r="AW315" s="1" t="s">
        <v>159</v>
      </c>
      <c r="AX315" s="1" t="s">
        <v>159</v>
      </c>
      <c r="AY315" s="1" t="s">
        <v>159</v>
      </c>
      <c r="AZ315" s="1" t="s">
        <v>160</v>
      </c>
      <c r="BA315" s="1" t="s">
        <v>159</v>
      </c>
      <c r="BB315" s="1" t="s">
        <v>181</v>
      </c>
      <c r="BC315" s="1" t="s">
        <v>160</v>
      </c>
      <c r="BD315" s="1" t="s">
        <v>1450</v>
      </c>
      <c r="BE315" s="1" t="s">
        <v>1451</v>
      </c>
      <c r="BF315" s="1" t="s">
        <v>160</v>
      </c>
    </row>
    <row r="316" spans="1:59" ht="13" x14ac:dyDescent="0.15">
      <c r="A316" s="2">
        <v>44175.786805555559</v>
      </c>
      <c r="B316" s="2">
        <v>44175.788194444445</v>
      </c>
      <c r="C316" s="1" t="s">
        <v>39</v>
      </c>
      <c r="D316" s="1" t="s">
        <v>234</v>
      </c>
      <c r="E316" s="1">
        <v>100</v>
      </c>
      <c r="F316" s="1">
        <v>120</v>
      </c>
      <c r="G316" s="1" t="b">
        <v>1</v>
      </c>
      <c r="H316" s="2">
        <v>44175.788194444445</v>
      </c>
      <c r="I316" s="1" t="s">
        <v>1452</v>
      </c>
      <c r="N316" s="1">
        <v>34.048492430000003</v>
      </c>
      <c r="O316" s="1">
        <v>-118.2528992</v>
      </c>
      <c r="P316" s="1" t="s">
        <v>153</v>
      </c>
      <c r="Q316" s="1" t="s">
        <v>154</v>
      </c>
      <c r="R316" s="1" t="s">
        <v>155</v>
      </c>
      <c r="S316" s="1" t="s">
        <v>274</v>
      </c>
      <c r="T316" s="1" t="s">
        <v>176</v>
      </c>
      <c r="U316" s="1" t="s">
        <v>1453</v>
      </c>
      <c r="V316" s="1" t="s">
        <v>160</v>
      </c>
      <c r="W316" s="1" t="s">
        <v>160</v>
      </c>
      <c r="X316" s="1" t="s">
        <v>160</v>
      </c>
      <c r="Y316" s="1" t="s">
        <v>160</v>
      </c>
      <c r="Z316" s="1" t="s">
        <v>160</v>
      </c>
      <c r="AA316" s="1" t="s">
        <v>160</v>
      </c>
      <c r="AB316" s="1" t="s">
        <v>160</v>
      </c>
      <c r="AC316" s="1" t="s">
        <v>160</v>
      </c>
      <c r="AD316" s="1" t="s">
        <v>160</v>
      </c>
      <c r="AE316" s="1" t="s">
        <v>160</v>
      </c>
      <c r="AF316" s="1" t="s">
        <v>160</v>
      </c>
      <c r="AG316" s="1" t="s">
        <v>160</v>
      </c>
      <c r="AI316" s="1" t="s">
        <v>160</v>
      </c>
      <c r="AJ316" s="1" t="s">
        <v>198</v>
      </c>
      <c r="AK316" s="1" t="s">
        <v>163</v>
      </c>
      <c r="AL316" s="1" t="s">
        <v>163</v>
      </c>
      <c r="AM316" s="1" t="s">
        <v>164</v>
      </c>
      <c r="AN316" s="1" t="s">
        <v>164</v>
      </c>
      <c r="AO316" s="1" t="s">
        <v>179</v>
      </c>
      <c r="AP316" s="1" t="s">
        <v>179</v>
      </c>
      <c r="AR316" s="1" t="s">
        <v>160</v>
      </c>
      <c r="AS316" s="1" t="s">
        <v>160</v>
      </c>
      <c r="AT316" s="1" t="s">
        <v>369</v>
      </c>
      <c r="AU316" s="1" t="s">
        <v>160</v>
      </c>
      <c r="AV316" s="1" t="s">
        <v>160</v>
      </c>
      <c r="AW316" s="1" t="s">
        <v>160</v>
      </c>
      <c r="AX316" s="1" t="s">
        <v>160</v>
      </c>
      <c r="AY316" s="1" t="s">
        <v>159</v>
      </c>
      <c r="AZ316" s="1" t="s">
        <v>160</v>
      </c>
      <c r="BA316" s="1" t="s">
        <v>160</v>
      </c>
      <c r="BB316" s="1" t="s">
        <v>181</v>
      </c>
      <c r="BC316" s="1" t="s">
        <v>160</v>
      </c>
      <c r="BD316" s="1" t="s">
        <v>1454</v>
      </c>
      <c r="BE316" s="1" t="s">
        <v>1455</v>
      </c>
      <c r="BF316" s="1" t="s">
        <v>160</v>
      </c>
    </row>
    <row r="317" spans="1:59" ht="13" x14ac:dyDescent="0.15">
      <c r="A317" s="2">
        <v>44175.788194444445</v>
      </c>
      <c r="B317" s="2">
        <v>44175.789583333331</v>
      </c>
      <c r="C317" s="1" t="s">
        <v>39</v>
      </c>
      <c r="D317" s="1" t="s">
        <v>234</v>
      </c>
      <c r="E317" s="1">
        <v>100</v>
      </c>
      <c r="F317" s="1">
        <v>121</v>
      </c>
      <c r="G317" s="1" t="b">
        <v>1</v>
      </c>
      <c r="H317" s="2">
        <v>44175.789583333331</v>
      </c>
      <c r="I317" s="1" t="s">
        <v>1456</v>
      </c>
      <c r="N317" s="1">
        <v>34.048492430000003</v>
      </c>
      <c r="O317" s="1">
        <v>-118.2528992</v>
      </c>
      <c r="P317" s="1" t="s">
        <v>153</v>
      </c>
      <c r="Q317" s="1" t="s">
        <v>154</v>
      </c>
      <c r="R317" s="1" t="s">
        <v>174</v>
      </c>
      <c r="S317" s="1" t="s">
        <v>175</v>
      </c>
      <c r="T317" s="1" t="s">
        <v>157</v>
      </c>
      <c r="U317" s="1" t="s">
        <v>570</v>
      </c>
      <c r="V317" s="1" t="s">
        <v>160</v>
      </c>
      <c r="W317" s="1" t="s">
        <v>160</v>
      </c>
      <c r="X317" s="1" t="s">
        <v>160</v>
      </c>
      <c r="Y317" s="1" t="s">
        <v>160</v>
      </c>
      <c r="Z317" s="1" t="s">
        <v>160</v>
      </c>
      <c r="AA317" s="1" t="s">
        <v>160</v>
      </c>
      <c r="AB317" s="1" t="s">
        <v>160</v>
      </c>
      <c r="AC317" s="1" t="s">
        <v>160</v>
      </c>
      <c r="AD317" s="1" t="s">
        <v>160</v>
      </c>
      <c r="AE317" s="1" t="s">
        <v>160</v>
      </c>
      <c r="AF317" s="1" t="s">
        <v>160</v>
      </c>
      <c r="AG317" s="1" t="s">
        <v>160</v>
      </c>
      <c r="AI317" s="1" t="s">
        <v>160</v>
      </c>
      <c r="AJ317" s="1" t="s">
        <v>198</v>
      </c>
      <c r="AK317" s="1" t="s">
        <v>192</v>
      </c>
      <c r="AL317" s="1" t="s">
        <v>164</v>
      </c>
      <c r="AM317" s="1" t="s">
        <v>164</v>
      </c>
      <c r="AN317" s="1" t="s">
        <v>164</v>
      </c>
      <c r="AO317" s="1" t="s">
        <v>179</v>
      </c>
      <c r="AP317" s="1" t="s">
        <v>239</v>
      </c>
      <c r="AR317" s="1" t="s">
        <v>160</v>
      </c>
      <c r="AS317" s="1" t="s">
        <v>160</v>
      </c>
      <c r="AT317" s="1" t="s">
        <v>1457</v>
      </c>
      <c r="AU317" s="1" t="s">
        <v>160</v>
      </c>
      <c r="AV317" s="1" t="s">
        <v>159</v>
      </c>
      <c r="AW317" s="1" t="s">
        <v>160</v>
      </c>
      <c r="AX317" s="1" t="s">
        <v>159</v>
      </c>
      <c r="AY317" s="1" t="s">
        <v>159</v>
      </c>
      <c r="AZ317" s="1" t="s">
        <v>160</v>
      </c>
      <c r="BA317" s="1" t="s">
        <v>159</v>
      </c>
      <c r="BB317" s="1" t="s">
        <v>181</v>
      </c>
      <c r="BC317" s="1" t="s">
        <v>160</v>
      </c>
      <c r="BD317" s="1" t="s">
        <v>1458</v>
      </c>
      <c r="BE317" s="1" t="s">
        <v>1459</v>
      </c>
      <c r="BF317" s="1" t="s">
        <v>160</v>
      </c>
    </row>
    <row r="318" spans="1:59" ht="13" x14ac:dyDescent="0.15">
      <c r="A318" s="2">
        <v>44175.787499999999</v>
      </c>
      <c r="B318" s="2">
        <v>44175.791666666664</v>
      </c>
      <c r="C318" s="1" t="s">
        <v>39</v>
      </c>
      <c r="D318" s="1" t="s">
        <v>1460</v>
      </c>
      <c r="E318" s="1">
        <v>100</v>
      </c>
      <c r="F318" s="1">
        <v>354</v>
      </c>
      <c r="G318" s="1" t="b">
        <v>1</v>
      </c>
      <c r="H318" s="2">
        <v>44175.791666666664</v>
      </c>
      <c r="I318" s="1" t="s">
        <v>1461</v>
      </c>
      <c r="N318" s="1">
        <v>37.538894650000003</v>
      </c>
      <c r="O318" s="1">
        <v>127.2124939</v>
      </c>
      <c r="P318" s="1" t="s">
        <v>153</v>
      </c>
      <c r="Q318" s="1" t="s">
        <v>154</v>
      </c>
      <c r="R318" s="1" t="s">
        <v>174</v>
      </c>
      <c r="S318" s="1" t="s">
        <v>208</v>
      </c>
      <c r="T318" s="1" t="s">
        <v>157</v>
      </c>
      <c r="U318" s="1" t="s">
        <v>1086</v>
      </c>
      <c r="V318" s="1" t="s">
        <v>160</v>
      </c>
      <c r="W318" s="1" t="s">
        <v>160</v>
      </c>
      <c r="X318" s="1" t="s">
        <v>160</v>
      </c>
      <c r="Y318" s="1" t="s">
        <v>160</v>
      </c>
      <c r="Z318" s="1" t="s">
        <v>160</v>
      </c>
      <c r="AA318" s="1" t="s">
        <v>159</v>
      </c>
      <c r="AB318" s="1" t="s">
        <v>160</v>
      </c>
      <c r="AC318" s="1" t="s">
        <v>159</v>
      </c>
      <c r="AD318" s="1" t="s">
        <v>160</v>
      </c>
      <c r="AE318" s="1" t="s">
        <v>160</v>
      </c>
      <c r="AF318" s="1" t="s">
        <v>160</v>
      </c>
      <c r="AG318" s="1" t="s">
        <v>160</v>
      </c>
      <c r="AH318" s="1">
        <v>5</v>
      </c>
      <c r="AI318" s="1" t="s">
        <v>160</v>
      </c>
      <c r="AJ318" s="1" t="s">
        <v>163</v>
      </c>
      <c r="AK318" s="1" t="s">
        <v>163</v>
      </c>
      <c r="AL318" s="1" t="s">
        <v>192</v>
      </c>
      <c r="AM318" s="1" t="s">
        <v>162</v>
      </c>
      <c r="AN318" s="1" t="s">
        <v>163</v>
      </c>
      <c r="AO318" s="1" t="s">
        <v>165</v>
      </c>
      <c r="AP318" s="1" t="s">
        <v>165</v>
      </c>
      <c r="AQ318" s="1">
        <v>1994</v>
      </c>
      <c r="AR318" s="1" t="s">
        <v>160</v>
      </c>
      <c r="AS318" s="1" t="s">
        <v>159</v>
      </c>
      <c r="AT318" s="1" t="s">
        <v>322</v>
      </c>
      <c r="AU318" s="1" t="s">
        <v>159</v>
      </c>
      <c r="AV318" s="1" t="s">
        <v>160</v>
      </c>
      <c r="AW318" s="1" t="s">
        <v>160</v>
      </c>
      <c r="AX318" s="1" t="s">
        <v>160</v>
      </c>
      <c r="AY318" s="1" t="s">
        <v>159</v>
      </c>
      <c r="AZ318" s="1" t="s">
        <v>159</v>
      </c>
      <c r="BA318" s="1" t="s">
        <v>159</v>
      </c>
      <c r="BB318" s="1" t="s">
        <v>167</v>
      </c>
      <c r="BC318" s="1" t="s">
        <v>160</v>
      </c>
      <c r="BE318" s="1" t="s">
        <v>1462</v>
      </c>
      <c r="BF318" s="1" t="s">
        <v>160</v>
      </c>
      <c r="BG318" s="1" t="s">
        <v>1463</v>
      </c>
    </row>
    <row r="319" spans="1:59" ht="13" x14ac:dyDescent="0.15">
      <c r="A319" s="2">
        <v>44175.790277777778</v>
      </c>
      <c r="B319" s="2">
        <v>44175.791666666664</v>
      </c>
      <c r="C319" s="1" t="s">
        <v>39</v>
      </c>
      <c r="D319" s="1" t="s">
        <v>234</v>
      </c>
      <c r="E319" s="1">
        <v>100</v>
      </c>
      <c r="F319" s="1">
        <v>121</v>
      </c>
      <c r="G319" s="1" t="b">
        <v>1</v>
      </c>
      <c r="H319" s="2">
        <v>44175.791666666664</v>
      </c>
      <c r="I319" s="1" t="s">
        <v>1464</v>
      </c>
      <c r="N319" s="1">
        <v>34.048492430000003</v>
      </c>
      <c r="O319" s="1">
        <v>-118.2528992</v>
      </c>
      <c r="P319" s="1" t="s">
        <v>153</v>
      </c>
      <c r="Q319" s="1" t="s">
        <v>154</v>
      </c>
      <c r="R319" s="1" t="s">
        <v>155</v>
      </c>
      <c r="S319" s="1" t="s">
        <v>226</v>
      </c>
      <c r="T319" s="1" t="s">
        <v>263</v>
      </c>
      <c r="U319" s="1" t="s">
        <v>1465</v>
      </c>
      <c r="V319" s="1" t="s">
        <v>160</v>
      </c>
      <c r="W319" s="1" t="s">
        <v>160</v>
      </c>
      <c r="X319" s="1" t="s">
        <v>160</v>
      </c>
      <c r="Y319" s="1" t="s">
        <v>160</v>
      </c>
      <c r="Z319" s="1" t="s">
        <v>160</v>
      </c>
      <c r="AA319" s="1" t="s">
        <v>160</v>
      </c>
      <c r="AB319" s="1" t="s">
        <v>160</v>
      </c>
      <c r="AC319" s="1" t="s">
        <v>160</v>
      </c>
      <c r="AD319" s="1" t="s">
        <v>160</v>
      </c>
      <c r="AE319" s="1" t="s">
        <v>160</v>
      </c>
      <c r="AF319" s="1" t="s">
        <v>160</v>
      </c>
      <c r="AG319" s="1" t="s">
        <v>160</v>
      </c>
      <c r="AI319" s="1" t="s">
        <v>160</v>
      </c>
      <c r="AJ319" s="1" t="s">
        <v>192</v>
      </c>
      <c r="AK319" s="1" t="s">
        <v>192</v>
      </c>
      <c r="AL319" s="1" t="s">
        <v>163</v>
      </c>
      <c r="AM319" s="1" t="s">
        <v>163</v>
      </c>
      <c r="AN319" s="1" t="s">
        <v>163</v>
      </c>
      <c r="AO319" s="1" t="s">
        <v>179</v>
      </c>
      <c r="AP319" s="1" t="s">
        <v>179</v>
      </c>
      <c r="AR319" s="1" t="s">
        <v>160</v>
      </c>
      <c r="AS319" s="1" t="s">
        <v>160</v>
      </c>
      <c r="AT319" s="1" t="s">
        <v>322</v>
      </c>
      <c r="AU319" s="1" t="s">
        <v>159</v>
      </c>
      <c r="AV319" s="1" t="s">
        <v>159</v>
      </c>
      <c r="AW319" s="1" t="s">
        <v>159</v>
      </c>
      <c r="AX319" s="1" t="s">
        <v>159</v>
      </c>
      <c r="AY319" s="1" t="s">
        <v>160</v>
      </c>
      <c r="AZ319" s="1" t="s">
        <v>159</v>
      </c>
      <c r="BA319" s="1" t="s">
        <v>159</v>
      </c>
      <c r="BB319" s="1" t="s">
        <v>181</v>
      </c>
      <c r="BC319" s="1" t="s">
        <v>160</v>
      </c>
      <c r="BD319" s="1" t="s">
        <v>1466</v>
      </c>
      <c r="BE319" s="1" t="s">
        <v>1467</v>
      </c>
      <c r="BF319" s="1" t="s">
        <v>160</v>
      </c>
    </row>
    <row r="320" spans="1:59" ht="13" x14ac:dyDescent="0.15">
      <c r="A320" s="2">
        <v>44175.791666666664</v>
      </c>
      <c r="B320" s="2">
        <v>44175.793055555558</v>
      </c>
      <c r="C320" s="1" t="s">
        <v>39</v>
      </c>
      <c r="D320" s="1" t="s">
        <v>234</v>
      </c>
      <c r="E320" s="1">
        <v>100</v>
      </c>
      <c r="F320" s="1">
        <v>121</v>
      </c>
      <c r="G320" s="1" t="b">
        <v>1</v>
      </c>
      <c r="H320" s="2">
        <v>44175.793055555558</v>
      </c>
      <c r="I320" s="1" t="s">
        <v>1468</v>
      </c>
      <c r="N320" s="1">
        <v>34.048492430000003</v>
      </c>
      <c r="O320" s="1">
        <v>-118.2528992</v>
      </c>
      <c r="P320" s="1" t="s">
        <v>153</v>
      </c>
      <c r="Q320" s="1" t="s">
        <v>154</v>
      </c>
      <c r="R320" s="1" t="s">
        <v>174</v>
      </c>
      <c r="S320" s="1" t="s">
        <v>226</v>
      </c>
      <c r="T320" s="1" t="s">
        <v>263</v>
      </c>
      <c r="U320" s="1" t="s">
        <v>1469</v>
      </c>
      <c r="V320" s="1" t="s">
        <v>160</v>
      </c>
      <c r="W320" s="1" t="s">
        <v>160</v>
      </c>
      <c r="X320" s="1" t="s">
        <v>160</v>
      </c>
      <c r="Y320" s="1" t="s">
        <v>160</v>
      </c>
      <c r="Z320" s="1" t="s">
        <v>160</v>
      </c>
      <c r="AA320" s="1" t="s">
        <v>160</v>
      </c>
      <c r="AB320" s="1" t="s">
        <v>160</v>
      </c>
      <c r="AC320" s="1" t="s">
        <v>160</v>
      </c>
      <c r="AD320" s="1" t="s">
        <v>160</v>
      </c>
      <c r="AE320" s="1" t="s">
        <v>160</v>
      </c>
      <c r="AF320" s="1" t="s">
        <v>160</v>
      </c>
      <c r="AG320" s="1" t="s">
        <v>160</v>
      </c>
      <c r="AI320" s="1" t="s">
        <v>160</v>
      </c>
      <c r="AJ320" s="1" t="s">
        <v>192</v>
      </c>
      <c r="AK320" s="1" t="s">
        <v>163</v>
      </c>
      <c r="AL320" s="1" t="s">
        <v>198</v>
      </c>
      <c r="AM320" s="1" t="s">
        <v>192</v>
      </c>
      <c r="AN320" s="1" t="s">
        <v>164</v>
      </c>
      <c r="AO320" s="1" t="s">
        <v>179</v>
      </c>
      <c r="AP320" s="1" t="s">
        <v>179</v>
      </c>
      <c r="AR320" s="1" t="s">
        <v>160</v>
      </c>
      <c r="AS320" s="1" t="s">
        <v>160</v>
      </c>
      <c r="AT320" s="1" t="s">
        <v>1470</v>
      </c>
      <c r="AU320" s="1" t="s">
        <v>160</v>
      </c>
      <c r="AV320" s="1" t="s">
        <v>159</v>
      </c>
      <c r="AW320" s="1" t="s">
        <v>160</v>
      </c>
      <c r="AX320" s="1" t="s">
        <v>159</v>
      </c>
      <c r="AY320" s="1" t="s">
        <v>159</v>
      </c>
      <c r="AZ320" s="1" t="s">
        <v>159</v>
      </c>
      <c r="BA320" s="1" t="s">
        <v>159</v>
      </c>
      <c r="BB320" s="1" t="s">
        <v>222</v>
      </c>
      <c r="BC320" s="1" t="s">
        <v>160</v>
      </c>
      <c r="BD320" s="1" t="s">
        <v>242</v>
      </c>
      <c r="BE320" s="1" t="s">
        <v>1471</v>
      </c>
      <c r="BF320" s="1" t="s">
        <v>160</v>
      </c>
    </row>
    <row r="321" spans="1:59" ht="13" x14ac:dyDescent="0.15">
      <c r="A321" s="2">
        <v>44175.793055555558</v>
      </c>
      <c r="B321" s="2">
        <v>44175.794444444444</v>
      </c>
      <c r="C321" s="1" t="s">
        <v>39</v>
      </c>
      <c r="D321" s="1" t="s">
        <v>234</v>
      </c>
      <c r="E321" s="1">
        <v>100</v>
      </c>
      <c r="F321" s="1">
        <v>116</v>
      </c>
      <c r="G321" s="1" t="b">
        <v>1</v>
      </c>
      <c r="H321" s="2">
        <v>44175.794444444444</v>
      </c>
      <c r="I321" s="1" t="s">
        <v>1472</v>
      </c>
      <c r="N321" s="1">
        <v>34.048492430000003</v>
      </c>
      <c r="O321" s="1">
        <v>-118.2528992</v>
      </c>
      <c r="P321" s="1" t="s">
        <v>153</v>
      </c>
      <c r="Q321" s="1" t="s">
        <v>154</v>
      </c>
      <c r="R321" s="1" t="s">
        <v>236</v>
      </c>
      <c r="S321" s="1" t="s">
        <v>274</v>
      </c>
      <c r="T321" s="1" t="s">
        <v>245</v>
      </c>
      <c r="U321" s="1" t="s">
        <v>1473</v>
      </c>
      <c r="V321" s="1" t="s">
        <v>160</v>
      </c>
      <c r="W321" s="1" t="s">
        <v>160</v>
      </c>
      <c r="X321" s="1" t="s">
        <v>160</v>
      </c>
      <c r="Y321" s="1" t="s">
        <v>160</v>
      </c>
      <c r="Z321" s="1" t="s">
        <v>160</v>
      </c>
      <c r="AA321" s="1" t="s">
        <v>160</v>
      </c>
      <c r="AB321" s="1" t="s">
        <v>160</v>
      </c>
      <c r="AC321" s="1" t="s">
        <v>160</v>
      </c>
      <c r="AD321" s="1" t="s">
        <v>160</v>
      </c>
      <c r="AE321" s="1" t="s">
        <v>160</v>
      </c>
      <c r="AF321" s="1" t="s">
        <v>160</v>
      </c>
      <c r="AG321" s="1" t="s">
        <v>160</v>
      </c>
      <c r="AI321" s="1" t="s">
        <v>160</v>
      </c>
      <c r="AJ321" s="1" t="s">
        <v>192</v>
      </c>
      <c r="AK321" s="1" t="s">
        <v>163</v>
      </c>
      <c r="AL321" s="1" t="s">
        <v>164</v>
      </c>
      <c r="AM321" s="1" t="s">
        <v>163</v>
      </c>
      <c r="AN321" s="1" t="s">
        <v>164</v>
      </c>
      <c r="AO321" s="1" t="s">
        <v>179</v>
      </c>
      <c r="AP321" s="1" t="s">
        <v>179</v>
      </c>
      <c r="AR321" s="1" t="s">
        <v>160</v>
      </c>
      <c r="AS321" s="1" t="s">
        <v>160</v>
      </c>
      <c r="AT321" s="1" t="s">
        <v>1474</v>
      </c>
      <c r="AU321" s="1" t="s">
        <v>159</v>
      </c>
      <c r="AV321" s="1" t="s">
        <v>159</v>
      </c>
      <c r="AW321" s="1" t="s">
        <v>159</v>
      </c>
      <c r="AX321" s="1" t="s">
        <v>160</v>
      </c>
      <c r="AY321" s="1" t="s">
        <v>160</v>
      </c>
      <c r="AZ321" s="1" t="s">
        <v>159</v>
      </c>
      <c r="BA321" s="1" t="s">
        <v>159</v>
      </c>
      <c r="BB321" s="1" t="s">
        <v>241</v>
      </c>
      <c r="BC321" s="1" t="s">
        <v>160</v>
      </c>
      <c r="BD321" s="1" t="s">
        <v>1475</v>
      </c>
      <c r="BE321" s="1" t="s">
        <v>1476</v>
      </c>
      <c r="BF321" s="1" t="s">
        <v>160</v>
      </c>
    </row>
    <row r="322" spans="1:59" ht="13" x14ac:dyDescent="0.15">
      <c r="A322" s="2">
        <v>44175.792361111111</v>
      </c>
      <c r="B322" s="2">
        <v>44175.795138888891</v>
      </c>
      <c r="C322" s="1" t="s">
        <v>39</v>
      </c>
      <c r="D322" s="1" t="s">
        <v>1477</v>
      </c>
      <c r="E322" s="1">
        <v>100</v>
      </c>
      <c r="F322" s="1">
        <v>194</v>
      </c>
      <c r="G322" s="1" t="b">
        <v>1</v>
      </c>
      <c r="H322" s="2">
        <v>44175.795138888891</v>
      </c>
      <c r="I322" s="1" t="s">
        <v>1478</v>
      </c>
      <c r="N322" s="1">
        <v>39.281204219999999</v>
      </c>
      <c r="O322" s="1">
        <v>-76.74060059</v>
      </c>
      <c r="P322" s="1" t="s">
        <v>153</v>
      </c>
      <c r="Q322" s="1" t="s">
        <v>154</v>
      </c>
      <c r="R322" s="1" t="s">
        <v>174</v>
      </c>
      <c r="S322" s="1" t="s">
        <v>274</v>
      </c>
      <c r="T322" s="1" t="s">
        <v>263</v>
      </c>
      <c r="U322" s="1" t="s">
        <v>1086</v>
      </c>
      <c r="V322" s="1" t="s">
        <v>160</v>
      </c>
      <c r="W322" s="1" t="s">
        <v>160</v>
      </c>
      <c r="X322" s="1" t="s">
        <v>160</v>
      </c>
      <c r="Y322" s="1" t="s">
        <v>160</v>
      </c>
      <c r="Z322" s="1" t="s">
        <v>160</v>
      </c>
      <c r="AA322" s="1" t="s">
        <v>159</v>
      </c>
      <c r="AB322" s="1" t="s">
        <v>160</v>
      </c>
      <c r="AC322" s="1" t="s">
        <v>159</v>
      </c>
      <c r="AD322" s="1" t="s">
        <v>159</v>
      </c>
      <c r="AE322" s="1" t="s">
        <v>160</v>
      </c>
      <c r="AF322" s="1" t="s">
        <v>160</v>
      </c>
      <c r="AG322" s="1" t="s">
        <v>160</v>
      </c>
      <c r="AH322" s="1">
        <v>3</v>
      </c>
      <c r="AI322" s="1" t="s">
        <v>160</v>
      </c>
      <c r="AJ322" s="1" t="s">
        <v>164</v>
      </c>
      <c r="AK322" s="1" t="s">
        <v>192</v>
      </c>
      <c r="AL322" s="1" t="s">
        <v>163</v>
      </c>
      <c r="AM322" s="1" t="s">
        <v>163</v>
      </c>
      <c r="AN322" s="1" t="s">
        <v>192</v>
      </c>
      <c r="AO322" s="1" t="s">
        <v>165</v>
      </c>
      <c r="AP322" s="1" t="s">
        <v>165</v>
      </c>
      <c r="AQ322" s="1">
        <v>1996</v>
      </c>
      <c r="AR322" s="1" t="s">
        <v>160</v>
      </c>
      <c r="AS322" s="1" t="s">
        <v>159</v>
      </c>
      <c r="AT322" s="1" t="s">
        <v>322</v>
      </c>
      <c r="AU322" s="1" t="s">
        <v>159</v>
      </c>
      <c r="AV322" s="1" t="s">
        <v>160</v>
      </c>
      <c r="AW322" s="1" t="s">
        <v>160</v>
      </c>
      <c r="AX322" s="1" t="s">
        <v>159</v>
      </c>
      <c r="AY322" s="1" t="s">
        <v>159</v>
      </c>
      <c r="AZ322" s="1" t="s">
        <v>159</v>
      </c>
      <c r="BA322" s="1" t="s">
        <v>159</v>
      </c>
      <c r="BB322" s="1" t="s">
        <v>167</v>
      </c>
      <c r="BC322" s="1" t="s">
        <v>159</v>
      </c>
      <c r="BE322" s="1" t="s">
        <v>1479</v>
      </c>
      <c r="BF322" s="1" t="s">
        <v>160</v>
      </c>
      <c r="BG322" s="1" t="s">
        <v>1480</v>
      </c>
    </row>
    <row r="323" spans="1:59" ht="13" x14ac:dyDescent="0.15">
      <c r="A323" s="2">
        <v>44175.795138888891</v>
      </c>
      <c r="B323" s="2">
        <v>44175.796527777777</v>
      </c>
      <c r="C323" s="1" t="s">
        <v>39</v>
      </c>
      <c r="D323" s="1" t="s">
        <v>234</v>
      </c>
      <c r="E323" s="1">
        <v>100</v>
      </c>
      <c r="F323" s="1">
        <v>121</v>
      </c>
      <c r="G323" s="1" t="b">
        <v>1</v>
      </c>
      <c r="H323" s="2">
        <v>44175.796527777777</v>
      </c>
      <c r="I323" s="1" t="s">
        <v>1481</v>
      </c>
      <c r="N323" s="1">
        <v>34.048492430000003</v>
      </c>
      <c r="O323" s="1">
        <v>-118.2528992</v>
      </c>
      <c r="P323" s="1" t="s">
        <v>153</v>
      </c>
      <c r="Q323" s="1" t="s">
        <v>154</v>
      </c>
      <c r="R323" s="1" t="s">
        <v>155</v>
      </c>
      <c r="S323" s="1" t="s">
        <v>175</v>
      </c>
      <c r="T323" s="1" t="s">
        <v>263</v>
      </c>
      <c r="U323" s="1" t="s">
        <v>427</v>
      </c>
      <c r="V323" s="1" t="s">
        <v>160</v>
      </c>
      <c r="W323" s="1" t="s">
        <v>160</v>
      </c>
      <c r="X323" s="1" t="s">
        <v>160</v>
      </c>
      <c r="Y323" s="1" t="s">
        <v>160</v>
      </c>
      <c r="Z323" s="1" t="s">
        <v>160</v>
      </c>
      <c r="AA323" s="1" t="s">
        <v>160</v>
      </c>
      <c r="AB323" s="1" t="s">
        <v>160</v>
      </c>
      <c r="AC323" s="1" t="s">
        <v>160</v>
      </c>
      <c r="AD323" s="1" t="s">
        <v>160</v>
      </c>
      <c r="AE323" s="1" t="s">
        <v>160</v>
      </c>
      <c r="AF323" s="1" t="s">
        <v>160</v>
      </c>
      <c r="AG323" s="1" t="s">
        <v>160</v>
      </c>
      <c r="AI323" s="1" t="s">
        <v>160</v>
      </c>
      <c r="AJ323" s="1" t="s">
        <v>198</v>
      </c>
      <c r="AK323" s="1" t="s">
        <v>192</v>
      </c>
      <c r="AL323" s="1" t="s">
        <v>192</v>
      </c>
      <c r="AM323" s="1" t="s">
        <v>163</v>
      </c>
      <c r="AN323" s="1" t="s">
        <v>198</v>
      </c>
      <c r="AO323" s="1" t="s">
        <v>179</v>
      </c>
      <c r="AP323" s="1" t="s">
        <v>165</v>
      </c>
      <c r="AR323" s="1" t="s">
        <v>160</v>
      </c>
      <c r="AS323" s="1" t="s">
        <v>160</v>
      </c>
      <c r="AT323" s="1" t="s">
        <v>1482</v>
      </c>
      <c r="AU323" s="1" t="s">
        <v>159</v>
      </c>
      <c r="AV323" s="1" t="s">
        <v>160</v>
      </c>
      <c r="AW323" s="1" t="s">
        <v>160</v>
      </c>
      <c r="AX323" s="1" t="s">
        <v>159</v>
      </c>
      <c r="AY323" s="1" t="s">
        <v>159</v>
      </c>
      <c r="AZ323" s="1" t="s">
        <v>160</v>
      </c>
      <c r="BA323" s="1" t="s">
        <v>160</v>
      </c>
      <c r="BB323" s="1" t="s">
        <v>241</v>
      </c>
      <c r="BC323" s="1" t="s">
        <v>160</v>
      </c>
      <c r="BD323" s="1" t="s">
        <v>1483</v>
      </c>
      <c r="BE323" s="1" t="s">
        <v>1484</v>
      </c>
      <c r="BF323" s="1" t="s">
        <v>160</v>
      </c>
    </row>
    <row r="324" spans="1:59" ht="13" x14ac:dyDescent="0.15">
      <c r="A324" s="2">
        <v>44175.796527777777</v>
      </c>
      <c r="B324" s="2">
        <v>44175.79791666667</v>
      </c>
      <c r="C324" s="1" t="s">
        <v>39</v>
      </c>
      <c r="D324" s="1" t="s">
        <v>234</v>
      </c>
      <c r="E324" s="1">
        <v>100</v>
      </c>
      <c r="F324" s="1">
        <v>121</v>
      </c>
      <c r="G324" s="1" t="b">
        <v>1</v>
      </c>
      <c r="H324" s="2">
        <v>44175.79791666667</v>
      </c>
      <c r="I324" s="1" t="s">
        <v>1485</v>
      </c>
      <c r="N324" s="1">
        <v>34.048492430000003</v>
      </c>
      <c r="O324" s="1">
        <v>-118.2528992</v>
      </c>
      <c r="P324" s="1" t="s">
        <v>153</v>
      </c>
      <c r="Q324" s="1" t="s">
        <v>154</v>
      </c>
      <c r="R324" s="1" t="s">
        <v>155</v>
      </c>
      <c r="S324" s="1" t="s">
        <v>175</v>
      </c>
      <c r="T324" s="1" t="s">
        <v>157</v>
      </c>
      <c r="U324" s="1" t="s">
        <v>1486</v>
      </c>
      <c r="V324" s="1" t="s">
        <v>160</v>
      </c>
      <c r="W324" s="1" t="s">
        <v>160</v>
      </c>
      <c r="X324" s="1" t="s">
        <v>160</v>
      </c>
      <c r="Y324" s="1" t="s">
        <v>160</v>
      </c>
      <c r="Z324" s="1" t="s">
        <v>160</v>
      </c>
      <c r="AA324" s="1" t="s">
        <v>160</v>
      </c>
      <c r="AB324" s="1" t="s">
        <v>160</v>
      </c>
      <c r="AC324" s="1" t="s">
        <v>160</v>
      </c>
      <c r="AD324" s="1" t="s">
        <v>160</v>
      </c>
      <c r="AE324" s="1" t="s">
        <v>160</v>
      </c>
      <c r="AF324" s="1" t="s">
        <v>160</v>
      </c>
      <c r="AG324" s="1" t="s">
        <v>160</v>
      </c>
      <c r="AI324" s="1" t="s">
        <v>160</v>
      </c>
      <c r="AJ324" s="1" t="s">
        <v>198</v>
      </c>
      <c r="AK324" s="1" t="s">
        <v>164</v>
      </c>
      <c r="AL324" s="1" t="s">
        <v>163</v>
      </c>
      <c r="AM324" s="1" t="s">
        <v>192</v>
      </c>
      <c r="AN324" s="1" t="s">
        <v>163</v>
      </c>
      <c r="AO324" s="1" t="s">
        <v>179</v>
      </c>
      <c r="AP324" s="1" t="s">
        <v>165</v>
      </c>
      <c r="AR324" s="1" t="s">
        <v>160</v>
      </c>
      <c r="AS324" s="1" t="s">
        <v>160</v>
      </c>
      <c r="AT324" s="1" t="s">
        <v>1487</v>
      </c>
      <c r="AU324" s="1" t="s">
        <v>159</v>
      </c>
      <c r="AV324" s="1" t="s">
        <v>160</v>
      </c>
      <c r="AW324" s="1" t="s">
        <v>160</v>
      </c>
      <c r="AX324" s="1" t="s">
        <v>160</v>
      </c>
      <c r="AY324" s="1" t="s">
        <v>160</v>
      </c>
      <c r="AZ324" s="1" t="s">
        <v>159</v>
      </c>
      <c r="BA324" s="1" t="s">
        <v>160</v>
      </c>
      <c r="BB324" s="1" t="s">
        <v>241</v>
      </c>
      <c r="BC324" s="1" t="s">
        <v>160</v>
      </c>
      <c r="BD324" s="1" t="s">
        <v>1488</v>
      </c>
      <c r="BE324" s="1" t="s">
        <v>1489</v>
      </c>
      <c r="BF324" s="1" t="s">
        <v>160</v>
      </c>
    </row>
    <row r="325" spans="1:59" ht="13" x14ac:dyDescent="0.15">
      <c r="A325" s="2">
        <v>44175.798611111109</v>
      </c>
      <c r="B325" s="2">
        <v>44175.8</v>
      </c>
      <c r="C325" s="1" t="s">
        <v>39</v>
      </c>
      <c r="D325" s="1" t="s">
        <v>234</v>
      </c>
      <c r="E325" s="1">
        <v>100</v>
      </c>
      <c r="F325" s="1">
        <v>118</v>
      </c>
      <c r="G325" s="1" t="b">
        <v>1</v>
      </c>
      <c r="H325" s="2">
        <v>44175.8</v>
      </c>
      <c r="I325" s="1" t="s">
        <v>1490</v>
      </c>
      <c r="N325" s="1">
        <v>34.048492430000003</v>
      </c>
      <c r="O325" s="1">
        <v>-118.2528992</v>
      </c>
      <c r="P325" s="1" t="s">
        <v>153</v>
      </c>
      <c r="Q325" s="1" t="s">
        <v>154</v>
      </c>
      <c r="R325" s="1" t="s">
        <v>155</v>
      </c>
      <c r="S325" s="1" t="s">
        <v>274</v>
      </c>
      <c r="T325" s="1" t="s">
        <v>157</v>
      </c>
      <c r="U325" s="1" t="s">
        <v>929</v>
      </c>
      <c r="V325" s="1" t="s">
        <v>160</v>
      </c>
      <c r="W325" s="1" t="s">
        <v>160</v>
      </c>
      <c r="X325" s="1" t="s">
        <v>160</v>
      </c>
      <c r="Y325" s="1" t="s">
        <v>160</v>
      </c>
      <c r="Z325" s="1" t="s">
        <v>160</v>
      </c>
      <c r="AA325" s="1" t="s">
        <v>160</v>
      </c>
      <c r="AB325" s="1" t="s">
        <v>160</v>
      </c>
      <c r="AC325" s="1" t="s">
        <v>160</v>
      </c>
      <c r="AD325" s="1" t="s">
        <v>160</v>
      </c>
      <c r="AE325" s="1" t="s">
        <v>160</v>
      </c>
      <c r="AF325" s="1" t="s">
        <v>160</v>
      </c>
      <c r="AG325" s="1" t="s">
        <v>160</v>
      </c>
      <c r="AI325" s="1" t="s">
        <v>160</v>
      </c>
      <c r="AJ325" s="1" t="s">
        <v>164</v>
      </c>
      <c r="AK325" s="1" t="s">
        <v>164</v>
      </c>
      <c r="AL325" s="1" t="s">
        <v>192</v>
      </c>
      <c r="AM325" s="1" t="s">
        <v>192</v>
      </c>
      <c r="AN325" s="1" t="s">
        <v>192</v>
      </c>
      <c r="AO325" s="1" t="s">
        <v>179</v>
      </c>
      <c r="AP325" s="1" t="s">
        <v>179</v>
      </c>
      <c r="AR325" s="1" t="s">
        <v>160</v>
      </c>
      <c r="AS325" s="1" t="s">
        <v>160</v>
      </c>
      <c r="AT325" s="1" t="s">
        <v>392</v>
      </c>
      <c r="AU325" s="1" t="s">
        <v>160</v>
      </c>
      <c r="AV325" s="1" t="s">
        <v>160</v>
      </c>
      <c r="AW325" s="1" t="s">
        <v>159</v>
      </c>
      <c r="AX325" s="1" t="s">
        <v>159</v>
      </c>
      <c r="AY325" s="1" t="s">
        <v>159</v>
      </c>
      <c r="AZ325" s="1" t="s">
        <v>159</v>
      </c>
      <c r="BA325" s="1" t="s">
        <v>160</v>
      </c>
      <c r="BB325" s="1" t="s">
        <v>181</v>
      </c>
      <c r="BC325" s="1" t="s">
        <v>160</v>
      </c>
      <c r="BD325" s="1" t="s">
        <v>1491</v>
      </c>
      <c r="BE325" s="1" t="s">
        <v>1492</v>
      </c>
      <c r="BF325" s="1" t="s">
        <v>160</v>
      </c>
    </row>
    <row r="326" spans="1:59" ht="13" x14ac:dyDescent="0.15">
      <c r="A326" s="2">
        <v>44175.8</v>
      </c>
      <c r="B326" s="2">
        <v>44175.801388888889</v>
      </c>
      <c r="C326" s="1" t="s">
        <v>39</v>
      </c>
      <c r="D326" s="1" t="s">
        <v>234</v>
      </c>
      <c r="E326" s="1">
        <v>100</v>
      </c>
      <c r="F326" s="1">
        <v>117</v>
      </c>
      <c r="G326" s="1" t="b">
        <v>1</v>
      </c>
      <c r="H326" s="2">
        <v>44175.801388888889</v>
      </c>
      <c r="I326" s="1" t="s">
        <v>1493</v>
      </c>
      <c r="N326" s="1">
        <v>34.048492430000003</v>
      </c>
      <c r="O326" s="1">
        <v>-118.2528992</v>
      </c>
      <c r="P326" s="1" t="s">
        <v>153</v>
      </c>
      <c r="Q326" s="1" t="s">
        <v>154</v>
      </c>
      <c r="R326" s="1" t="s">
        <v>174</v>
      </c>
      <c r="S326" s="1" t="s">
        <v>226</v>
      </c>
      <c r="T326" s="1" t="s">
        <v>245</v>
      </c>
      <c r="U326" s="1" t="s">
        <v>557</v>
      </c>
      <c r="V326" s="1" t="s">
        <v>160</v>
      </c>
      <c r="W326" s="1" t="s">
        <v>160</v>
      </c>
      <c r="X326" s="1" t="s">
        <v>160</v>
      </c>
      <c r="Y326" s="1" t="s">
        <v>160</v>
      </c>
      <c r="Z326" s="1" t="s">
        <v>160</v>
      </c>
      <c r="AA326" s="1" t="s">
        <v>160</v>
      </c>
      <c r="AB326" s="1" t="s">
        <v>160</v>
      </c>
      <c r="AC326" s="1" t="s">
        <v>160</v>
      </c>
      <c r="AD326" s="1" t="s">
        <v>160</v>
      </c>
      <c r="AE326" s="1" t="s">
        <v>160</v>
      </c>
      <c r="AF326" s="1" t="s">
        <v>160</v>
      </c>
      <c r="AG326" s="1" t="s">
        <v>160</v>
      </c>
      <c r="AI326" s="1" t="s">
        <v>160</v>
      </c>
      <c r="AJ326" s="1" t="s">
        <v>164</v>
      </c>
      <c r="AK326" s="1" t="s">
        <v>163</v>
      </c>
      <c r="AL326" s="1" t="s">
        <v>192</v>
      </c>
      <c r="AM326" s="1" t="s">
        <v>192</v>
      </c>
      <c r="AN326" s="1" t="s">
        <v>164</v>
      </c>
      <c r="AO326" s="1" t="s">
        <v>179</v>
      </c>
      <c r="AP326" s="1" t="s">
        <v>165</v>
      </c>
      <c r="AR326" s="1" t="s">
        <v>160</v>
      </c>
      <c r="AS326" s="1" t="s">
        <v>160</v>
      </c>
      <c r="AT326" s="1" t="s">
        <v>397</v>
      </c>
      <c r="AU326" s="1" t="s">
        <v>160</v>
      </c>
      <c r="AV326" s="1" t="s">
        <v>160</v>
      </c>
      <c r="AW326" s="1" t="s">
        <v>159</v>
      </c>
      <c r="AX326" s="1" t="s">
        <v>159</v>
      </c>
      <c r="AY326" s="1" t="s">
        <v>160</v>
      </c>
      <c r="AZ326" s="1" t="s">
        <v>159</v>
      </c>
      <c r="BA326" s="1" t="s">
        <v>160</v>
      </c>
      <c r="BB326" s="1" t="s">
        <v>181</v>
      </c>
      <c r="BC326" s="1" t="s">
        <v>160</v>
      </c>
      <c r="BD326" s="1" t="s">
        <v>1494</v>
      </c>
      <c r="BE326" s="1" t="s">
        <v>1495</v>
      </c>
      <c r="BF326" s="1" t="s">
        <v>160</v>
      </c>
    </row>
    <row r="327" spans="1:59" ht="13" x14ac:dyDescent="0.15">
      <c r="A327" s="2">
        <v>44175.802083333336</v>
      </c>
      <c r="B327" s="2">
        <v>44175.803472222222</v>
      </c>
      <c r="C327" s="1" t="s">
        <v>39</v>
      </c>
      <c r="D327" s="1" t="s">
        <v>234</v>
      </c>
      <c r="E327" s="1">
        <v>100</v>
      </c>
      <c r="F327" s="1">
        <v>121</v>
      </c>
      <c r="G327" s="1" t="b">
        <v>1</v>
      </c>
      <c r="H327" s="2">
        <v>44175.803472222222</v>
      </c>
      <c r="I327" s="1" t="s">
        <v>1496</v>
      </c>
      <c r="N327" s="1">
        <v>34.048492430000003</v>
      </c>
      <c r="O327" s="1">
        <v>-118.2528992</v>
      </c>
      <c r="P327" s="1" t="s">
        <v>153</v>
      </c>
      <c r="Q327" s="1" t="s">
        <v>154</v>
      </c>
      <c r="R327" s="1" t="s">
        <v>174</v>
      </c>
      <c r="S327" s="1" t="s">
        <v>208</v>
      </c>
      <c r="T327" s="1" t="s">
        <v>263</v>
      </c>
      <c r="U327" s="1" t="s">
        <v>1497</v>
      </c>
      <c r="V327" s="1" t="s">
        <v>160</v>
      </c>
      <c r="W327" s="1" t="s">
        <v>160</v>
      </c>
      <c r="X327" s="1" t="s">
        <v>160</v>
      </c>
      <c r="Y327" s="1" t="s">
        <v>160</v>
      </c>
      <c r="Z327" s="1" t="s">
        <v>160</v>
      </c>
      <c r="AA327" s="1" t="s">
        <v>160</v>
      </c>
      <c r="AB327" s="1" t="s">
        <v>160</v>
      </c>
      <c r="AC327" s="1" t="s">
        <v>160</v>
      </c>
      <c r="AD327" s="1" t="s">
        <v>160</v>
      </c>
      <c r="AE327" s="1" t="s">
        <v>160</v>
      </c>
      <c r="AF327" s="1" t="s">
        <v>160</v>
      </c>
      <c r="AG327" s="1" t="s">
        <v>160</v>
      </c>
      <c r="AI327" s="1" t="s">
        <v>160</v>
      </c>
      <c r="AJ327" s="1" t="s">
        <v>163</v>
      </c>
      <c r="AK327" s="1" t="s">
        <v>192</v>
      </c>
      <c r="AL327" s="1" t="s">
        <v>163</v>
      </c>
      <c r="AM327" s="1" t="s">
        <v>192</v>
      </c>
      <c r="AN327" s="1" t="s">
        <v>192</v>
      </c>
      <c r="AO327" s="1" t="s">
        <v>179</v>
      </c>
      <c r="AP327" s="1" t="s">
        <v>165</v>
      </c>
      <c r="AR327" s="1" t="s">
        <v>160</v>
      </c>
      <c r="AS327" s="1" t="s">
        <v>160</v>
      </c>
      <c r="AT327" s="1" t="s">
        <v>345</v>
      </c>
      <c r="AU327" s="1" t="s">
        <v>160</v>
      </c>
      <c r="AV327" s="1" t="s">
        <v>159</v>
      </c>
      <c r="AW327" s="1" t="s">
        <v>159</v>
      </c>
      <c r="AX327" s="1" t="s">
        <v>159</v>
      </c>
      <c r="AY327" s="1" t="s">
        <v>159</v>
      </c>
      <c r="AZ327" s="1" t="s">
        <v>159</v>
      </c>
      <c r="BA327" s="1" t="s">
        <v>160</v>
      </c>
      <c r="BB327" s="1" t="s">
        <v>222</v>
      </c>
      <c r="BC327" s="1" t="s">
        <v>160</v>
      </c>
      <c r="BD327" s="1" t="s">
        <v>1498</v>
      </c>
      <c r="BE327" s="1" t="s">
        <v>1499</v>
      </c>
      <c r="BF327" s="1" t="s">
        <v>160</v>
      </c>
    </row>
    <row r="328" spans="1:59" ht="13" x14ac:dyDescent="0.15">
      <c r="A328" s="2">
        <v>44175.800694444442</v>
      </c>
      <c r="B328" s="2">
        <v>44175.803472222222</v>
      </c>
      <c r="C328" s="1" t="s">
        <v>39</v>
      </c>
      <c r="D328" s="1" t="s">
        <v>1500</v>
      </c>
      <c r="E328" s="1">
        <v>100</v>
      </c>
      <c r="F328" s="1">
        <v>234</v>
      </c>
      <c r="G328" s="1" t="b">
        <v>1</v>
      </c>
      <c r="H328" s="2">
        <v>44175.803472222222</v>
      </c>
      <c r="I328" s="1" t="s">
        <v>1501</v>
      </c>
      <c r="N328" s="1">
        <v>41.945693970000001</v>
      </c>
      <c r="O328" s="1">
        <v>-87.739303590000006</v>
      </c>
      <c r="P328" s="1" t="s">
        <v>153</v>
      </c>
      <c r="Q328" s="1" t="s">
        <v>154</v>
      </c>
      <c r="R328" s="1" t="s">
        <v>155</v>
      </c>
      <c r="S328" s="1" t="s">
        <v>274</v>
      </c>
      <c r="T328" s="1" t="s">
        <v>176</v>
      </c>
      <c r="U328" s="1" t="s">
        <v>1362</v>
      </c>
      <c r="V328" s="1" t="s">
        <v>160</v>
      </c>
      <c r="W328" s="1" t="s">
        <v>159</v>
      </c>
      <c r="X328" s="1" t="s">
        <v>160</v>
      </c>
      <c r="Y328" s="1" t="s">
        <v>159</v>
      </c>
      <c r="Z328" s="1" t="s">
        <v>159</v>
      </c>
      <c r="AA328" s="1" t="s">
        <v>159</v>
      </c>
      <c r="AB328" s="1" t="s">
        <v>160</v>
      </c>
      <c r="AC328" s="1" t="s">
        <v>159</v>
      </c>
      <c r="AD328" s="1" t="s">
        <v>159</v>
      </c>
      <c r="AE328" s="1" t="s">
        <v>160</v>
      </c>
      <c r="AF328" s="1" t="s">
        <v>160</v>
      </c>
      <c r="AG328" s="1" t="s">
        <v>160</v>
      </c>
      <c r="AH328" s="1">
        <v>2</v>
      </c>
      <c r="AI328" s="1" t="s">
        <v>160</v>
      </c>
      <c r="AJ328" s="1" t="s">
        <v>192</v>
      </c>
      <c r="AK328" s="1" t="s">
        <v>164</v>
      </c>
      <c r="AL328" s="1" t="s">
        <v>192</v>
      </c>
      <c r="AM328" s="1" t="s">
        <v>163</v>
      </c>
      <c r="AN328" s="1" t="s">
        <v>192</v>
      </c>
      <c r="AO328" s="1" t="s">
        <v>179</v>
      </c>
      <c r="AP328" s="1" t="s">
        <v>179</v>
      </c>
      <c r="AQ328" s="1">
        <v>1999</v>
      </c>
      <c r="AR328" s="1" t="s">
        <v>160</v>
      </c>
      <c r="AS328" s="1" t="s">
        <v>159</v>
      </c>
      <c r="AT328" s="1" t="s">
        <v>180</v>
      </c>
      <c r="AU328" s="1" t="s">
        <v>159</v>
      </c>
      <c r="AV328" s="1" t="s">
        <v>159</v>
      </c>
      <c r="AW328" s="1" t="s">
        <v>159</v>
      </c>
      <c r="AX328" s="1" t="s">
        <v>159</v>
      </c>
      <c r="AY328" s="1" t="s">
        <v>159</v>
      </c>
      <c r="AZ328" s="1" t="s">
        <v>159</v>
      </c>
      <c r="BA328" s="1" t="s">
        <v>159</v>
      </c>
      <c r="BB328" s="1" t="s">
        <v>181</v>
      </c>
      <c r="BC328" s="1" t="s">
        <v>159</v>
      </c>
      <c r="BE328" s="1" t="s">
        <v>1502</v>
      </c>
      <c r="BF328" s="1" t="s">
        <v>159</v>
      </c>
    </row>
    <row r="329" spans="1:59" ht="13" x14ac:dyDescent="0.15">
      <c r="A329" s="2">
        <v>44175.803472222222</v>
      </c>
      <c r="B329" s="2">
        <v>44175.804861111108</v>
      </c>
      <c r="C329" s="1" t="s">
        <v>39</v>
      </c>
      <c r="D329" s="1" t="s">
        <v>234</v>
      </c>
      <c r="E329" s="1">
        <v>100</v>
      </c>
      <c r="F329" s="1">
        <v>121</v>
      </c>
      <c r="G329" s="1" t="b">
        <v>1</v>
      </c>
      <c r="H329" s="2">
        <v>44175.804861111108</v>
      </c>
      <c r="I329" s="1" t="s">
        <v>1503</v>
      </c>
      <c r="N329" s="1">
        <v>34.048492430000003</v>
      </c>
      <c r="O329" s="1">
        <v>-118.2528992</v>
      </c>
      <c r="P329" s="1" t="s">
        <v>153</v>
      </c>
      <c r="Q329" s="1" t="s">
        <v>154</v>
      </c>
      <c r="R329" s="1" t="s">
        <v>155</v>
      </c>
      <c r="S329" s="1" t="s">
        <v>274</v>
      </c>
      <c r="T329" s="1" t="s">
        <v>157</v>
      </c>
      <c r="U329" s="1" t="s">
        <v>1504</v>
      </c>
      <c r="V329" s="1" t="s">
        <v>160</v>
      </c>
      <c r="W329" s="1" t="s">
        <v>160</v>
      </c>
      <c r="X329" s="1" t="s">
        <v>160</v>
      </c>
      <c r="Y329" s="1" t="s">
        <v>160</v>
      </c>
      <c r="Z329" s="1" t="s">
        <v>160</v>
      </c>
      <c r="AA329" s="1" t="s">
        <v>160</v>
      </c>
      <c r="AB329" s="1" t="s">
        <v>160</v>
      </c>
      <c r="AC329" s="1" t="s">
        <v>160</v>
      </c>
      <c r="AD329" s="1" t="s">
        <v>160</v>
      </c>
      <c r="AE329" s="1" t="s">
        <v>160</v>
      </c>
      <c r="AF329" s="1" t="s">
        <v>160</v>
      </c>
      <c r="AG329" s="1" t="s">
        <v>160</v>
      </c>
      <c r="AI329" s="1" t="s">
        <v>160</v>
      </c>
      <c r="AJ329" s="1" t="s">
        <v>163</v>
      </c>
      <c r="AK329" s="1" t="s">
        <v>164</v>
      </c>
      <c r="AL329" s="1" t="s">
        <v>163</v>
      </c>
      <c r="AM329" s="1" t="s">
        <v>163</v>
      </c>
      <c r="AN329" s="1" t="s">
        <v>192</v>
      </c>
      <c r="AO329" s="1" t="s">
        <v>179</v>
      </c>
      <c r="AP329" s="1" t="s">
        <v>239</v>
      </c>
      <c r="AR329" s="1" t="s">
        <v>160</v>
      </c>
      <c r="AS329" s="1" t="s">
        <v>160</v>
      </c>
      <c r="AT329" s="1" t="s">
        <v>1505</v>
      </c>
      <c r="AU329" s="1" t="s">
        <v>159</v>
      </c>
      <c r="AV329" s="1" t="s">
        <v>160</v>
      </c>
      <c r="AW329" s="1" t="s">
        <v>160</v>
      </c>
      <c r="AX329" s="1" t="s">
        <v>159</v>
      </c>
      <c r="AY329" s="1" t="s">
        <v>159</v>
      </c>
      <c r="AZ329" s="1" t="s">
        <v>159</v>
      </c>
      <c r="BA329" s="1" t="s">
        <v>160</v>
      </c>
      <c r="BB329" s="1" t="s">
        <v>241</v>
      </c>
      <c r="BC329" s="1" t="s">
        <v>160</v>
      </c>
      <c r="BD329" s="1" t="s">
        <v>1506</v>
      </c>
      <c r="BE329" s="1" t="s">
        <v>1507</v>
      </c>
      <c r="BF329" s="1" t="s">
        <v>160</v>
      </c>
    </row>
    <row r="330" spans="1:59" ht="13" x14ac:dyDescent="0.15">
      <c r="A330" s="2">
        <v>44175.804861111108</v>
      </c>
      <c r="B330" s="2">
        <v>44175.806250000001</v>
      </c>
      <c r="C330" s="1" t="s">
        <v>39</v>
      </c>
      <c r="D330" s="1" t="s">
        <v>234</v>
      </c>
      <c r="E330" s="1">
        <v>100</v>
      </c>
      <c r="F330" s="1">
        <v>121</v>
      </c>
      <c r="G330" s="1" t="b">
        <v>1</v>
      </c>
      <c r="H330" s="2">
        <v>44175.806250000001</v>
      </c>
      <c r="I330" s="1" t="s">
        <v>1508</v>
      </c>
      <c r="N330" s="1">
        <v>34.048492430000003</v>
      </c>
      <c r="O330" s="1">
        <v>-118.2528992</v>
      </c>
      <c r="P330" s="1" t="s">
        <v>153</v>
      </c>
      <c r="Q330" s="1" t="s">
        <v>154</v>
      </c>
      <c r="R330" s="1" t="s">
        <v>174</v>
      </c>
      <c r="S330" s="1" t="s">
        <v>208</v>
      </c>
      <c r="T330" s="1" t="s">
        <v>263</v>
      </c>
      <c r="U330" s="1" t="s">
        <v>1509</v>
      </c>
      <c r="V330" s="1" t="s">
        <v>160</v>
      </c>
      <c r="W330" s="1" t="s">
        <v>160</v>
      </c>
      <c r="X330" s="1" t="s">
        <v>160</v>
      </c>
      <c r="Y330" s="1" t="s">
        <v>160</v>
      </c>
      <c r="Z330" s="1" t="s">
        <v>160</v>
      </c>
      <c r="AA330" s="1" t="s">
        <v>160</v>
      </c>
      <c r="AB330" s="1" t="s">
        <v>160</v>
      </c>
      <c r="AC330" s="1" t="s">
        <v>160</v>
      </c>
      <c r="AD330" s="1" t="s">
        <v>160</v>
      </c>
      <c r="AE330" s="1" t="s">
        <v>160</v>
      </c>
      <c r="AF330" s="1" t="s">
        <v>160</v>
      </c>
      <c r="AG330" s="1" t="s">
        <v>160</v>
      </c>
      <c r="AI330" s="1" t="s">
        <v>160</v>
      </c>
      <c r="AJ330" s="1" t="s">
        <v>164</v>
      </c>
      <c r="AK330" s="1" t="s">
        <v>198</v>
      </c>
      <c r="AL330" s="1" t="s">
        <v>163</v>
      </c>
      <c r="AM330" s="1" t="s">
        <v>198</v>
      </c>
      <c r="AN330" s="1" t="s">
        <v>163</v>
      </c>
      <c r="AO330" s="1" t="s">
        <v>179</v>
      </c>
      <c r="AP330" s="1" t="s">
        <v>165</v>
      </c>
      <c r="AR330" s="1" t="s">
        <v>160</v>
      </c>
      <c r="AS330" s="1" t="s">
        <v>160</v>
      </c>
      <c r="AT330" s="1" t="s">
        <v>1510</v>
      </c>
      <c r="AU330" s="1" t="s">
        <v>159</v>
      </c>
      <c r="AV330" s="1" t="s">
        <v>160</v>
      </c>
      <c r="AW330" s="1" t="s">
        <v>159</v>
      </c>
      <c r="AX330" s="1" t="s">
        <v>159</v>
      </c>
      <c r="AY330" s="1" t="s">
        <v>159</v>
      </c>
      <c r="AZ330" s="1" t="s">
        <v>159</v>
      </c>
      <c r="BA330" s="1" t="s">
        <v>159</v>
      </c>
      <c r="BB330" s="1" t="s">
        <v>241</v>
      </c>
      <c r="BC330" s="1" t="s">
        <v>160</v>
      </c>
      <c r="BD330" s="1" t="s">
        <v>1511</v>
      </c>
      <c r="BE330" s="1" t="s">
        <v>1512</v>
      </c>
      <c r="BF330" s="1" t="s">
        <v>160</v>
      </c>
    </row>
    <row r="331" spans="1:59" ht="13" x14ac:dyDescent="0.15">
      <c r="A331" s="2">
        <v>44175.806944444441</v>
      </c>
      <c r="B331" s="2">
        <v>44175.808333333334</v>
      </c>
      <c r="C331" s="1" t="s">
        <v>39</v>
      </c>
      <c r="D331" s="1" t="s">
        <v>234</v>
      </c>
      <c r="E331" s="1">
        <v>100</v>
      </c>
      <c r="F331" s="1">
        <v>128</v>
      </c>
      <c r="G331" s="1" t="b">
        <v>1</v>
      </c>
      <c r="H331" s="2">
        <v>44175.808333333334</v>
      </c>
      <c r="I331" s="1" t="s">
        <v>1513</v>
      </c>
      <c r="N331" s="1">
        <v>34.048492430000003</v>
      </c>
      <c r="O331" s="1">
        <v>-118.2528992</v>
      </c>
      <c r="P331" s="1" t="s">
        <v>153</v>
      </c>
      <c r="Q331" s="1" t="s">
        <v>154</v>
      </c>
      <c r="R331" s="1" t="s">
        <v>174</v>
      </c>
      <c r="S331" s="1" t="s">
        <v>175</v>
      </c>
      <c r="T331" s="1" t="s">
        <v>176</v>
      </c>
      <c r="U331" s="1" t="s">
        <v>1514</v>
      </c>
      <c r="V331" s="1" t="s">
        <v>160</v>
      </c>
      <c r="W331" s="1" t="s">
        <v>160</v>
      </c>
      <c r="X331" s="1" t="s">
        <v>160</v>
      </c>
      <c r="Y331" s="1" t="s">
        <v>160</v>
      </c>
      <c r="Z331" s="1" t="s">
        <v>160</v>
      </c>
      <c r="AA331" s="1" t="s">
        <v>160</v>
      </c>
      <c r="AB331" s="1" t="s">
        <v>160</v>
      </c>
      <c r="AC331" s="1" t="s">
        <v>160</v>
      </c>
      <c r="AD331" s="1" t="s">
        <v>160</v>
      </c>
      <c r="AE331" s="1" t="s">
        <v>160</v>
      </c>
      <c r="AF331" s="1" t="s">
        <v>160</v>
      </c>
      <c r="AG331" s="1" t="s">
        <v>160</v>
      </c>
      <c r="AI331" s="1" t="s">
        <v>160</v>
      </c>
      <c r="AJ331" s="1" t="s">
        <v>192</v>
      </c>
      <c r="AK331" s="1" t="s">
        <v>192</v>
      </c>
      <c r="AL331" s="1" t="s">
        <v>198</v>
      </c>
      <c r="AM331" s="1" t="s">
        <v>198</v>
      </c>
      <c r="AN331" s="1" t="s">
        <v>164</v>
      </c>
      <c r="AO331" s="1" t="s">
        <v>179</v>
      </c>
      <c r="AP331" s="1" t="s">
        <v>239</v>
      </c>
      <c r="AR331" s="1" t="s">
        <v>160</v>
      </c>
      <c r="AS331" s="1" t="s">
        <v>160</v>
      </c>
      <c r="AT331" s="1" t="s">
        <v>459</v>
      </c>
      <c r="AU331" s="1" t="s">
        <v>160</v>
      </c>
      <c r="AV331" s="1" t="s">
        <v>160</v>
      </c>
      <c r="AW331" s="1" t="s">
        <v>160</v>
      </c>
      <c r="AX331" s="1" t="s">
        <v>160</v>
      </c>
      <c r="AY331" s="1" t="s">
        <v>159</v>
      </c>
      <c r="AZ331" s="1" t="s">
        <v>159</v>
      </c>
      <c r="BA331" s="1" t="s">
        <v>159</v>
      </c>
      <c r="BB331" s="1" t="s">
        <v>181</v>
      </c>
      <c r="BC331" s="1" t="s">
        <v>160</v>
      </c>
      <c r="BD331" s="1" t="s">
        <v>1515</v>
      </c>
      <c r="BE331" s="1" t="s">
        <v>1516</v>
      </c>
      <c r="BF331" s="1" t="s">
        <v>160</v>
      </c>
    </row>
    <row r="332" spans="1:59" ht="13" x14ac:dyDescent="0.15">
      <c r="A332" s="2">
        <v>44175.808333333334</v>
      </c>
      <c r="B332" s="2">
        <v>44175.80972222222</v>
      </c>
      <c r="C332" s="1" t="s">
        <v>39</v>
      </c>
      <c r="D332" s="1" t="s">
        <v>234</v>
      </c>
      <c r="E332" s="1">
        <v>100</v>
      </c>
      <c r="F332" s="1">
        <v>119</v>
      </c>
      <c r="G332" s="1" t="b">
        <v>1</v>
      </c>
      <c r="H332" s="2">
        <v>44175.80972222222</v>
      </c>
      <c r="I332" s="1" t="s">
        <v>1517</v>
      </c>
      <c r="N332" s="1">
        <v>34.048492430000003</v>
      </c>
      <c r="O332" s="1">
        <v>-118.2528992</v>
      </c>
      <c r="P332" s="1" t="s">
        <v>153</v>
      </c>
      <c r="Q332" s="1" t="s">
        <v>154</v>
      </c>
      <c r="R332" s="1" t="s">
        <v>174</v>
      </c>
      <c r="S332" s="1" t="s">
        <v>226</v>
      </c>
      <c r="T332" s="1" t="s">
        <v>263</v>
      </c>
      <c r="U332" s="1" t="s">
        <v>721</v>
      </c>
      <c r="V332" s="1" t="s">
        <v>160</v>
      </c>
      <c r="W332" s="1" t="s">
        <v>160</v>
      </c>
      <c r="X332" s="1" t="s">
        <v>160</v>
      </c>
      <c r="Y332" s="1" t="s">
        <v>160</v>
      </c>
      <c r="Z332" s="1" t="s">
        <v>160</v>
      </c>
      <c r="AA332" s="1" t="s">
        <v>160</v>
      </c>
      <c r="AB332" s="1" t="s">
        <v>160</v>
      </c>
      <c r="AC332" s="1" t="s">
        <v>160</v>
      </c>
      <c r="AD332" s="1" t="s">
        <v>160</v>
      </c>
      <c r="AE332" s="1" t="s">
        <v>160</v>
      </c>
      <c r="AF332" s="1" t="s">
        <v>160</v>
      </c>
      <c r="AG332" s="1" t="s">
        <v>160</v>
      </c>
      <c r="AI332" s="1" t="s">
        <v>160</v>
      </c>
      <c r="AJ332" s="1" t="s">
        <v>192</v>
      </c>
      <c r="AK332" s="1" t="s">
        <v>198</v>
      </c>
      <c r="AL332" s="1" t="s">
        <v>164</v>
      </c>
      <c r="AM332" s="1" t="s">
        <v>198</v>
      </c>
      <c r="AN332" s="1" t="s">
        <v>164</v>
      </c>
      <c r="AO332" s="1" t="s">
        <v>179</v>
      </c>
      <c r="AP332" s="1" t="s">
        <v>165</v>
      </c>
      <c r="AR332" s="1" t="s">
        <v>160</v>
      </c>
      <c r="AS332" s="1" t="s">
        <v>160</v>
      </c>
      <c r="AT332" s="1" t="s">
        <v>657</v>
      </c>
      <c r="AU332" s="1" t="s">
        <v>160</v>
      </c>
      <c r="AV332" s="1" t="s">
        <v>159</v>
      </c>
      <c r="AW332" s="1" t="s">
        <v>160</v>
      </c>
      <c r="AX332" s="1" t="s">
        <v>159</v>
      </c>
      <c r="AY332" s="1" t="s">
        <v>159</v>
      </c>
      <c r="AZ332" s="1" t="s">
        <v>159</v>
      </c>
      <c r="BA332" s="1" t="s">
        <v>159</v>
      </c>
      <c r="BB332" s="1" t="s">
        <v>167</v>
      </c>
      <c r="BC332" s="1" t="s">
        <v>160</v>
      </c>
      <c r="BD332" s="1" t="s">
        <v>1518</v>
      </c>
      <c r="BE332" s="1" t="s">
        <v>1519</v>
      </c>
      <c r="BF332" s="1" t="s">
        <v>160</v>
      </c>
    </row>
    <row r="333" spans="1:59" ht="13" x14ac:dyDescent="0.15">
      <c r="A333" s="2">
        <v>44175.810416666667</v>
      </c>
      <c r="B333" s="2">
        <v>44175.811805555553</v>
      </c>
      <c r="C333" s="1" t="s">
        <v>39</v>
      </c>
      <c r="D333" s="1" t="s">
        <v>234</v>
      </c>
      <c r="E333" s="1">
        <v>100</v>
      </c>
      <c r="F333" s="1">
        <v>121</v>
      </c>
      <c r="G333" s="1" t="b">
        <v>1</v>
      </c>
      <c r="H333" s="2">
        <v>44175.811805555553</v>
      </c>
      <c r="I333" s="1" t="s">
        <v>1520</v>
      </c>
      <c r="N333" s="1">
        <v>34.048492430000003</v>
      </c>
      <c r="O333" s="1">
        <v>-118.2528992</v>
      </c>
      <c r="P333" s="1" t="s">
        <v>153</v>
      </c>
      <c r="Q333" s="1" t="s">
        <v>154</v>
      </c>
      <c r="R333" s="1" t="s">
        <v>155</v>
      </c>
      <c r="S333" s="1" t="s">
        <v>274</v>
      </c>
      <c r="T333" s="1" t="s">
        <v>176</v>
      </c>
      <c r="U333" s="1" t="s">
        <v>1521</v>
      </c>
      <c r="V333" s="1" t="s">
        <v>160</v>
      </c>
      <c r="W333" s="1" t="s">
        <v>160</v>
      </c>
      <c r="X333" s="1" t="s">
        <v>160</v>
      </c>
      <c r="Y333" s="1" t="s">
        <v>160</v>
      </c>
      <c r="Z333" s="1" t="s">
        <v>160</v>
      </c>
      <c r="AA333" s="1" t="s">
        <v>160</v>
      </c>
      <c r="AB333" s="1" t="s">
        <v>160</v>
      </c>
      <c r="AC333" s="1" t="s">
        <v>160</v>
      </c>
      <c r="AD333" s="1" t="s">
        <v>160</v>
      </c>
      <c r="AE333" s="1" t="s">
        <v>160</v>
      </c>
      <c r="AF333" s="1" t="s">
        <v>160</v>
      </c>
      <c r="AG333" s="1" t="s">
        <v>160</v>
      </c>
      <c r="AI333" s="1" t="s">
        <v>160</v>
      </c>
      <c r="AJ333" s="1" t="s">
        <v>163</v>
      </c>
      <c r="AK333" s="1" t="s">
        <v>163</v>
      </c>
      <c r="AL333" s="1" t="s">
        <v>198</v>
      </c>
      <c r="AM333" s="1" t="s">
        <v>164</v>
      </c>
      <c r="AN333" s="1" t="s">
        <v>164</v>
      </c>
      <c r="AO333" s="1" t="s">
        <v>179</v>
      </c>
      <c r="AP333" s="1" t="s">
        <v>179</v>
      </c>
      <c r="AR333" s="1" t="s">
        <v>160</v>
      </c>
      <c r="AS333" s="1" t="s">
        <v>160</v>
      </c>
      <c r="AT333" s="1" t="s">
        <v>1522</v>
      </c>
      <c r="AU333" s="1" t="s">
        <v>159</v>
      </c>
      <c r="AV333" s="1" t="s">
        <v>159</v>
      </c>
      <c r="AW333" s="1" t="s">
        <v>159</v>
      </c>
      <c r="AX333" s="1" t="s">
        <v>160</v>
      </c>
      <c r="AY333" s="1" t="s">
        <v>160</v>
      </c>
      <c r="AZ333" s="1" t="s">
        <v>159</v>
      </c>
      <c r="BA333" s="1" t="s">
        <v>160</v>
      </c>
      <c r="BB333" s="1" t="s">
        <v>181</v>
      </c>
      <c r="BC333" s="1" t="s">
        <v>160</v>
      </c>
      <c r="BD333" s="1" t="s">
        <v>1523</v>
      </c>
      <c r="BE333" s="1" t="s">
        <v>1524</v>
      </c>
      <c r="BF333" s="1" t="s">
        <v>160</v>
      </c>
    </row>
    <row r="334" spans="1:59" ht="13" x14ac:dyDescent="0.15">
      <c r="A334" s="2">
        <v>44175.803472222222</v>
      </c>
      <c r="B334" s="2">
        <v>44175.813888888886</v>
      </c>
      <c r="C334" s="1" t="s">
        <v>39</v>
      </c>
      <c r="D334" s="1" t="s">
        <v>1525</v>
      </c>
      <c r="E334" s="1">
        <v>100</v>
      </c>
      <c r="F334" s="1">
        <v>901</v>
      </c>
      <c r="G334" s="1" t="b">
        <v>1</v>
      </c>
      <c r="H334" s="2">
        <v>44175.813888888886</v>
      </c>
      <c r="I334" s="1" t="s">
        <v>1526</v>
      </c>
      <c r="N334" s="1">
        <v>26.116699220000001</v>
      </c>
      <c r="O334" s="1">
        <v>-80.128601070000002</v>
      </c>
      <c r="P334" s="1" t="s">
        <v>153</v>
      </c>
      <c r="Q334" s="1" t="s">
        <v>154</v>
      </c>
      <c r="R334" s="1" t="s">
        <v>174</v>
      </c>
      <c r="S334" s="1" t="s">
        <v>208</v>
      </c>
      <c r="T334" s="1" t="s">
        <v>263</v>
      </c>
      <c r="U334" s="1" t="s">
        <v>418</v>
      </c>
      <c r="V334" s="1" t="s">
        <v>160</v>
      </c>
      <c r="W334" s="1" t="s">
        <v>160</v>
      </c>
      <c r="X334" s="1" t="s">
        <v>160</v>
      </c>
      <c r="Y334" s="1" t="s">
        <v>160</v>
      </c>
      <c r="Z334" s="1" t="s">
        <v>160</v>
      </c>
      <c r="AA334" s="1" t="s">
        <v>160</v>
      </c>
      <c r="AB334" s="1" t="s">
        <v>160</v>
      </c>
      <c r="AC334" s="1" t="s">
        <v>160</v>
      </c>
      <c r="AD334" s="1" t="s">
        <v>160</v>
      </c>
      <c r="AE334" s="1" t="s">
        <v>160</v>
      </c>
      <c r="AF334" s="1" t="s">
        <v>160</v>
      </c>
      <c r="AG334" s="1" t="s">
        <v>160</v>
      </c>
      <c r="AH334" s="1">
        <v>2</v>
      </c>
      <c r="AI334" s="1" t="s">
        <v>160</v>
      </c>
      <c r="AJ334" s="1" t="s">
        <v>192</v>
      </c>
      <c r="AK334" s="1" t="s">
        <v>163</v>
      </c>
      <c r="AL334" s="1" t="s">
        <v>192</v>
      </c>
      <c r="AM334" s="1" t="s">
        <v>192</v>
      </c>
      <c r="AN334" s="1" t="s">
        <v>163</v>
      </c>
      <c r="AO334" s="1" t="s">
        <v>165</v>
      </c>
      <c r="AP334" s="1" t="s">
        <v>165</v>
      </c>
      <c r="AQ334" s="1">
        <v>1997</v>
      </c>
      <c r="AR334" s="1" t="s">
        <v>160</v>
      </c>
      <c r="AS334" s="1" t="s">
        <v>160</v>
      </c>
      <c r="AT334" s="1" t="s">
        <v>180</v>
      </c>
      <c r="AU334" s="1" t="s">
        <v>159</v>
      </c>
      <c r="AV334" s="1" t="s">
        <v>159</v>
      </c>
      <c r="AW334" s="1" t="s">
        <v>159</v>
      </c>
      <c r="AX334" s="1" t="s">
        <v>159</v>
      </c>
      <c r="AY334" s="1" t="s">
        <v>159</v>
      </c>
      <c r="AZ334" s="1" t="s">
        <v>160</v>
      </c>
      <c r="BA334" s="1" t="s">
        <v>159</v>
      </c>
      <c r="BB334" s="1" t="s">
        <v>181</v>
      </c>
      <c r="BC334" s="1" t="s">
        <v>160</v>
      </c>
      <c r="BE334" s="1" t="s">
        <v>1527</v>
      </c>
      <c r="BF334" s="1" t="s">
        <v>159</v>
      </c>
    </row>
    <row r="335" spans="1:59" ht="13" x14ac:dyDescent="0.15">
      <c r="A335" s="2">
        <v>44175.813194444447</v>
      </c>
      <c r="B335" s="2">
        <v>44175.814583333333</v>
      </c>
      <c r="C335" s="1" t="s">
        <v>39</v>
      </c>
      <c r="D335" s="1" t="s">
        <v>234</v>
      </c>
      <c r="E335" s="1">
        <v>100</v>
      </c>
      <c r="F335" s="1">
        <v>120</v>
      </c>
      <c r="G335" s="1" t="b">
        <v>1</v>
      </c>
      <c r="H335" s="2">
        <v>44175.814583333333</v>
      </c>
      <c r="I335" s="1" t="s">
        <v>1528</v>
      </c>
      <c r="N335" s="1">
        <v>34.048492430000003</v>
      </c>
      <c r="O335" s="1">
        <v>-118.2528992</v>
      </c>
      <c r="P335" s="1" t="s">
        <v>153</v>
      </c>
      <c r="Q335" s="1" t="s">
        <v>154</v>
      </c>
      <c r="R335" s="1" t="s">
        <v>236</v>
      </c>
      <c r="S335" s="1" t="s">
        <v>310</v>
      </c>
      <c r="T335" s="1" t="s">
        <v>263</v>
      </c>
      <c r="U335" s="1" t="s">
        <v>1529</v>
      </c>
      <c r="V335" s="1" t="s">
        <v>160</v>
      </c>
      <c r="W335" s="1" t="s">
        <v>160</v>
      </c>
      <c r="X335" s="1" t="s">
        <v>160</v>
      </c>
      <c r="Y335" s="1" t="s">
        <v>160</v>
      </c>
      <c r="Z335" s="1" t="s">
        <v>160</v>
      </c>
      <c r="AA335" s="1" t="s">
        <v>160</v>
      </c>
      <c r="AB335" s="1" t="s">
        <v>160</v>
      </c>
      <c r="AC335" s="1" t="s">
        <v>160</v>
      </c>
      <c r="AD335" s="1" t="s">
        <v>160</v>
      </c>
      <c r="AE335" s="1" t="s">
        <v>160</v>
      </c>
      <c r="AF335" s="1" t="s">
        <v>160</v>
      </c>
      <c r="AG335" s="1" t="s">
        <v>160</v>
      </c>
      <c r="AI335" s="1" t="s">
        <v>160</v>
      </c>
      <c r="AJ335" s="1" t="s">
        <v>163</v>
      </c>
      <c r="AK335" s="1" t="s">
        <v>192</v>
      </c>
      <c r="AL335" s="1" t="s">
        <v>163</v>
      </c>
      <c r="AM335" s="1" t="s">
        <v>164</v>
      </c>
      <c r="AN335" s="1" t="s">
        <v>198</v>
      </c>
      <c r="AO335" s="1" t="s">
        <v>179</v>
      </c>
      <c r="AP335" s="1" t="s">
        <v>239</v>
      </c>
      <c r="AR335" s="1" t="s">
        <v>160</v>
      </c>
      <c r="AS335" s="1" t="s">
        <v>160</v>
      </c>
      <c r="AT335" s="1" t="s">
        <v>1530</v>
      </c>
      <c r="AU335" s="1" t="s">
        <v>160</v>
      </c>
      <c r="AV335" s="1" t="s">
        <v>160</v>
      </c>
      <c r="AW335" s="1" t="s">
        <v>159</v>
      </c>
      <c r="AX335" s="1" t="s">
        <v>160</v>
      </c>
      <c r="AY335" s="1" t="s">
        <v>160</v>
      </c>
      <c r="AZ335" s="1" t="s">
        <v>160</v>
      </c>
      <c r="BA335" s="1" t="s">
        <v>160</v>
      </c>
      <c r="BB335" s="1" t="s">
        <v>222</v>
      </c>
      <c r="BC335" s="1" t="s">
        <v>160</v>
      </c>
      <c r="BD335" s="1" t="s">
        <v>1531</v>
      </c>
      <c r="BE335" s="1" t="s">
        <v>1532</v>
      </c>
      <c r="BF335" s="1" t="s">
        <v>160</v>
      </c>
    </row>
    <row r="336" spans="1:59" ht="13" x14ac:dyDescent="0.15">
      <c r="A336" s="2">
        <v>44175.814583333333</v>
      </c>
      <c r="B336" s="2">
        <v>44175.815972222219</v>
      </c>
      <c r="C336" s="1" t="s">
        <v>39</v>
      </c>
      <c r="D336" s="1" t="s">
        <v>234</v>
      </c>
      <c r="E336" s="1">
        <v>100</v>
      </c>
      <c r="F336" s="1">
        <v>119</v>
      </c>
      <c r="G336" s="1" t="b">
        <v>1</v>
      </c>
      <c r="H336" s="2">
        <v>44175.815972222219</v>
      </c>
      <c r="I336" s="1" t="s">
        <v>1533</v>
      </c>
      <c r="N336" s="1">
        <v>34.048492430000003</v>
      </c>
      <c r="O336" s="1">
        <v>-118.2528992</v>
      </c>
      <c r="P336" s="1" t="s">
        <v>153</v>
      </c>
      <c r="Q336" s="1" t="s">
        <v>154</v>
      </c>
      <c r="R336" s="1" t="s">
        <v>155</v>
      </c>
      <c r="S336" s="1" t="s">
        <v>208</v>
      </c>
      <c r="T336" s="1" t="s">
        <v>245</v>
      </c>
      <c r="U336" s="1" t="s">
        <v>275</v>
      </c>
      <c r="V336" s="1" t="s">
        <v>160</v>
      </c>
      <c r="W336" s="1" t="s">
        <v>160</v>
      </c>
      <c r="X336" s="1" t="s">
        <v>160</v>
      </c>
      <c r="Y336" s="1" t="s">
        <v>160</v>
      </c>
      <c r="Z336" s="1" t="s">
        <v>160</v>
      </c>
      <c r="AA336" s="1" t="s">
        <v>160</v>
      </c>
      <c r="AB336" s="1" t="s">
        <v>160</v>
      </c>
      <c r="AC336" s="1" t="s">
        <v>160</v>
      </c>
      <c r="AD336" s="1" t="s">
        <v>160</v>
      </c>
      <c r="AE336" s="1" t="s">
        <v>160</v>
      </c>
      <c r="AF336" s="1" t="s">
        <v>160</v>
      </c>
      <c r="AG336" s="1" t="s">
        <v>160</v>
      </c>
      <c r="AI336" s="1" t="s">
        <v>160</v>
      </c>
      <c r="AJ336" s="1" t="s">
        <v>164</v>
      </c>
      <c r="AK336" s="1" t="s">
        <v>198</v>
      </c>
      <c r="AL336" s="1" t="s">
        <v>163</v>
      </c>
      <c r="AM336" s="1" t="s">
        <v>192</v>
      </c>
      <c r="AN336" s="1" t="s">
        <v>163</v>
      </c>
      <c r="AO336" s="1" t="s">
        <v>179</v>
      </c>
      <c r="AP336" s="1" t="s">
        <v>239</v>
      </c>
      <c r="AR336" s="1" t="s">
        <v>160</v>
      </c>
      <c r="AS336" s="1" t="s">
        <v>160</v>
      </c>
      <c r="AT336" s="1" t="s">
        <v>1534</v>
      </c>
      <c r="AU336" s="1" t="s">
        <v>159</v>
      </c>
      <c r="AV336" s="1" t="s">
        <v>160</v>
      </c>
      <c r="AW336" s="1" t="s">
        <v>160</v>
      </c>
      <c r="AX336" s="1" t="s">
        <v>160</v>
      </c>
      <c r="AY336" s="1" t="s">
        <v>159</v>
      </c>
      <c r="AZ336" s="1" t="s">
        <v>160</v>
      </c>
      <c r="BA336" s="1" t="s">
        <v>159</v>
      </c>
      <c r="BB336" s="1" t="s">
        <v>181</v>
      </c>
      <c r="BC336" s="1" t="s">
        <v>160</v>
      </c>
      <c r="BD336" s="1" t="s">
        <v>1535</v>
      </c>
      <c r="BE336" s="1" t="s">
        <v>1536</v>
      </c>
      <c r="BF336" s="1" t="s">
        <v>160</v>
      </c>
    </row>
    <row r="337" spans="1:58" ht="13" x14ac:dyDescent="0.15">
      <c r="A337" s="2">
        <v>44175.814583333333</v>
      </c>
      <c r="B337" s="2">
        <v>44175.816666666666</v>
      </c>
      <c r="C337" s="1" t="s">
        <v>39</v>
      </c>
      <c r="D337" s="1" t="s">
        <v>1537</v>
      </c>
      <c r="E337" s="1">
        <v>100</v>
      </c>
      <c r="F337" s="1">
        <v>148</v>
      </c>
      <c r="G337" s="1" t="b">
        <v>1</v>
      </c>
      <c r="H337" s="2">
        <v>44175.816666666666</v>
      </c>
      <c r="I337" s="1" t="s">
        <v>1538</v>
      </c>
      <c r="N337" s="1">
        <v>29.738800049999998</v>
      </c>
      <c r="O337" s="1">
        <v>-95.830902100000003</v>
      </c>
      <c r="P337" s="1" t="s">
        <v>153</v>
      </c>
      <c r="Q337" s="1" t="s">
        <v>154</v>
      </c>
      <c r="R337" s="1" t="s">
        <v>174</v>
      </c>
      <c r="S337" s="1" t="s">
        <v>208</v>
      </c>
      <c r="T337" s="1" t="s">
        <v>263</v>
      </c>
      <c r="U337" s="1" t="s">
        <v>716</v>
      </c>
      <c r="V337" s="1" t="s">
        <v>160</v>
      </c>
      <c r="W337" s="1" t="s">
        <v>160</v>
      </c>
      <c r="X337" s="1" t="s">
        <v>160</v>
      </c>
      <c r="Y337" s="1" t="s">
        <v>160</v>
      </c>
      <c r="Z337" s="1" t="s">
        <v>160</v>
      </c>
      <c r="AA337" s="1" t="s">
        <v>160</v>
      </c>
      <c r="AB337" s="1" t="s">
        <v>160</v>
      </c>
      <c r="AC337" s="1" t="s">
        <v>160</v>
      </c>
      <c r="AD337" s="1" t="s">
        <v>160</v>
      </c>
      <c r="AE337" s="1" t="s">
        <v>160</v>
      </c>
      <c r="AF337" s="1" t="s">
        <v>160</v>
      </c>
      <c r="AG337" s="1" t="s">
        <v>160</v>
      </c>
      <c r="AH337" s="1">
        <v>3</v>
      </c>
      <c r="AI337" s="1" t="s">
        <v>160</v>
      </c>
      <c r="AJ337" s="1" t="s">
        <v>192</v>
      </c>
      <c r="AK337" s="1" t="s">
        <v>163</v>
      </c>
      <c r="AL337" s="1" t="s">
        <v>163</v>
      </c>
      <c r="AM337" s="1" t="s">
        <v>192</v>
      </c>
      <c r="AN337" s="1" t="s">
        <v>163</v>
      </c>
      <c r="AO337" s="1" t="s">
        <v>165</v>
      </c>
      <c r="AP337" s="1" t="s">
        <v>165</v>
      </c>
      <c r="AQ337" s="1">
        <v>1997</v>
      </c>
      <c r="AR337" s="1" t="s">
        <v>160</v>
      </c>
      <c r="AS337" s="1" t="s">
        <v>160</v>
      </c>
      <c r="AT337" s="1" t="s">
        <v>180</v>
      </c>
      <c r="AU337" s="1" t="s">
        <v>159</v>
      </c>
      <c r="AV337" s="1" t="s">
        <v>159</v>
      </c>
      <c r="AW337" s="1" t="s">
        <v>159</v>
      </c>
      <c r="AX337" s="1" t="s">
        <v>160</v>
      </c>
      <c r="AY337" s="1" t="s">
        <v>159</v>
      </c>
      <c r="AZ337" s="1" t="s">
        <v>159</v>
      </c>
      <c r="BA337" s="1" t="s">
        <v>159</v>
      </c>
      <c r="BB337" s="1" t="s">
        <v>241</v>
      </c>
      <c r="BC337" s="1" t="s">
        <v>160</v>
      </c>
      <c r="BE337" s="1" t="s">
        <v>1539</v>
      </c>
      <c r="BF337" s="1" t="s">
        <v>159</v>
      </c>
    </row>
    <row r="338" spans="1:58" ht="13" x14ac:dyDescent="0.15">
      <c r="A338" s="2">
        <v>44175.816666666666</v>
      </c>
      <c r="B338" s="2">
        <v>44175.818055555559</v>
      </c>
      <c r="C338" s="1" t="s">
        <v>39</v>
      </c>
      <c r="D338" s="1" t="s">
        <v>234</v>
      </c>
      <c r="E338" s="1">
        <v>100</v>
      </c>
      <c r="F338" s="1">
        <v>120</v>
      </c>
      <c r="G338" s="1" t="b">
        <v>1</v>
      </c>
      <c r="H338" s="2">
        <v>44175.818055555559</v>
      </c>
      <c r="I338" s="1" t="s">
        <v>1540</v>
      </c>
      <c r="N338" s="1">
        <v>34.048492430000003</v>
      </c>
      <c r="O338" s="1">
        <v>-118.2528992</v>
      </c>
      <c r="P338" s="1" t="s">
        <v>153</v>
      </c>
      <c r="Q338" s="1" t="s">
        <v>154</v>
      </c>
      <c r="R338" s="1" t="s">
        <v>174</v>
      </c>
      <c r="S338" s="1" t="s">
        <v>274</v>
      </c>
      <c r="T338" s="1" t="s">
        <v>245</v>
      </c>
      <c r="U338" s="1" t="s">
        <v>1541</v>
      </c>
      <c r="V338" s="1" t="s">
        <v>160</v>
      </c>
      <c r="W338" s="1" t="s">
        <v>160</v>
      </c>
      <c r="X338" s="1" t="s">
        <v>160</v>
      </c>
      <c r="Y338" s="1" t="s">
        <v>160</v>
      </c>
      <c r="Z338" s="1" t="s">
        <v>160</v>
      </c>
      <c r="AA338" s="1" t="s">
        <v>160</v>
      </c>
      <c r="AB338" s="1" t="s">
        <v>160</v>
      </c>
      <c r="AC338" s="1" t="s">
        <v>160</v>
      </c>
      <c r="AD338" s="1" t="s">
        <v>160</v>
      </c>
      <c r="AE338" s="1" t="s">
        <v>160</v>
      </c>
      <c r="AF338" s="1" t="s">
        <v>160</v>
      </c>
      <c r="AG338" s="1" t="s">
        <v>160</v>
      </c>
      <c r="AI338" s="1" t="s">
        <v>160</v>
      </c>
      <c r="AJ338" s="1" t="s">
        <v>163</v>
      </c>
      <c r="AK338" s="1" t="s">
        <v>163</v>
      </c>
      <c r="AL338" s="1" t="s">
        <v>198</v>
      </c>
      <c r="AM338" s="1" t="s">
        <v>163</v>
      </c>
      <c r="AN338" s="1" t="s">
        <v>163</v>
      </c>
      <c r="AO338" s="1" t="s">
        <v>179</v>
      </c>
      <c r="AP338" s="1" t="s">
        <v>165</v>
      </c>
      <c r="AR338" s="1" t="s">
        <v>160</v>
      </c>
      <c r="AS338" s="1" t="s">
        <v>160</v>
      </c>
      <c r="AT338" s="1" t="s">
        <v>1542</v>
      </c>
      <c r="AU338" s="1" t="s">
        <v>159</v>
      </c>
      <c r="AV338" s="1" t="s">
        <v>159</v>
      </c>
      <c r="AW338" s="1" t="s">
        <v>160</v>
      </c>
      <c r="AX338" s="1" t="s">
        <v>159</v>
      </c>
      <c r="AY338" s="1" t="s">
        <v>159</v>
      </c>
      <c r="AZ338" s="1" t="s">
        <v>159</v>
      </c>
      <c r="BA338" s="1" t="s">
        <v>160</v>
      </c>
      <c r="BB338" s="1" t="s">
        <v>167</v>
      </c>
      <c r="BC338" s="1" t="s">
        <v>160</v>
      </c>
      <c r="BD338" s="1" t="s">
        <v>1543</v>
      </c>
      <c r="BE338" s="1" t="s">
        <v>1544</v>
      </c>
      <c r="BF338" s="1" t="s">
        <v>160</v>
      </c>
    </row>
    <row r="339" spans="1:58" ht="13" x14ac:dyDescent="0.15">
      <c r="A339" s="2">
        <v>44175.818055555559</v>
      </c>
      <c r="B339" s="2">
        <v>44175.819444444445</v>
      </c>
      <c r="C339" s="1" t="s">
        <v>39</v>
      </c>
      <c r="D339" s="1" t="s">
        <v>234</v>
      </c>
      <c r="E339" s="1">
        <v>100</v>
      </c>
      <c r="F339" s="1">
        <v>120</v>
      </c>
      <c r="G339" s="1" t="b">
        <v>1</v>
      </c>
      <c r="H339" s="2">
        <v>44175.819444444445</v>
      </c>
      <c r="I339" s="1" t="s">
        <v>1545</v>
      </c>
      <c r="N339" s="1">
        <v>34.048492430000003</v>
      </c>
      <c r="O339" s="1">
        <v>-118.2528992</v>
      </c>
      <c r="P339" s="1" t="s">
        <v>153</v>
      </c>
      <c r="Q339" s="1" t="s">
        <v>154</v>
      </c>
      <c r="R339" s="1" t="s">
        <v>174</v>
      </c>
      <c r="S339" s="1" t="s">
        <v>274</v>
      </c>
      <c r="T339" s="1" t="s">
        <v>237</v>
      </c>
      <c r="U339" s="1" t="s">
        <v>1546</v>
      </c>
      <c r="V339" s="1" t="s">
        <v>160</v>
      </c>
      <c r="W339" s="1" t="s">
        <v>160</v>
      </c>
      <c r="X339" s="1" t="s">
        <v>160</v>
      </c>
      <c r="Y339" s="1" t="s">
        <v>160</v>
      </c>
      <c r="Z339" s="1" t="s">
        <v>160</v>
      </c>
      <c r="AA339" s="1" t="s">
        <v>160</v>
      </c>
      <c r="AB339" s="1" t="s">
        <v>160</v>
      </c>
      <c r="AC339" s="1" t="s">
        <v>160</v>
      </c>
      <c r="AD339" s="1" t="s">
        <v>160</v>
      </c>
      <c r="AE339" s="1" t="s">
        <v>160</v>
      </c>
      <c r="AF339" s="1" t="s">
        <v>160</v>
      </c>
      <c r="AG339" s="1" t="s">
        <v>160</v>
      </c>
      <c r="AI339" s="1" t="s">
        <v>160</v>
      </c>
      <c r="AJ339" s="1" t="s">
        <v>198</v>
      </c>
      <c r="AK339" s="1" t="s">
        <v>192</v>
      </c>
      <c r="AL339" s="1" t="s">
        <v>198</v>
      </c>
      <c r="AM339" s="1" t="s">
        <v>163</v>
      </c>
      <c r="AN339" s="1" t="s">
        <v>192</v>
      </c>
      <c r="AO339" s="1" t="s">
        <v>179</v>
      </c>
      <c r="AP339" s="1" t="s">
        <v>239</v>
      </c>
      <c r="AR339" s="1" t="s">
        <v>160</v>
      </c>
      <c r="AS339" s="1" t="s">
        <v>160</v>
      </c>
      <c r="AT339" s="1" t="s">
        <v>1547</v>
      </c>
      <c r="AU339" s="1" t="s">
        <v>159</v>
      </c>
      <c r="AV339" s="1" t="s">
        <v>160</v>
      </c>
      <c r="AW339" s="1" t="s">
        <v>160</v>
      </c>
      <c r="AX339" s="1" t="s">
        <v>160</v>
      </c>
      <c r="AY339" s="1" t="s">
        <v>159</v>
      </c>
      <c r="AZ339" s="1" t="s">
        <v>159</v>
      </c>
      <c r="BA339" s="1" t="s">
        <v>160</v>
      </c>
      <c r="BB339" s="1" t="s">
        <v>222</v>
      </c>
      <c r="BC339" s="1" t="s">
        <v>160</v>
      </c>
      <c r="BD339" s="1" t="s">
        <v>1548</v>
      </c>
      <c r="BE339" s="1" t="s">
        <v>1549</v>
      </c>
      <c r="BF339" s="1" t="s">
        <v>160</v>
      </c>
    </row>
    <row r="340" spans="1:58" ht="13" x14ac:dyDescent="0.15">
      <c r="A340" s="2">
        <v>44175.818749999999</v>
      </c>
      <c r="B340" s="2">
        <v>44175.820138888892</v>
      </c>
      <c r="C340" s="1" t="s">
        <v>39</v>
      </c>
      <c r="D340" s="1" t="s">
        <v>1550</v>
      </c>
      <c r="E340" s="1">
        <v>100</v>
      </c>
      <c r="F340" s="1">
        <v>130</v>
      </c>
      <c r="G340" s="1" t="b">
        <v>1</v>
      </c>
      <c r="H340" s="2">
        <v>44175.820138888892</v>
      </c>
      <c r="I340" s="1" t="s">
        <v>1551</v>
      </c>
      <c r="N340" s="1">
        <v>38.615707399999998</v>
      </c>
      <c r="O340" s="1">
        <v>-121.5052948</v>
      </c>
      <c r="P340" s="1" t="s">
        <v>305</v>
      </c>
      <c r="Q340" s="1" t="s">
        <v>154</v>
      </c>
      <c r="R340" s="1" t="s">
        <v>174</v>
      </c>
      <c r="S340" s="1" t="s">
        <v>274</v>
      </c>
      <c r="T340" s="1" t="s">
        <v>263</v>
      </c>
      <c r="U340" s="1" t="s">
        <v>1171</v>
      </c>
      <c r="V340" s="1" t="s">
        <v>160</v>
      </c>
      <c r="W340" s="1" t="s">
        <v>160</v>
      </c>
      <c r="X340" s="1" t="s">
        <v>160</v>
      </c>
      <c r="Y340" s="1" t="s">
        <v>160</v>
      </c>
      <c r="Z340" s="1" t="s">
        <v>160</v>
      </c>
      <c r="AA340" s="1" t="s">
        <v>160</v>
      </c>
      <c r="AB340" s="1" t="s">
        <v>159</v>
      </c>
      <c r="AC340" s="1" t="s">
        <v>160</v>
      </c>
      <c r="AD340" s="1" t="s">
        <v>160</v>
      </c>
      <c r="AE340" s="1" t="s">
        <v>160</v>
      </c>
      <c r="AF340" s="1" t="s">
        <v>159</v>
      </c>
      <c r="AG340" s="1" t="s">
        <v>160</v>
      </c>
      <c r="AH340" s="1">
        <v>2</v>
      </c>
      <c r="AI340" s="1" t="s">
        <v>160</v>
      </c>
      <c r="AJ340" s="1" t="s">
        <v>192</v>
      </c>
      <c r="AK340" s="1" t="s">
        <v>164</v>
      </c>
      <c r="AL340" s="1" t="s">
        <v>192</v>
      </c>
      <c r="AM340" s="1" t="s">
        <v>192</v>
      </c>
      <c r="AN340" s="1" t="s">
        <v>163</v>
      </c>
      <c r="AO340" s="1" t="s">
        <v>179</v>
      </c>
      <c r="AP340" s="1" t="s">
        <v>165</v>
      </c>
      <c r="AQ340" s="1">
        <v>1999</v>
      </c>
      <c r="AR340" s="1" t="s">
        <v>160</v>
      </c>
      <c r="AS340" s="1" t="s">
        <v>160</v>
      </c>
      <c r="AT340" s="1" t="s">
        <v>180</v>
      </c>
      <c r="AU340" s="1" t="s">
        <v>160</v>
      </c>
      <c r="AV340" s="1" t="s">
        <v>159</v>
      </c>
      <c r="AW340" s="1" t="s">
        <v>160</v>
      </c>
      <c r="AX340" s="1" t="s">
        <v>159</v>
      </c>
      <c r="AY340" s="1" t="s">
        <v>160</v>
      </c>
      <c r="AZ340" s="1" t="s">
        <v>159</v>
      </c>
      <c r="BA340" s="1" t="s">
        <v>159</v>
      </c>
      <c r="BB340" s="1" t="s">
        <v>181</v>
      </c>
      <c r="BC340" s="1" t="s">
        <v>160</v>
      </c>
      <c r="BE340" s="1" t="s">
        <v>1552</v>
      </c>
      <c r="BF340" s="1" t="s">
        <v>159</v>
      </c>
    </row>
    <row r="341" spans="1:58" ht="13" x14ac:dyDescent="0.15">
      <c r="A341" s="2">
        <v>44175.820138888892</v>
      </c>
      <c r="B341" s="2">
        <v>44175.821527777778</v>
      </c>
      <c r="C341" s="1" t="s">
        <v>39</v>
      </c>
      <c r="D341" s="1" t="s">
        <v>234</v>
      </c>
      <c r="E341" s="1">
        <v>100</v>
      </c>
      <c r="F341" s="1">
        <v>117</v>
      </c>
      <c r="G341" s="1" t="b">
        <v>1</v>
      </c>
      <c r="H341" s="2">
        <v>44175.821527777778</v>
      </c>
      <c r="I341" s="1" t="s">
        <v>1553</v>
      </c>
      <c r="N341" s="1">
        <v>34.048492430000003</v>
      </c>
      <c r="O341" s="1">
        <v>-118.2528992</v>
      </c>
      <c r="P341" s="1" t="s">
        <v>153</v>
      </c>
      <c r="Q341" s="1" t="s">
        <v>154</v>
      </c>
      <c r="R341" s="1" t="s">
        <v>236</v>
      </c>
      <c r="S341" s="1" t="s">
        <v>175</v>
      </c>
      <c r="T341" s="1" t="s">
        <v>157</v>
      </c>
      <c r="U341" s="1" t="s">
        <v>1554</v>
      </c>
      <c r="V341" s="1" t="s">
        <v>160</v>
      </c>
      <c r="W341" s="1" t="s">
        <v>160</v>
      </c>
      <c r="X341" s="1" t="s">
        <v>160</v>
      </c>
      <c r="Y341" s="1" t="s">
        <v>160</v>
      </c>
      <c r="Z341" s="1" t="s">
        <v>160</v>
      </c>
      <c r="AA341" s="1" t="s">
        <v>160</v>
      </c>
      <c r="AB341" s="1" t="s">
        <v>160</v>
      </c>
      <c r="AC341" s="1" t="s">
        <v>160</v>
      </c>
      <c r="AD341" s="1" t="s">
        <v>160</v>
      </c>
      <c r="AE341" s="1" t="s">
        <v>160</v>
      </c>
      <c r="AF341" s="1" t="s">
        <v>160</v>
      </c>
      <c r="AG341" s="1" t="s">
        <v>160</v>
      </c>
      <c r="AI341" s="1" t="s">
        <v>160</v>
      </c>
      <c r="AJ341" s="1" t="s">
        <v>163</v>
      </c>
      <c r="AK341" s="1" t="s">
        <v>198</v>
      </c>
      <c r="AL341" s="1" t="s">
        <v>198</v>
      </c>
      <c r="AM341" s="1" t="s">
        <v>164</v>
      </c>
      <c r="AN341" s="1" t="s">
        <v>164</v>
      </c>
      <c r="AO341" s="1" t="s">
        <v>179</v>
      </c>
      <c r="AP341" s="1" t="s">
        <v>179</v>
      </c>
      <c r="AR341" s="1" t="s">
        <v>160</v>
      </c>
      <c r="AS341" s="1" t="s">
        <v>160</v>
      </c>
      <c r="AT341" s="1" t="s">
        <v>1399</v>
      </c>
      <c r="AU341" s="1" t="s">
        <v>159</v>
      </c>
      <c r="AV341" s="1" t="s">
        <v>160</v>
      </c>
      <c r="AW341" s="1" t="s">
        <v>159</v>
      </c>
      <c r="AX341" s="1" t="s">
        <v>159</v>
      </c>
      <c r="AY341" s="1" t="s">
        <v>160</v>
      </c>
      <c r="AZ341" s="1" t="s">
        <v>159</v>
      </c>
      <c r="BA341" s="1" t="s">
        <v>159</v>
      </c>
      <c r="BB341" s="1" t="s">
        <v>241</v>
      </c>
      <c r="BC341" s="1" t="s">
        <v>160</v>
      </c>
      <c r="BD341" s="1" t="s">
        <v>1555</v>
      </c>
      <c r="BE341" s="1" t="s">
        <v>1556</v>
      </c>
      <c r="BF341" s="1" t="s">
        <v>160</v>
      </c>
    </row>
    <row r="342" spans="1:58" ht="13" x14ac:dyDescent="0.15">
      <c r="A342" s="2">
        <v>44175.819444444445</v>
      </c>
      <c r="B342" s="2">
        <v>44175.822222222225</v>
      </c>
      <c r="C342" s="1" t="s">
        <v>39</v>
      </c>
      <c r="D342" s="1" t="s">
        <v>1557</v>
      </c>
      <c r="E342" s="1">
        <v>100</v>
      </c>
      <c r="F342" s="1">
        <v>289</v>
      </c>
      <c r="G342" s="1" t="b">
        <v>1</v>
      </c>
      <c r="H342" s="2">
        <v>44175.822222222225</v>
      </c>
      <c r="I342" s="1" t="s">
        <v>1558</v>
      </c>
      <c r="N342" s="1">
        <v>32.783599850000002</v>
      </c>
      <c r="O342" s="1">
        <v>-96.867401119999997</v>
      </c>
      <c r="P342" s="1" t="s">
        <v>153</v>
      </c>
      <c r="Q342" s="1" t="s">
        <v>154</v>
      </c>
      <c r="R342" s="1" t="s">
        <v>174</v>
      </c>
      <c r="S342" s="1" t="s">
        <v>208</v>
      </c>
      <c r="T342" s="1" t="s">
        <v>176</v>
      </c>
      <c r="U342" s="1" t="s">
        <v>418</v>
      </c>
      <c r="V342" s="1" t="s">
        <v>160</v>
      </c>
      <c r="W342" s="1" t="s">
        <v>160</v>
      </c>
      <c r="X342" s="1" t="s">
        <v>160</v>
      </c>
      <c r="Y342" s="1" t="s">
        <v>160</v>
      </c>
      <c r="Z342" s="1" t="s">
        <v>160</v>
      </c>
      <c r="AA342" s="1" t="s">
        <v>160</v>
      </c>
      <c r="AB342" s="1" t="s">
        <v>160</v>
      </c>
      <c r="AC342" s="1" t="s">
        <v>160</v>
      </c>
      <c r="AD342" s="1" t="s">
        <v>160</v>
      </c>
      <c r="AE342" s="1" t="s">
        <v>160</v>
      </c>
      <c r="AF342" s="1" t="s">
        <v>160</v>
      </c>
      <c r="AG342" s="1" t="s">
        <v>160</v>
      </c>
      <c r="AH342" s="1">
        <v>3</v>
      </c>
      <c r="AI342" s="1" t="s">
        <v>160</v>
      </c>
      <c r="AJ342" s="1" t="s">
        <v>163</v>
      </c>
      <c r="AK342" s="1" t="s">
        <v>163</v>
      </c>
      <c r="AL342" s="1" t="s">
        <v>162</v>
      </c>
      <c r="AM342" s="1" t="s">
        <v>163</v>
      </c>
      <c r="AN342" s="1" t="s">
        <v>192</v>
      </c>
      <c r="AO342" s="1" t="s">
        <v>165</v>
      </c>
      <c r="AP342" s="1" t="s">
        <v>165</v>
      </c>
      <c r="AQ342" s="1">
        <v>1997</v>
      </c>
      <c r="AR342" s="1" t="s">
        <v>160</v>
      </c>
      <c r="AS342" s="1" t="s">
        <v>160</v>
      </c>
      <c r="AT342" s="1" t="s">
        <v>180</v>
      </c>
      <c r="AU342" s="1" t="s">
        <v>159</v>
      </c>
      <c r="AV342" s="1" t="s">
        <v>159</v>
      </c>
      <c r="AW342" s="1" t="s">
        <v>159</v>
      </c>
      <c r="AX342" s="1" t="s">
        <v>159</v>
      </c>
      <c r="AY342" s="1" t="s">
        <v>159</v>
      </c>
      <c r="AZ342" s="1" t="s">
        <v>159</v>
      </c>
      <c r="BA342" s="1" t="s">
        <v>159</v>
      </c>
      <c r="BB342" s="1" t="s">
        <v>167</v>
      </c>
      <c r="BC342" s="1" t="s">
        <v>160</v>
      </c>
      <c r="BE342" s="1" t="s">
        <v>1559</v>
      </c>
      <c r="BF342" s="1" t="s">
        <v>159</v>
      </c>
    </row>
    <row r="343" spans="1:58" ht="13" x14ac:dyDescent="0.15">
      <c r="A343" s="2">
        <v>44175.821527777778</v>
      </c>
      <c r="B343" s="2">
        <v>44175.822916666664</v>
      </c>
      <c r="C343" s="1" t="s">
        <v>39</v>
      </c>
      <c r="D343" s="1" t="s">
        <v>234</v>
      </c>
      <c r="E343" s="1">
        <v>100</v>
      </c>
      <c r="F343" s="1">
        <v>120</v>
      </c>
      <c r="G343" s="1" t="b">
        <v>1</v>
      </c>
      <c r="H343" s="2">
        <v>44175.822916666664</v>
      </c>
      <c r="I343" s="1" t="s">
        <v>1560</v>
      </c>
      <c r="N343" s="1">
        <v>34.048492430000003</v>
      </c>
      <c r="O343" s="1">
        <v>-118.2528992</v>
      </c>
      <c r="P343" s="1" t="s">
        <v>153</v>
      </c>
      <c r="Q343" s="1" t="s">
        <v>154</v>
      </c>
      <c r="R343" s="1" t="s">
        <v>174</v>
      </c>
      <c r="S343" s="1" t="s">
        <v>310</v>
      </c>
      <c r="T343" s="1" t="s">
        <v>245</v>
      </c>
      <c r="U343" s="1" t="s">
        <v>1139</v>
      </c>
      <c r="V343" s="1" t="s">
        <v>160</v>
      </c>
      <c r="W343" s="1" t="s">
        <v>160</v>
      </c>
      <c r="X343" s="1" t="s">
        <v>160</v>
      </c>
      <c r="Y343" s="1" t="s">
        <v>160</v>
      </c>
      <c r="Z343" s="1" t="s">
        <v>160</v>
      </c>
      <c r="AA343" s="1" t="s">
        <v>160</v>
      </c>
      <c r="AB343" s="1" t="s">
        <v>160</v>
      </c>
      <c r="AC343" s="1" t="s">
        <v>160</v>
      </c>
      <c r="AD343" s="1" t="s">
        <v>160</v>
      </c>
      <c r="AE343" s="1" t="s">
        <v>160</v>
      </c>
      <c r="AF343" s="1" t="s">
        <v>160</v>
      </c>
      <c r="AG343" s="1" t="s">
        <v>160</v>
      </c>
      <c r="AI343" s="1" t="s">
        <v>160</v>
      </c>
      <c r="AJ343" s="1" t="s">
        <v>163</v>
      </c>
      <c r="AK343" s="1" t="s">
        <v>192</v>
      </c>
      <c r="AL343" s="1" t="s">
        <v>192</v>
      </c>
      <c r="AM343" s="1" t="s">
        <v>198</v>
      </c>
      <c r="AN343" s="1" t="s">
        <v>164</v>
      </c>
      <c r="AO343" s="1" t="s">
        <v>179</v>
      </c>
      <c r="AP343" s="1" t="s">
        <v>239</v>
      </c>
      <c r="AR343" s="1" t="s">
        <v>160</v>
      </c>
      <c r="AS343" s="1" t="s">
        <v>160</v>
      </c>
      <c r="AT343" s="1" t="s">
        <v>1561</v>
      </c>
      <c r="AU343" s="1" t="s">
        <v>159</v>
      </c>
      <c r="AV343" s="1" t="s">
        <v>159</v>
      </c>
      <c r="AW343" s="1" t="s">
        <v>160</v>
      </c>
      <c r="AX343" s="1" t="s">
        <v>160</v>
      </c>
      <c r="AY343" s="1" t="s">
        <v>159</v>
      </c>
      <c r="AZ343" s="1" t="s">
        <v>159</v>
      </c>
      <c r="BA343" s="1" t="s">
        <v>160</v>
      </c>
      <c r="BB343" s="1" t="s">
        <v>181</v>
      </c>
      <c r="BC343" s="1" t="s">
        <v>160</v>
      </c>
      <c r="BD343" s="1" t="s">
        <v>1562</v>
      </c>
      <c r="BE343" s="1" t="s">
        <v>1563</v>
      </c>
      <c r="BF343" s="1" t="s">
        <v>160</v>
      </c>
    </row>
    <row r="344" spans="1:58" ht="13" x14ac:dyDescent="0.15">
      <c r="A344" s="2">
        <v>44175.822916666664</v>
      </c>
      <c r="B344" s="2">
        <v>44175.824305555558</v>
      </c>
      <c r="C344" s="1" t="s">
        <v>39</v>
      </c>
      <c r="D344" s="1" t="s">
        <v>1564</v>
      </c>
      <c r="E344" s="1">
        <v>100</v>
      </c>
      <c r="F344" s="1">
        <v>105</v>
      </c>
      <c r="G344" s="1" t="b">
        <v>1</v>
      </c>
      <c r="H344" s="2">
        <v>44175.824305555558</v>
      </c>
      <c r="I344" s="1" t="s">
        <v>1565</v>
      </c>
      <c r="N344" s="1">
        <v>42.520095830000002</v>
      </c>
      <c r="O344" s="1">
        <v>-88.138702390000006</v>
      </c>
      <c r="P344" s="1" t="s">
        <v>153</v>
      </c>
      <c r="Q344" s="1" t="s">
        <v>154</v>
      </c>
      <c r="R344" s="1" t="s">
        <v>174</v>
      </c>
      <c r="S344" s="1" t="s">
        <v>208</v>
      </c>
      <c r="T344" s="1" t="s">
        <v>176</v>
      </c>
      <c r="U344" s="1" t="s">
        <v>570</v>
      </c>
      <c r="V344" s="1" t="s">
        <v>160</v>
      </c>
      <c r="W344" s="1" t="s">
        <v>160</v>
      </c>
      <c r="X344" s="1" t="s">
        <v>160</v>
      </c>
      <c r="Y344" s="1" t="s">
        <v>160</v>
      </c>
      <c r="Z344" s="1" t="s">
        <v>160</v>
      </c>
      <c r="AA344" s="1" t="s">
        <v>160</v>
      </c>
      <c r="AB344" s="1" t="s">
        <v>160</v>
      </c>
      <c r="AC344" s="1" t="s">
        <v>160</v>
      </c>
      <c r="AD344" s="1" t="s">
        <v>160</v>
      </c>
      <c r="AE344" s="1" t="s">
        <v>160</v>
      </c>
      <c r="AF344" s="1" t="s">
        <v>160</v>
      </c>
      <c r="AG344" s="1" t="s">
        <v>160</v>
      </c>
      <c r="AI344" s="1" t="s">
        <v>160</v>
      </c>
      <c r="AJ344" s="1" t="s">
        <v>163</v>
      </c>
      <c r="AK344" s="1" t="s">
        <v>163</v>
      </c>
      <c r="AL344" s="1" t="s">
        <v>162</v>
      </c>
      <c r="AM344" s="1" t="s">
        <v>163</v>
      </c>
      <c r="AN344" s="1" t="s">
        <v>163</v>
      </c>
      <c r="AO344" s="1" t="s">
        <v>179</v>
      </c>
      <c r="AP344" s="1" t="s">
        <v>179</v>
      </c>
      <c r="AQ344" s="1">
        <v>1997</v>
      </c>
      <c r="AR344" s="1" t="s">
        <v>160</v>
      </c>
      <c r="AS344" s="1" t="s">
        <v>160</v>
      </c>
      <c r="AT344" s="1" t="s">
        <v>180</v>
      </c>
      <c r="AU344" s="1" t="s">
        <v>159</v>
      </c>
      <c r="AV344" s="1" t="s">
        <v>159</v>
      </c>
      <c r="AW344" s="1" t="s">
        <v>159</v>
      </c>
      <c r="AX344" s="1" t="s">
        <v>159</v>
      </c>
      <c r="AY344" s="1" t="s">
        <v>159</v>
      </c>
      <c r="AZ344" s="1" t="s">
        <v>159</v>
      </c>
      <c r="BA344" s="1" t="s">
        <v>159</v>
      </c>
      <c r="BB344" s="1" t="s">
        <v>181</v>
      </c>
      <c r="BC344" s="1" t="s">
        <v>160</v>
      </c>
      <c r="BE344" s="1" t="s">
        <v>1566</v>
      </c>
      <c r="BF344" s="1" t="s">
        <v>159</v>
      </c>
    </row>
    <row r="345" spans="1:58" ht="13" x14ac:dyDescent="0.15">
      <c r="A345" s="2">
        <v>44175.823611111111</v>
      </c>
      <c r="B345" s="2">
        <v>44175.824999999997</v>
      </c>
      <c r="C345" s="1" t="s">
        <v>39</v>
      </c>
      <c r="D345" s="1" t="s">
        <v>234</v>
      </c>
      <c r="E345" s="1">
        <v>100</v>
      </c>
      <c r="F345" s="1">
        <v>120</v>
      </c>
      <c r="G345" s="1" t="b">
        <v>1</v>
      </c>
      <c r="H345" s="2">
        <v>44175.824999999997</v>
      </c>
      <c r="I345" s="1" t="s">
        <v>1567</v>
      </c>
      <c r="N345" s="1">
        <v>34.048492430000003</v>
      </c>
      <c r="O345" s="1">
        <v>-118.2528992</v>
      </c>
      <c r="P345" s="1" t="s">
        <v>153</v>
      </c>
      <c r="Q345" s="1" t="s">
        <v>154</v>
      </c>
      <c r="R345" s="1" t="s">
        <v>155</v>
      </c>
      <c r="S345" s="1" t="s">
        <v>208</v>
      </c>
      <c r="T345" s="1" t="s">
        <v>263</v>
      </c>
      <c r="U345" s="1" t="s">
        <v>1246</v>
      </c>
      <c r="V345" s="1" t="s">
        <v>160</v>
      </c>
      <c r="W345" s="1" t="s">
        <v>160</v>
      </c>
      <c r="X345" s="1" t="s">
        <v>160</v>
      </c>
      <c r="Y345" s="1" t="s">
        <v>160</v>
      </c>
      <c r="Z345" s="1" t="s">
        <v>160</v>
      </c>
      <c r="AA345" s="1" t="s">
        <v>160</v>
      </c>
      <c r="AB345" s="1" t="s">
        <v>160</v>
      </c>
      <c r="AC345" s="1" t="s">
        <v>160</v>
      </c>
      <c r="AD345" s="1" t="s">
        <v>160</v>
      </c>
      <c r="AE345" s="1" t="s">
        <v>160</v>
      </c>
      <c r="AF345" s="1" t="s">
        <v>160</v>
      </c>
      <c r="AG345" s="1" t="s">
        <v>160</v>
      </c>
      <c r="AI345" s="1" t="s">
        <v>160</v>
      </c>
      <c r="AJ345" s="1" t="s">
        <v>163</v>
      </c>
      <c r="AK345" s="1" t="s">
        <v>192</v>
      </c>
      <c r="AL345" s="1" t="s">
        <v>198</v>
      </c>
      <c r="AM345" s="1" t="s">
        <v>192</v>
      </c>
      <c r="AN345" s="1" t="s">
        <v>164</v>
      </c>
      <c r="AO345" s="1" t="s">
        <v>179</v>
      </c>
      <c r="AP345" s="1" t="s">
        <v>179</v>
      </c>
      <c r="AR345" s="1" t="s">
        <v>160</v>
      </c>
      <c r="AS345" s="1" t="s">
        <v>160</v>
      </c>
      <c r="AT345" s="1" t="s">
        <v>1416</v>
      </c>
      <c r="AU345" s="1" t="s">
        <v>159</v>
      </c>
      <c r="AV345" s="1" t="s">
        <v>160</v>
      </c>
      <c r="AW345" s="1" t="s">
        <v>159</v>
      </c>
      <c r="AX345" s="1" t="s">
        <v>159</v>
      </c>
      <c r="AY345" s="1" t="s">
        <v>159</v>
      </c>
      <c r="AZ345" s="1" t="s">
        <v>159</v>
      </c>
      <c r="BA345" s="1" t="s">
        <v>160</v>
      </c>
      <c r="BB345" s="1" t="s">
        <v>181</v>
      </c>
      <c r="BC345" s="1" t="s">
        <v>160</v>
      </c>
      <c r="BD345" s="1" t="s">
        <v>1568</v>
      </c>
      <c r="BE345" s="1" t="s">
        <v>1569</v>
      </c>
      <c r="BF345" s="1" t="s">
        <v>160</v>
      </c>
    </row>
    <row r="346" spans="1:58" ht="13" x14ac:dyDescent="0.15">
      <c r="A346" s="2">
        <v>44175.824999999997</v>
      </c>
      <c r="B346" s="2">
        <v>44175.826388888891</v>
      </c>
      <c r="C346" s="1" t="s">
        <v>39</v>
      </c>
      <c r="D346" s="1" t="s">
        <v>234</v>
      </c>
      <c r="E346" s="1">
        <v>100</v>
      </c>
      <c r="F346" s="1">
        <v>119</v>
      </c>
      <c r="G346" s="1" t="b">
        <v>1</v>
      </c>
      <c r="H346" s="2">
        <v>44175.826388888891</v>
      </c>
      <c r="I346" s="1" t="s">
        <v>1570</v>
      </c>
      <c r="N346" s="1">
        <v>34.048492430000003</v>
      </c>
      <c r="O346" s="1">
        <v>-118.2528992</v>
      </c>
      <c r="P346" s="1" t="s">
        <v>153</v>
      </c>
      <c r="Q346" s="1" t="s">
        <v>154</v>
      </c>
      <c r="R346" s="1" t="s">
        <v>155</v>
      </c>
      <c r="S346" s="1" t="s">
        <v>226</v>
      </c>
      <c r="T346" s="1" t="s">
        <v>245</v>
      </c>
      <c r="U346" s="1" t="s">
        <v>1571</v>
      </c>
      <c r="V346" s="1" t="s">
        <v>160</v>
      </c>
      <c r="W346" s="1" t="s">
        <v>160</v>
      </c>
      <c r="X346" s="1" t="s">
        <v>160</v>
      </c>
      <c r="Y346" s="1" t="s">
        <v>160</v>
      </c>
      <c r="Z346" s="1" t="s">
        <v>160</v>
      </c>
      <c r="AA346" s="1" t="s">
        <v>160</v>
      </c>
      <c r="AB346" s="1" t="s">
        <v>160</v>
      </c>
      <c r="AC346" s="1" t="s">
        <v>160</v>
      </c>
      <c r="AD346" s="1" t="s">
        <v>160</v>
      </c>
      <c r="AE346" s="1" t="s">
        <v>160</v>
      </c>
      <c r="AF346" s="1" t="s">
        <v>160</v>
      </c>
      <c r="AG346" s="1" t="s">
        <v>160</v>
      </c>
      <c r="AI346" s="1" t="s">
        <v>160</v>
      </c>
      <c r="AJ346" s="1" t="s">
        <v>198</v>
      </c>
      <c r="AK346" s="1" t="s">
        <v>163</v>
      </c>
      <c r="AL346" s="1" t="s">
        <v>198</v>
      </c>
      <c r="AM346" s="1" t="s">
        <v>192</v>
      </c>
      <c r="AN346" s="1" t="s">
        <v>163</v>
      </c>
      <c r="AO346" s="1" t="s">
        <v>179</v>
      </c>
      <c r="AP346" s="1" t="s">
        <v>179</v>
      </c>
      <c r="AR346" s="1" t="s">
        <v>160</v>
      </c>
      <c r="AS346" s="1" t="s">
        <v>160</v>
      </c>
      <c r="AT346" s="1" t="s">
        <v>1572</v>
      </c>
      <c r="AU346" s="1" t="s">
        <v>159</v>
      </c>
      <c r="AV346" s="1" t="s">
        <v>160</v>
      </c>
      <c r="AW346" s="1" t="s">
        <v>160</v>
      </c>
      <c r="AX346" s="1" t="s">
        <v>159</v>
      </c>
      <c r="AY346" s="1" t="s">
        <v>160</v>
      </c>
      <c r="AZ346" s="1" t="s">
        <v>159</v>
      </c>
      <c r="BA346" s="1" t="s">
        <v>159</v>
      </c>
      <c r="BB346" s="1" t="s">
        <v>222</v>
      </c>
      <c r="BC346" s="1" t="s">
        <v>160</v>
      </c>
      <c r="BD346" s="1" t="s">
        <v>1573</v>
      </c>
      <c r="BE346" s="1" t="s">
        <v>1574</v>
      </c>
      <c r="BF346" s="1" t="s">
        <v>160</v>
      </c>
    </row>
    <row r="347" spans="1:58" ht="13" x14ac:dyDescent="0.15">
      <c r="A347" s="2">
        <v>44175.826388888891</v>
      </c>
      <c r="B347" s="2">
        <v>44175.827777777777</v>
      </c>
      <c r="C347" s="1" t="s">
        <v>39</v>
      </c>
      <c r="D347" s="1" t="s">
        <v>234</v>
      </c>
      <c r="E347" s="1">
        <v>100</v>
      </c>
      <c r="F347" s="1">
        <v>121</v>
      </c>
      <c r="G347" s="1" t="b">
        <v>1</v>
      </c>
      <c r="H347" s="2">
        <v>44175.827777777777</v>
      </c>
      <c r="I347" s="1" t="s">
        <v>1575</v>
      </c>
      <c r="N347" s="1">
        <v>34.048492430000003</v>
      </c>
      <c r="O347" s="1">
        <v>-118.2528992</v>
      </c>
      <c r="P347" s="1" t="s">
        <v>153</v>
      </c>
      <c r="Q347" s="1" t="s">
        <v>154</v>
      </c>
      <c r="R347" s="1" t="s">
        <v>155</v>
      </c>
      <c r="S347" s="1" t="s">
        <v>310</v>
      </c>
      <c r="T347" s="1" t="s">
        <v>157</v>
      </c>
      <c r="U347" s="1" t="s">
        <v>716</v>
      </c>
      <c r="V347" s="1" t="s">
        <v>160</v>
      </c>
      <c r="W347" s="1" t="s">
        <v>160</v>
      </c>
      <c r="X347" s="1" t="s">
        <v>160</v>
      </c>
      <c r="Y347" s="1" t="s">
        <v>160</v>
      </c>
      <c r="Z347" s="1" t="s">
        <v>160</v>
      </c>
      <c r="AA347" s="1" t="s">
        <v>160</v>
      </c>
      <c r="AB347" s="1" t="s">
        <v>160</v>
      </c>
      <c r="AC347" s="1" t="s">
        <v>160</v>
      </c>
      <c r="AD347" s="1" t="s">
        <v>160</v>
      </c>
      <c r="AE347" s="1" t="s">
        <v>160</v>
      </c>
      <c r="AF347" s="1" t="s">
        <v>160</v>
      </c>
      <c r="AG347" s="1" t="s">
        <v>160</v>
      </c>
      <c r="AI347" s="1" t="s">
        <v>160</v>
      </c>
      <c r="AJ347" s="1" t="s">
        <v>163</v>
      </c>
      <c r="AK347" s="1" t="s">
        <v>164</v>
      </c>
      <c r="AL347" s="1" t="s">
        <v>164</v>
      </c>
      <c r="AM347" s="1" t="s">
        <v>164</v>
      </c>
      <c r="AN347" s="1" t="s">
        <v>198</v>
      </c>
      <c r="AO347" s="1" t="s">
        <v>179</v>
      </c>
      <c r="AP347" s="1" t="s">
        <v>239</v>
      </c>
      <c r="AR347" s="1" t="s">
        <v>160</v>
      </c>
      <c r="AS347" s="1" t="s">
        <v>160</v>
      </c>
      <c r="AT347" s="1" t="s">
        <v>203</v>
      </c>
      <c r="AU347" s="1" t="s">
        <v>160</v>
      </c>
      <c r="AV347" s="1" t="s">
        <v>159</v>
      </c>
      <c r="AW347" s="1" t="s">
        <v>159</v>
      </c>
      <c r="AX347" s="1" t="s">
        <v>160</v>
      </c>
      <c r="AY347" s="1" t="s">
        <v>159</v>
      </c>
      <c r="AZ347" s="1" t="s">
        <v>159</v>
      </c>
      <c r="BA347" s="1" t="s">
        <v>160</v>
      </c>
      <c r="BB347" s="1" t="s">
        <v>181</v>
      </c>
      <c r="BC347" s="1" t="s">
        <v>160</v>
      </c>
      <c r="BD347" s="1" t="s">
        <v>1576</v>
      </c>
      <c r="BE347" s="1" t="s">
        <v>1577</v>
      </c>
      <c r="BF347" s="1" t="s">
        <v>160</v>
      </c>
    </row>
    <row r="348" spans="1:58" ht="13" x14ac:dyDescent="0.15">
      <c r="A348" s="2">
        <v>44175.828472222223</v>
      </c>
      <c r="B348" s="2">
        <v>44175.829861111109</v>
      </c>
      <c r="C348" s="1" t="s">
        <v>39</v>
      </c>
      <c r="D348" s="1" t="s">
        <v>234</v>
      </c>
      <c r="E348" s="1">
        <v>100</v>
      </c>
      <c r="F348" s="1">
        <v>121</v>
      </c>
      <c r="G348" s="1" t="b">
        <v>1</v>
      </c>
      <c r="H348" s="2">
        <v>44175.829861111109</v>
      </c>
      <c r="I348" s="1" t="s">
        <v>1578</v>
      </c>
      <c r="N348" s="1">
        <v>34.048492430000003</v>
      </c>
      <c r="O348" s="1">
        <v>-118.2528992</v>
      </c>
      <c r="P348" s="1" t="s">
        <v>153</v>
      </c>
      <c r="Q348" s="1" t="s">
        <v>154</v>
      </c>
      <c r="R348" s="1" t="s">
        <v>174</v>
      </c>
      <c r="S348" s="1" t="s">
        <v>226</v>
      </c>
      <c r="T348" s="1" t="s">
        <v>176</v>
      </c>
      <c r="U348" s="1" t="s">
        <v>1579</v>
      </c>
      <c r="V348" s="1" t="s">
        <v>160</v>
      </c>
      <c r="W348" s="1" t="s">
        <v>160</v>
      </c>
      <c r="X348" s="1" t="s">
        <v>160</v>
      </c>
      <c r="Y348" s="1" t="s">
        <v>160</v>
      </c>
      <c r="Z348" s="1" t="s">
        <v>160</v>
      </c>
      <c r="AA348" s="1" t="s">
        <v>160</v>
      </c>
      <c r="AB348" s="1" t="s">
        <v>160</v>
      </c>
      <c r="AC348" s="1" t="s">
        <v>160</v>
      </c>
      <c r="AD348" s="1" t="s">
        <v>160</v>
      </c>
      <c r="AE348" s="1" t="s">
        <v>160</v>
      </c>
      <c r="AF348" s="1" t="s">
        <v>160</v>
      </c>
      <c r="AG348" s="1" t="s">
        <v>160</v>
      </c>
      <c r="AI348" s="1" t="s">
        <v>160</v>
      </c>
      <c r="AJ348" s="1" t="s">
        <v>164</v>
      </c>
      <c r="AK348" s="1" t="s">
        <v>198</v>
      </c>
      <c r="AL348" s="1" t="s">
        <v>163</v>
      </c>
      <c r="AM348" s="1" t="s">
        <v>192</v>
      </c>
      <c r="AN348" s="1" t="s">
        <v>192</v>
      </c>
      <c r="AO348" s="1" t="s">
        <v>179</v>
      </c>
      <c r="AP348" s="1" t="s">
        <v>165</v>
      </c>
      <c r="AR348" s="1" t="s">
        <v>160</v>
      </c>
      <c r="AS348" s="1" t="s">
        <v>160</v>
      </c>
      <c r="AT348" s="1" t="s">
        <v>693</v>
      </c>
      <c r="AU348" s="1" t="s">
        <v>160</v>
      </c>
      <c r="AV348" s="1" t="s">
        <v>160</v>
      </c>
      <c r="AW348" s="1" t="s">
        <v>160</v>
      </c>
      <c r="AX348" s="1" t="s">
        <v>159</v>
      </c>
      <c r="AY348" s="1" t="s">
        <v>159</v>
      </c>
      <c r="AZ348" s="1" t="s">
        <v>160</v>
      </c>
      <c r="BA348" s="1" t="s">
        <v>160</v>
      </c>
      <c r="BB348" s="1" t="s">
        <v>167</v>
      </c>
      <c r="BC348" s="1" t="s">
        <v>160</v>
      </c>
      <c r="BD348" s="1" t="s">
        <v>1580</v>
      </c>
      <c r="BE348" s="1" t="s">
        <v>1581</v>
      </c>
      <c r="BF348" s="1" t="s">
        <v>160</v>
      </c>
    </row>
    <row r="349" spans="1:58" ht="13" x14ac:dyDescent="0.15">
      <c r="A349" s="2">
        <v>44175.827777777777</v>
      </c>
      <c r="B349" s="2">
        <v>44175.829861111109</v>
      </c>
      <c r="C349" s="1" t="s">
        <v>39</v>
      </c>
      <c r="D349" s="1" t="s">
        <v>1582</v>
      </c>
      <c r="E349" s="1">
        <v>100</v>
      </c>
      <c r="F349" s="1">
        <v>180</v>
      </c>
      <c r="G349" s="1" t="b">
        <v>1</v>
      </c>
      <c r="H349" s="2">
        <v>44175.829861111109</v>
      </c>
      <c r="I349" s="1" t="s">
        <v>1583</v>
      </c>
      <c r="N349" s="1">
        <v>42.540298460000002</v>
      </c>
      <c r="O349" s="1">
        <v>-83.378997799999993</v>
      </c>
      <c r="P349" s="1" t="s">
        <v>153</v>
      </c>
      <c r="Q349" s="1" t="s">
        <v>154</v>
      </c>
      <c r="R349" s="1" t="s">
        <v>174</v>
      </c>
      <c r="S349" s="1" t="s">
        <v>274</v>
      </c>
      <c r="T349" s="1" t="s">
        <v>263</v>
      </c>
      <c r="U349" s="1" t="s">
        <v>418</v>
      </c>
      <c r="V349" s="1" t="s">
        <v>160</v>
      </c>
      <c r="W349" s="1" t="s">
        <v>160</v>
      </c>
      <c r="X349" s="1" t="s">
        <v>160</v>
      </c>
      <c r="Y349" s="1" t="s">
        <v>160</v>
      </c>
      <c r="Z349" s="1" t="s">
        <v>160</v>
      </c>
      <c r="AA349" s="1" t="s">
        <v>160</v>
      </c>
      <c r="AB349" s="1" t="s">
        <v>160</v>
      </c>
      <c r="AC349" s="1" t="s">
        <v>160</v>
      </c>
      <c r="AD349" s="1" t="s">
        <v>160</v>
      </c>
      <c r="AE349" s="1" t="s">
        <v>160</v>
      </c>
      <c r="AF349" s="1" t="s">
        <v>160</v>
      </c>
      <c r="AG349" s="1" t="s">
        <v>160</v>
      </c>
      <c r="AH349" s="1">
        <v>3</v>
      </c>
      <c r="AI349" s="1" t="s">
        <v>160</v>
      </c>
      <c r="AJ349" s="1" t="s">
        <v>163</v>
      </c>
      <c r="AK349" s="1" t="s">
        <v>162</v>
      </c>
      <c r="AL349" s="1" t="s">
        <v>162</v>
      </c>
      <c r="AM349" s="1" t="s">
        <v>163</v>
      </c>
      <c r="AN349" s="1" t="s">
        <v>163</v>
      </c>
      <c r="AO349" s="1" t="s">
        <v>179</v>
      </c>
      <c r="AP349" s="1" t="s">
        <v>179</v>
      </c>
      <c r="AQ349" s="1">
        <v>1997</v>
      </c>
      <c r="AR349" s="1" t="s">
        <v>160</v>
      </c>
      <c r="AS349" s="1" t="s">
        <v>160</v>
      </c>
      <c r="AT349" s="1" t="s">
        <v>180</v>
      </c>
      <c r="AU349" s="1" t="s">
        <v>159</v>
      </c>
      <c r="AV349" s="1" t="s">
        <v>159</v>
      </c>
      <c r="AW349" s="1" t="s">
        <v>159</v>
      </c>
      <c r="AX349" s="1" t="s">
        <v>159</v>
      </c>
      <c r="AY349" s="1" t="s">
        <v>159</v>
      </c>
      <c r="AZ349" s="1" t="s">
        <v>159</v>
      </c>
      <c r="BA349" s="1" t="s">
        <v>159</v>
      </c>
      <c r="BB349" s="1" t="s">
        <v>167</v>
      </c>
      <c r="BC349" s="1" t="s">
        <v>160</v>
      </c>
      <c r="BE349" s="1" t="s">
        <v>1584</v>
      </c>
      <c r="BF349" s="1" t="s">
        <v>159</v>
      </c>
    </row>
    <row r="350" spans="1:58" ht="13" x14ac:dyDescent="0.15">
      <c r="A350" s="2">
        <v>44175.829861111109</v>
      </c>
      <c r="B350" s="2">
        <v>44175.831250000003</v>
      </c>
      <c r="C350" s="1" t="s">
        <v>39</v>
      </c>
      <c r="D350" s="1" t="s">
        <v>234</v>
      </c>
      <c r="E350" s="1">
        <v>100</v>
      </c>
      <c r="F350" s="1">
        <v>122</v>
      </c>
      <c r="G350" s="1" t="b">
        <v>1</v>
      </c>
      <c r="H350" s="2">
        <v>44175.831250000003</v>
      </c>
      <c r="I350" s="1" t="s">
        <v>1585</v>
      </c>
      <c r="N350" s="1">
        <v>34.048492430000003</v>
      </c>
      <c r="O350" s="1">
        <v>-118.2528992</v>
      </c>
      <c r="P350" s="1" t="s">
        <v>153</v>
      </c>
      <c r="Q350" s="1" t="s">
        <v>154</v>
      </c>
      <c r="R350" s="1" t="s">
        <v>236</v>
      </c>
      <c r="S350" s="1" t="s">
        <v>175</v>
      </c>
      <c r="T350" s="1" t="s">
        <v>176</v>
      </c>
      <c r="U350" s="1" t="s">
        <v>1586</v>
      </c>
      <c r="V350" s="1" t="s">
        <v>160</v>
      </c>
      <c r="W350" s="1" t="s">
        <v>160</v>
      </c>
      <c r="X350" s="1" t="s">
        <v>160</v>
      </c>
      <c r="Y350" s="1" t="s">
        <v>160</v>
      </c>
      <c r="Z350" s="1" t="s">
        <v>160</v>
      </c>
      <c r="AA350" s="1" t="s">
        <v>160</v>
      </c>
      <c r="AB350" s="1" t="s">
        <v>160</v>
      </c>
      <c r="AC350" s="1" t="s">
        <v>160</v>
      </c>
      <c r="AD350" s="1" t="s">
        <v>160</v>
      </c>
      <c r="AE350" s="1" t="s">
        <v>160</v>
      </c>
      <c r="AF350" s="1" t="s">
        <v>160</v>
      </c>
      <c r="AG350" s="1" t="s">
        <v>160</v>
      </c>
      <c r="AI350" s="1" t="s">
        <v>160</v>
      </c>
      <c r="AJ350" s="1" t="s">
        <v>164</v>
      </c>
      <c r="AK350" s="1" t="s">
        <v>164</v>
      </c>
      <c r="AL350" s="1" t="s">
        <v>198</v>
      </c>
      <c r="AM350" s="1" t="s">
        <v>192</v>
      </c>
      <c r="AN350" s="1" t="s">
        <v>163</v>
      </c>
      <c r="AO350" s="1" t="s">
        <v>179</v>
      </c>
      <c r="AP350" s="1" t="s">
        <v>239</v>
      </c>
      <c r="AR350" s="1" t="s">
        <v>160</v>
      </c>
      <c r="AS350" s="1" t="s">
        <v>160</v>
      </c>
      <c r="AT350" s="1" t="s">
        <v>1587</v>
      </c>
      <c r="AU350" s="1" t="s">
        <v>160</v>
      </c>
      <c r="AV350" s="1" t="s">
        <v>159</v>
      </c>
      <c r="AW350" s="1" t="s">
        <v>159</v>
      </c>
      <c r="AX350" s="1" t="s">
        <v>160</v>
      </c>
      <c r="AY350" s="1" t="s">
        <v>160</v>
      </c>
      <c r="AZ350" s="1" t="s">
        <v>160</v>
      </c>
      <c r="BA350" s="1" t="s">
        <v>160</v>
      </c>
      <c r="BB350" s="1" t="s">
        <v>222</v>
      </c>
      <c r="BC350" s="1" t="s">
        <v>160</v>
      </c>
      <c r="BD350" s="1" t="s">
        <v>1588</v>
      </c>
      <c r="BE350" s="1" t="s">
        <v>1589</v>
      </c>
      <c r="BF350" s="1" t="s">
        <v>160</v>
      </c>
    </row>
    <row r="351" spans="1:58" ht="13" x14ac:dyDescent="0.15">
      <c r="A351" s="2">
        <v>44175.82916666667</v>
      </c>
      <c r="B351" s="2">
        <v>44175.833333333336</v>
      </c>
      <c r="C351" s="1" t="s">
        <v>39</v>
      </c>
      <c r="D351" s="1" t="s">
        <v>1590</v>
      </c>
      <c r="E351" s="1">
        <v>100</v>
      </c>
      <c r="F351" s="1">
        <v>330</v>
      </c>
      <c r="G351" s="1" t="b">
        <v>1</v>
      </c>
      <c r="H351" s="2">
        <v>44175.833333333336</v>
      </c>
      <c r="I351" s="1" t="s">
        <v>1591</v>
      </c>
      <c r="N351" s="1">
        <v>41.8710022</v>
      </c>
      <c r="O351" s="1">
        <v>-87.628898620000001</v>
      </c>
      <c r="P351" s="1" t="s">
        <v>153</v>
      </c>
      <c r="Q351" s="1" t="s">
        <v>154</v>
      </c>
      <c r="R351" s="1" t="s">
        <v>174</v>
      </c>
      <c r="S351" s="1" t="s">
        <v>208</v>
      </c>
      <c r="T351" s="1" t="s">
        <v>157</v>
      </c>
      <c r="U351" s="1" t="s">
        <v>1362</v>
      </c>
      <c r="V351" s="1" t="s">
        <v>160</v>
      </c>
      <c r="W351" s="1" t="s">
        <v>159</v>
      </c>
      <c r="X351" s="1" t="s">
        <v>160</v>
      </c>
      <c r="Y351" s="1" t="s">
        <v>159</v>
      </c>
      <c r="Z351" s="1" t="s">
        <v>159</v>
      </c>
      <c r="AA351" s="1" t="s">
        <v>159</v>
      </c>
      <c r="AB351" s="1" t="s">
        <v>160</v>
      </c>
      <c r="AC351" s="1" t="s">
        <v>159</v>
      </c>
      <c r="AD351" s="1" t="s">
        <v>160</v>
      </c>
      <c r="AE351" s="1" t="s">
        <v>160</v>
      </c>
      <c r="AF351" s="1" t="s">
        <v>160</v>
      </c>
      <c r="AG351" s="1" t="s">
        <v>160</v>
      </c>
      <c r="AH351" s="1">
        <v>2</v>
      </c>
      <c r="AI351" s="1" t="s">
        <v>159</v>
      </c>
      <c r="AJ351" s="1" t="s">
        <v>192</v>
      </c>
      <c r="AK351" s="1" t="s">
        <v>192</v>
      </c>
      <c r="AL351" s="1" t="s">
        <v>164</v>
      </c>
      <c r="AM351" s="1" t="s">
        <v>192</v>
      </c>
      <c r="AN351" s="1" t="s">
        <v>163</v>
      </c>
      <c r="AO351" s="1" t="s">
        <v>179</v>
      </c>
      <c r="AP351" s="1" t="s">
        <v>179</v>
      </c>
      <c r="AQ351" s="1">
        <v>1998</v>
      </c>
      <c r="AR351" s="1" t="s">
        <v>160</v>
      </c>
      <c r="AS351" s="1" t="s">
        <v>159</v>
      </c>
      <c r="AT351" s="1" t="s">
        <v>180</v>
      </c>
      <c r="AU351" s="1" t="s">
        <v>159</v>
      </c>
      <c r="AV351" s="1" t="s">
        <v>159</v>
      </c>
      <c r="AW351" s="1" t="s">
        <v>159</v>
      </c>
      <c r="AX351" s="1" t="s">
        <v>159</v>
      </c>
      <c r="AY351" s="1" t="s">
        <v>159</v>
      </c>
      <c r="AZ351" s="1" t="s">
        <v>159</v>
      </c>
      <c r="BA351" s="1" t="s">
        <v>159</v>
      </c>
      <c r="BB351" s="1" t="s">
        <v>181</v>
      </c>
      <c r="BC351" s="1" t="s">
        <v>159</v>
      </c>
      <c r="BE351" s="1" t="s">
        <v>1592</v>
      </c>
      <c r="BF351" s="1" t="s">
        <v>159</v>
      </c>
    </row>
    <row r="352" spans="1:58" ht="13" x14ac:dyDescent="0.15">
      <c r="A352" s="2">
        <v>44175.831944444442</v>
      </c>
      <c r="B352" s="2">
        <v>44175.833333333336</v>
      </c>
      <c r="C352" s="1" t="s">
        <v>39</v>
      </c>
      <c r="D352" s="1" t="s">
        <v>234</v>
      </c>
      <c r="E352" s="1">
        <v>100</v>
      </c>
      <c r="F352" s="1">
        <v>120</v>
      </c>
      <c r="G352" s="1" t="b">
        <v>1</v>
      </c>
      <c r="H352" s="2">
        <v>44175.833333333336</v>
      </c>
      <c r="I352" s="1" t="s">
        <v>1593</v>
      </c>
      <c r="N352" s="1">
        <v>34.048492430000003</v>
      </c>
      <c r="O352" s="1">
        <v>-118.2528992</v>
      </c>
      <c r="P352" s="1" t="s">
        <v>153</v>
      </c>
      <c r="Q352" s="1" t="s">
        <v>154</v>
      </c>
      <c r="R352" s="1" t="s">
        <v>155</v>
      </c>
      <c r="S352" s="1" t="s">
        <v>226</v>
      </c>
      <c r="T352" s="1" t="s">
        <v>176</v>
      </c>
      <c r="U352" s="1" t="s">
        <v>900</v>
      </c>
      <c r="V352" s="1" t="s">
        <v>160</v>
      </c>
      <c r="W352" s="1" t="s">
        <v>160</v>
      </c>
      <c r="X352" s="1" t="s">
        <v>160</v>
      </c>
      <c r="Y352" s="1" t="s">
        <v>160</v>
      </c>
      <c r="Z352" s="1" t="s">
        <v>160</v>
      </c>
      <c r="AA352" s="1" t="s">
        <v>160</v>
      </c>
      <c r="AB352" s="1" t="s">
        <v>160</v>
      </c>
      <c r="AC352" s="1" t="s">
        <v>160</v>
      </c>
      <c r="AD352" s="1" t="s">
        <v>160</v>
      </c>
      <c r="AE352" s="1" t="s">
        <v>160</v>
      </c>
      <c r="AF352" s="1" t="s">
        <v>160</v>
      </c>
      <c r="AG352" s="1" t="s">
        <v>160</v>
      </c>
      <c r="AI352" s="1" t="s">
        <v>160</v>
      </c>
      <c r="AJ352" s="1" t="s">
        <v>164</v>
      </c>
      <c r="AK352" s="1" t="s">
        <v>192</v>
      </c>
      <c r="AL352" s="1" t="s">
        <v>163</v>
      </c>
      <c r="AM352" s="1" t="s">
        <v>163</v>
      </c>
      <c r="AN352" s="1" t="s">
        <v>164</v>
      </c>
      <c r="AO352" s="1" t="s">
        <v>179</v>
      </c>
      <c r="AP352" s="1" t="s">
        <v>239</v>
      </c>
      <c r="AR352" s="1" t="s">
        <v>160</v>
      </c>
      <c r="AS352" s="1" t="s">
        <v>160</v>
      </c>
      <c r="AT352" s="1" t="s">
        <v>1594</v>
      </c>
      <c r="AU352" s="1" t="s">
        <v>159</v>
      </c>
      <c r="AV352" s="1" t="s">
        <v>160</v>
      </c>
      <c r="AW352" s="1" t="s">
        <v>159</v>
      </c>
      <c r="AX352" s="1" t="s">
        <v>159</v>
      </c>
      <c r="AY352" s="1" t="s">
        <v>159</v>
      </c>
      <c r="AZ352" s="1" t="s">
        <v>160</v>
      </c>
      <c r="BA352" s="1" t="s">
        <v>159</v>
      </c>
      <c r="BB352" s="1" t="s">
        <v>181</v>
      </c>
      <c r="BC352" s="1" t="s">
        <v>160</v>
      </c>
      <c r="BD352" s="1" t="s">
        <v>540</v>
      </c>
      <c r="BE352" s="1" t="s">
        <v>1595</v>
      </c>
      <c r="BF352" s="1" t="s">
        <v>160</v>
      </c>
    </row>
    <row r="353" spans="1:58" ht="13" x14ac:dyDescent="0.15">
      <c r="A353" s="2">
        <v>44175.833333333336</v>
      </c>
      <c r="B353" s="2">
        <v>44175.834722222222</v>
      </c>
      <c r="C353" s="1" t="s">
        <v>39</v>
      </c>
      <c r="D353" s="1" t="s">
        <v>234</v>
      </c>
      <c r="E353" s="1">
        <v>100</v>
      </c>
      <c r="F353" s="1">
        <v>121</v>
      </c>
      <c r="G353" s="1" t="b">
        <v>1</v>
      </c>
      <c r="H353" s="2">
        <v>44175.834722222222</v>
      </c>
      <c r="I353" s="1" t="s">
        <v>1596</v>
      </c>
      <c r="N353" s="1">
        <v>34.048492430000003</v>
      </c>
      <c r="O353" s="1">
        <v>-118.2528992</v>
      </c>
      <c r="P353" s="1" t="s">
        <v>153</v>
      </c>
      <c r="Q353" s="1" t="s">
        <v>154</v>
      </c>
      <c r="R353" s="1" t="s">
        <v>236</v>
      </c>
      <c r="S353" s="1" t="s">
        <v>208</v>
      </c>
      <c r="T353" s="1" t="s">
        <v>245</v>
      </c>
      <c r="U353" s="1" t="s">
        <v>1597</v>
      </c>
      <c r="V353" s="1" t="s">
        <v>160</v>
      </c>
      <c r="W353" s="1" t="s">
        <v>160</v>
      </c>
      <c r="X353" s="1" t="s">
        <v>160</v>
      </c>
      <c r="Y353" s="1" t="s">
        <v>160</v>
      </c>
      <c r="Z353" s="1" t="s">
        <v>160</v>
      </c>
      <c r="AA353" s="1" t="s">
        <v>160</v>
      </c>
      <c r="AB353" s="1" t="s">
        <v>160</v>
      </c>
      <c r="AC353" s="1" t="s">
        <v>160</v>
      </c>
      <c r="AD353" s="1" t="s">
        <v>160</v>
      </c>
      <c r="AE353" s="1" t="s">
        <v>160</v>
      </c>
      <c r="AF353" s="1" t="s">
        <v>160</v>
      </c>
      <c r="AG353" s="1" t="s">
        <v>160</v>
      </c>
      <c r="AI353" s="1" t="s">
        <v>160</v>
      </c>
      <c r="AJ353" s="1" t="s">
        <v>163</v>
      </c>
      <c r="AK353" s="1" t="s">
        <v>198</v>
      </c>
      <c r="AL353" s="1" t="s">
        <v>192</v>
      </c>
      <c r="AM353" s="1" t="s">
        <v>164</v>
      </c>
      <c r="AN353" s="1" t="s">
        <v>192</v>
      </c>
      <c r="AO353" s="1" t="s">
        <v>179</v>
      </c>
      <c r="AP353" s="1" t="s">
        <v>179</v>
      </c>
      <c r="AR353" s="1" t="s">
        <v>160</v>
      </c>
      <c r="AS353" s="1" t="s">
        <v>160</v>
      </c>
      <c r="AT353" s="1" t="s">
        <v>1598</v>
      </c>
      <c r="AU353" s="1" t="s">
        <v>159</v>
      </c>
      <c r="AV353" s="1" t="s">
        <v>160</v>
      </c>
      <c r="AW353" s="1" t="s">
        <v>159</v>
      </c>
      <c r="AX353" s="1" t="s">
        <v>159</v>
      </c>
      <c r="AY353" s="1" t="s">
        <v>160</v>
      </c>
      <c r="AZ353" s="1" t="s">
        <v>159</v>
      </c>
      <c r="BA353" s="1" t="s">
        <v>160</v>
      </c>
      <c r="BB353" s="1" t="s">
        <v>222</v>
      </c>
      <c r="BC353" s="1" t="s">
        <v>160</v>
      </c>
      <c r="BD353" s="1" t="s">
        <v>1599</v>
      </c>
      <c r="BE353" s="1" t="s">
        <v>1600</v>
      </c>
      <c r="BF353" s="1" t="s">
        <v>160</v>
      </c>
    </row>
    <row r="354" spans="1:58" ht="13" x14ac:dyDescent="0.15">
      <c r="A354" s="2">
        <v>44175.835416666669</v>
      </c>
      <c r="B354" s="2">
        <v>44175.836805555555</v>
      </c>
      <c r="C354" s="1" t="s">
        <v>39</v>
      </c>
      <c r="D354" s="1" t="s">
        <v>234</v>
      </c>
      <c r="E354" s="1">
        <v>100</v>
      </c>
      <c r="F354" s="1">
        <v>119</v>
      </c>
      <c r="G354" s="1" t="b">
        <v>1</v>
      </c>
      <c r="H354" s="2">
        <v>44175.836805555555</v>
      </c>
      <c r="I354" s="1" t="s">
        <v>1601</v>
      </c>
      <c r="N354" s="1">
        <v>34.048492430000003</v>
      </c>
      <c r="O354" s="1">
        <v>-118.2528992</v>
      </c>
      <c r="P354" s="1" t="s">
        <v>153</v>
      </c>
      <c r="Q354" s="1" t="s">
        <v>154</v>
      </c>
      <c r="R354" s="1" t="s">
        <v>174</v>
      </c>
      <c r="S354" s="1" t="s">
        <v>226</v>
      </c>
      <c r="T354" s="1" t="s">
        <v>237</v>
      </c>
      <c r="U354" s="1" t="s">
        <v>1602</v>
      </c>
      <c r="V354" s="1" t="s">
        <v>160</v>
      </c>
      <c r="W354" s="1" t="s">
        <v>160</v>
      </c>
      <c r="X354" s="1" t="s">
        <v>160</v>
      </c>
      <c r="Y354" s="1" t="s">
        <v>160</v>
      </c>
      <c r="Z354" s="1" t="s">
        <v>160</v>
      </c>
      <c r="AA354" s="1" t="s">
        <v>160</v>
      </c>
      <c r="AB354" s="1" t="s">
        <v>160</v>
      </c>
      <c r="AC354" s="1" t="s">
        <v>160</v>
      </c>
      <c r="AD354" s="1" t="s">
        <v>160</v>
      </c>
      <c r="AE354" s="1" t="s">
        <v>160</v>
      </c>
      <c r="AF354" s="1" t="s">
        <v>160</v>
      </c>
      <c r="AG354" s="1" t="s">
        <v>160</v>
      </c>
      <c r="AI354" s="1" t="s">
        <v>160</v>
      </c>
      <c r="AJ354" s="1" t="s">
        <v>163</v>
      </c>
      <c r="AK354" s="1" t="s">
        <v>163</v>
      </c>
      <c r="AL354" s="1" t="s">
        <v>163</v>
      </c>
      <c r="AM354" s="1" t="s">
        <v>192</v>
      </c>
      <c r="AN354" s="1" t="s">
        <v>164</v>
      </c>
      <c r="AO354" s="1" t="s">
        <v>179</v>
      </c>
      <c r="AP354" s="1" t="s">
        <v>165</v>
      </c>
      <c r="AR354" s="1" t="s">
        <v>160</v>
      </c>
      <c r="AS354" s="1" t="s">
        <v>160</v>
      </c>
      <c r="AT354" s="1" t="s">
        <v>180</v>
      </c>
      <c r="AU354" s="1" t="s">
        <v>159</v>
      </c>
      <c r="AV354" s="1" t="s">
        <v>160</v>
      </c>
      <c r="AW354" s="1" t="s">
        <v>160</v>
      </c>
      <c r="AX354" s="1" t="s">
        <v>160</v>
      </c>
      <c r="AY354" s="1" t="s">
        <v>159</v>
      </c>
      <c r="AZ354" s="1" t="s">
        <v>159</v>
      </c>
      <c r="BA354" s="1" t="s">
        <v>160</v>
      </c>
      <c r="BB354" s="1" t="s">
        <v>222</v>
      </c>
      <c r="BC354" s="1" t="s">
        <v>160</v>
      </c>
      <c r="BD354" s="1" t="s">
        <v>1603</v>
      </c>
      <c r="BE354" s="1" t="s">
        <v>1604</v>
      </c>
      <c r="BF354" s="1" t="s">
        <v>160</v>
      </c>
    </row>
    <row r="355" spans="1:58" ht="13" x14ac:dyDescent="0.15">
      <c r="A355" s="2">
        <v>44175.836805555555</v>
      </c>
      <c r="B355" s="2">
        <v>44175.838194444441</v>
      </c>
      <c r="C355" s="1" t="s">
        <v>39</v>
      </c>
      <c r="D355" s="1" t="s">
        <v>234</v>
      </c>
      <c r="E355" s="1">
        <v>100</v>
      </c>
      <c r="F355" s="1">
        <v>121</v>
      </c>
      <c r="G355" s="1" t="b">
        <v>1</v>
      </c>
      <c r="H355" s="2">
        <v>44175.838194444441</v>
      </c>
      <c r="I355" s="1" t="s">
        <v>1605</v>
      </c>
      <c r="N355" s="1">
        <v>34.048492430000003</v>
      </c>
      <c r="O355" s="1">
        <v>-118.2528992</v>
      </c>
      <c r="P355" s="1" t="s">
        <v>153</v>
      </c>
      <c r="Q355" s="1" t="s">
        <v>154</v>
      </c>
      <c r="R355" s="1" t="s">
        <v>174</v>
      </c>
      <c r="S355" s="1" t="s">
        <v>310</v>
      </c>
      <c r="T355" s="1" t="s">
        <v>157</v>
      </c>
      <c r="U355" s="1" t="s">
        <v>1606</v>
      </c>
      <c r="V355" s="1" t="s">
        <v>160</v>
      </c>
      <c r="W355" s="1" t="s">
        <v>160</v>
      </c>
      <c r="X355" s="1" t="s">
        <v>160</v>
      </c>
      <c r="Y355" s="1" t="s">
        <v>160</v>
      </c>
      <c r="Z355" s="1" t="s">
        <v>160</v>
      </c>
      <c r="AA355" s="1" t="s">
        <v>160</v>
      </c>
      <c r="AB355" s="1" t="s">
        <v>160</v>
      </c>
      <c r="AC355" s="1" t="s">
        <v>160</v>
      </c>
      <c r="AD355" s="1" t="s">
        <v>160</v>
      </c>
      <c r="AE355" s="1" t="s">
        <v>160</v>
      </c>
      <c r="AF355" s="1" t="s">
        <v>160</v>
      </c>
      <c r="AG355" s="1" t="s">
        <v>160</v>
      </c>
      <c r="AI355" s="1" t="s">
        <v>160</v>
      </c>
      <c r="AJ355" s="1" t="s">
        <v>198</v>
      </c>
      <c r="AK355" s="1" t="s">
        <v>163</v>
      </c>
      <c r="AL355" s="1" t="s">
        <v>198</v>
      </c>
      <c r="AM355" s="1" t="s">
        <v>192</v>
      </c>
      <c r="AN355" s="1" t="s">
        <v>198</v>
      </c>
      <c r="AO355" s="1" t="s">
        <v>179</v>
      </c>
      <c r="AP355" s="1" t="s">
        <v>239</v>
      </c>
      <c r="AR355" s="1" t="s">
        <v>160</v>
      </c>
      <c r="AS355" s="1" t="s">
        <v>160</v>
      </c>
      <c r="AT355" s="1" t="s">
        <v>1607</v>
      </c>
      <c r="AU355" s="1" t="s">
        <v>160</v>
      </c>
      <c r="AV355" s="1" t="s">
        <v>159</v>
      </c>
      <c r="AW355" s="1" t="s">
        <v>159</v>
      </c>
      <c r="AX355" s="1" t="s">
        <v>160</v>
      </c>
      <c r="AY355" s="1" t="s">
        <v>160</v>
      </c>
      <c r="AZ355" s="1" t="s">
        <v>159</v>
      </c>
      <c r="BA355" s="1" t="s">
        <v>159</v>
      </c>
      <c r="BB355" s="1" t="s">
        <v>181</v>
      </c>
      <c r="BC355" s="1" t="s">
        <v>160</v>
      </c>
      <c r="BD355" s="1" t="s">
        <v>1608</v>
      </c>
      <c r="BE355" s="1" t="s">
        <v>1609</v>
      </c>
      <c r="BF355" s="1" t="s">
        <v>160</v>
      </c>
    </row>
    <row r="356" spans="1:58" ht="13" x14ac:dyDescent="0.15">
      <c r="A356" s="2">
        <v>44175.838194444441</v>
      </c>
      <c r="B356" s="2">
        <v>44175.839583333334</v>
      </c>
      <c r="C356" s="1" t="s">
        <v>39</v>
      </c>
      <c r="D356" s="1" t="s">
        <v>234</v>
      </c>
      <c r="E356" s="1">
        <v>100</v>
      </c>
      <c r="F356" s="1">
        <v>121</v>
      </c>
      <c r="G356" s="1" t="b">
        <v>1</v>
      </c>
      <c r="H356" s="2">
        <v>44175.839583333334</v>
      </c>
      <c r="I356" s="1" t="s">
        <v>1610</v>
      </c>
      <c r="N356" s="1">
        <v>34.048492430000003</v>
      </c>
      <c r="O356" s="1">
        <v>-118.2528992</v>
      </c>
      <c r="P356" s="1" t="s">
        <v>153</v>
      </c>
      <c r="Q356" s="1" t="s">
        <v>154</v>
      </c>
      <c r="R356" s="1" t="s">
        <v>155</v>
      </c>
      <c r="S356" s="1" t="s">
        <v>310</v>
      </c>
      <c r="T356" s="1" t="s">
        <v>237</v>
      </c>
      <c r="U356" s="1" t="s">
        <v>1611</v>
      </c>
      <c r="V356" s="1" t="s">
        <v>160</v>
      </c>
      <c r="W356" s="1" t="s">
        <v>160</v>
      </c>
      <c r="X356" s="1" t="s">
        <v>160</v>
      </c>
      <c r="Y356" s="1" t="s">
        <v>160</v>
      </c>
      <c r="Z356" s="1" t="s">
        <v>160</v>
      </c>
      <c r="AA356" s="1" t="s">
        <v>160</v>
      </c>
      <c r="AB356" s="1" t="s">
        <v>160</v>
      </c>
      <c r="AC356" s="1" t="s">
        <v>160</v>
      </c>
      <c r="AD356" s="1" t="s">
        <v>160</v>
      </c>
      <c r="AE356" s="1" t="s">
        <v>160</v>
      </c>
      <c r="AF356" s="1" t="s">
        <v>160</v>
      </c>
      <c r="AG356" s="1" t="s">
        <v>160</v>
      </c>
      <c r="AI356" s="1" t="s">
        <v>160</v>
      </c>
      <c r="AJ356" s="1" t="s">
        <v>198</v>
      </c>
      <c r="AK356" s="1" t="s">
        <v>163</v>
      </c>
      <c r="AL356" s="1" t="s">
        <v>164</v>
      </c>
      <c r="AM356" s="1" t="s">
        <v>198</v>
      </c>
      <c r="AN356" s="1" t="s">
        <v>192</v>
      </c>
      <c r="AO356" s="1" t="s">
        <v>179</v>
      </c>
      <c r="AP356" s="1" t="s">
        <v>165</v>
      </c>
      <c r="AR356" s="1" t="s">
        <v>160</v>
      </c>
      <c r="AS356" s="1" t="s">
        <v>160</v>
      </c>
      <c r="AT356" s="1" t="s">
        <v>1416</v>
      </c>
      <c r="AU356" s="1" t="s">
        <v>160</v>
      </c>
      <c r="AV356" s="1" t="s">
        <v>159</v>
      </c>
      <c r="AW356" s="1" t="s">
        <v>159</v>
      </c>
      <c r="AX356" s="1" t="s">
        <v>160</v>
      </c>
      <c r="AY356" s="1" t="s">
        <v>159</v>
      </c>
      <c r="AZ356" s="1" t="s">
        <v>159</v>
      </c>
      <c r="BA356" s="1" t="s">
        <v>160</v>
      </c>
      <c r="BB356" s="1" t="s">
        <v>181</v>
      </c>
      <c r="BC356" s="1" t="s">
        <v>160</v>
      </c>
      <c r="BD356" s="1" t="s">
        <v>1612</v>
      </c>
      <c r="BE356" s="1" t="s">
        <v>1613</v>
      </c>
      <c r="BF356" s="1" t="s">
        <v>160</v>
      </c>
    </row>
    <row r="357" spans="1:58" ht="13" x14ac:dyDescent="0.15">
      <c r="A357" s="2">
        <v>44175.839583333334</v>
      </c>
      <c r="B357" s="2">
        <v>44175.84097222222</v>
      </c>
      <c r="C357" s="1" t="s">
        <v>39</v>
      </c>
      <c r="D357" s="1" t="s">
        <v>1614</v>
      </c>
      <c r="E357" s="1">
        <v>100</v>
      </c>
      <c r="F357" s="1">
        <v>107</v>
      </c>
      <c r="G357" s="1" t="b">
        <v>1</v>
      </c>
      <c r="H357" s="2">
        <v>44175.84097222222</v>
      </c>
      <c r="I357" s="1" t="s">
        <v>1615</v>
      </c>
      <c r="N357" s="1">
        <v>37.856704710000002</v>
      </c>
      <c r="O357" s="1">
        <v>-122.0218048</v>
      </c>
      <c r="P357" s="1" t="s">
        <v>305</v>
      </c>
      <c r="Q357" s="1" t="s">
        <v>154</v>
      </c>
      <c r="R357" s="1" t="s">
        <v>174</v>
      </c>
      <c r="S357" s="1" t="s">
        <v>226</v>
      </c>
      <c r="T357" s="1" t="s">
        <v>176</v>
      </c>
      <c r="U357" s="1" t="s">
        <v>496</v>
      </c>
      <c r="V357" s="1" t="s">
        <v>160</v>
      </c>
      <c r="W357" s="1" t="s">
        <v>160</v>
      </c>
      <c r="X357" s="1" t="s">
        <v>160</v>
      </c>
      <c r="Y357" s="1" t="s">
        <v>159</v>
      </c>
      <c r="Z357" s="1" t="s">
        <v>159</v>
      </c>
      <c r="AA357" s="1" t="s">
        <v>159</v>
      </c>
      <c r="AB357" s="1" t="s">
        <v>160</v>
      </c>
      <c r="AC357" s="1" t="s">
        <v>160</v>
      </c>
      <c r="AD357" s="1" t="s">
        <v>160</v>
      </c>
      <c r="AE357" s="1" t="s">
        <v>159</v>
      </c>
      <c r="AF357" s="1" t="s">
        <v>160</v>
      </c>
      <c r="AG357" s="1" t="s">
        <v>159</v>
      </c>
      <c r="AH357" s="1">
        <v>1</v>
      </c>
      <c r="AI357" s="1" t="s">
        <v>159</v>
      </c>
      <c r="AJ357" s="1" t="s">
        <v>162</v>
      </c>
      <c r="AK357" s="1" t="s">
        <v>163</v>
      </c>
      <c r="AL357" s="1" t="s">
        <v>198</v>
      </c>
      <c r="AM357" s="1" t="s">
        <v>162</v>
      </c>
      <c r="AN357" s="1" t="s">
        <v>163</v>
      </c>
      <c r="AO357" s="1" t="s">
        <v>179</v>
      </c>
      <c r="AP357" s="1" t="s">
        <v>179</v>
      </c>
      <c r="AQ357" s="1">
        <v>1998</v>
      </c>
      <c r="AR357" s="1" t="s">
        <v>160</v>
      </c>
      <c r="AS357" s="1" t="s">
        <v>159</v>
      </c>
      <c r="AT357" s="1" t="s">
        <v>180</v>
      </c>
      <c r="AU357" s="1" t="s">
        <v>159</v>
      </c>
      <c r="AV357" s="1" t="s">
        <v>159</v>
      </c>
      <c r="AW357" s="1" t="s">
        <v>159</v>
      </c>
      <c r="AX357" s="1" t="s">
        <v>159</v>
      </c>
      <c r="AY357" s="1" t="s">
        <v>159</v>
      </c>
      <c r="AZ357" s="1" t="s">
        <v>159</v>
      </c>
      <c r="BA357" s="1" t="s">
        <v>159</v>
      </c>
      <c r="BB357" s="1" t="s">
        <v>181</v>
      </c>
      <c r="BC357" s="1" t="s">
        <v>159</v>
      </c>
      <c r="BE357" s="1" t="s">
        <v>1616</v>
      </c>
    </row>
    <row r="358" spans="1:58" ht="13" x14ac:dyDescent="0.15">
      <c r="A358" s="2">
        <v>44175.840277777781</v>
      </c>
      <c r="B358" s="2">
        <v>44175.841666666667</v>
      </c>
      <c r="C358" s="1" t="s">
        <v>39</v>
      </c>
      <c r="D358" s="1" t="s">
        <v>234</v>
      </c>
      <c r="E358" s="1">
        <v>100</v>
      </c>
      <c r="F358" s="1">
        <v>121</v>
      </c>
      <c r="G358" s="1" t="b">
        <v>1</v>
      </c>
      <c r="H358" s="2">
        <v>44175.841666666667</v>
      </c>
      <c r="I358" s="1" t="s">
        <v>1617</v>
      </c>
      <c r="N358" s="1">
        <v>34.048492430000003</v>
      </c>
      <c r="O358" s="1">
        <v>-118.2528992</v>
      </c>
      <c r="P358" s="1" t="s">
        <v>153</v>
      </c>
      <c r="Q358" s="1" t="s">
        <v>154</v>
      </c>
      <c r="R358" s="1" t="s">
        <v>236</v>
      </c>
      <c r="S358" s="1" t="s">
        <v>310</v>
      </c>
      <c r="T358" s="1" t="s">
        <v>245</v>
      </c>
      <c r="U358" s="1" t="s">
        <v>436</v>
      </c>
      <c r="V358" s="1" t="s">
        <v>160</v>
      </c>
      <c r="W358" s="1" t="s">
        <v>160</v>
      </c>
      <c r="X358" s="1" t="s">
        <v>160</v>
      </c>
      <c r="Y358" s="1" t="s">
        <v>160</v>
      </c>
      <c r="Z358" s="1" t="s">
        <v>160</v>
      </c>
      <c r="AA358" s="1" t="s">
        <v>160</v>
      </c>
      <c r="AB358" s="1" t="s">
        <v>160</v>
      </c>
      <c r="AC358" s="1" t="s">
        <v>160</v>
      </c>
      <c r="AD358" s="1" t="s">
        <v>160</v>
      </c>
      <c r="AE358" s="1" t="s">
        <v>160</v>
      </c>
      <c r="AF358" s="1" t="s">
        <v>160</v>
      </c>
      <c r="AG358" s="1" t="s">
        <v>160</v>
      </c>
      <c r="AI358" s="1" t="s">
        <v>160</v>
      </c>
      <c r="AJ358" s="1" t="s">
        <v>164</v>
      </c>
      <c r="AK358" s="1" t="s">
        <v>198</v>
      </c>
      <c r="AL358" s="1" t="s">
        <v>192</v>
      </c>
      <c r="AM358" s="1" t="s">
        <v>198</v>
      </c>
      <c r="AN358" s="1" t="s">
        <v>198</v>
      </c>
      <c r="AO358" s="1" t="s">
        <v>179</v>
      </c>
      <c r="AP358" s="1" t="s">
        <v>239</v>
      </c>
      <c r="AR358" s="1" t="s">
        <v>160</v>
      </c>
      <c r="AS358" s="1" t="s">
        <v>160</v>
      </c>
      <c r="AT358" s="1" t="s">
        <v>688</v>
      </c>
      <c r="AU358" s="1" t="s">
        <v>159</v>
      </c>
      <c r="AV358" s="1" t="s">
        <v>160</v>
      </c>
      <c r="AW358" s="1" t="s">
        <v>160</v>
      </c>
      <c r="AX358" s="1" t="s">
        <v>160</v>
      </c>
      <c r="AY358" s="1" t="s">
        <v>160</v>
      </c>
      <c r="AZ358" s="1" t="s">
        <v>159</v>
      </c>
      <c r="BA358" s="1" t="s">
        <v>159</v>
      </c>
      <c r="BB358" s="1" t="s">
        <v>181</v>
      </c>
      <c r="BC358" s="1" t="s">
        <v>160</v>
      </c>
      <c r="BD358" s="1" t="s">
        <v>1618</v>
      </c>
      <c r="BE358" s="1" t="s">
        <v>1619</v>
      </c>
      <c r="BF358" s="1" t="s">
        <v>160</v>
      </c>
    </row>
    <row r="359" spans="1:58" ht="13" x14ac:dyDescent="0.15">
      <c r="A359" s="2">
        <v>44175.841666666667</v>
      </c>
      <c r="B359" s="2">
        <v>44175.843055555553</v>
      </c>
      <c r="C359" s="1" t="s">
        <v>39</v>
      </c>
      <c r="D359" s="1" t="s">
        <v>234</v>
      </c>
      <c r="E359" s="1">
        <v>100</v>
      </c>
      <c r="F359" s="1">
        <v>121</v>
      </c>
      <c r="G359" s="1" t="b">
        <v>1</v>
      </c>
      <c r="H359" s="2">
        <v>44175.843055555553</v>
      </c>
      <c r="I359" s="1" t="s">
        <v>1620</v>
      </c>
      <c r="N359" s="1">
        <v>34.048492430000003</v>
      </c>
      <c r="O359" s="1">
        <v>-118.2528992</v>
      </c>
      <c r="P359" s="1" t="s">
        <v>153</v>
      </c>
      <c r="Q359" s="1" t="s">
        <v>154</v>
      </c>
      <c r="R359" s="1" t="s">
        <v>236</v>
      </c>
      <c r="S359" s="1" t="s">
        <v>226</v>
      </c>
      <c r="T359" s="1" t="s">
        <v>176</v>
      </c>
      <c r="U359" s="1" t="s">
        <v>1621</v>
      </c>
      <c r="V359" s="1" t="s">
        <v>160</v>
      </c>
      <c r="W359" s="1" t="s">
        <v>160</v>
      </c>
      <c r="X359" s="1" t="s">
        <v>160</v>
      </c>
      <c r="Y359" s="1" t="s">
        <v>160</v>
      </c>
      <c r="Z359" s="1" t="s">
        <v>160</v>
      </c>
      <c r="AA359" s="1" t="s">
        <v>160</v>
      </c>
      <c r="AB359" s="1" t="s">
        <v>160</v>
      </c>
      <c r="AC359" s="1" t="s">
        <v>160</v>
      </c>
      <c r="AD359" s="1" t="s">
        <v>160</v>
      </c>
      <c r="AE359" s="1" t="s">
        <v>160</v>
      </c>
      <c r="AF359" s="1" t="s">
        <v>160</v>
      </c>
      <c r="AG359" s="1" t="s">
        <v>160</v>
      </c>
      <c r="AI359" s="1" t="s">
        <v>160</v>
      </c>
      <c r="AJ359" s="1" t="s">
        <v>198</v>
      </c>
      <c r="AK359" s="1" t="s">
        <v>192</v>
      </c>
      <c r="AL359" s="1" t="s">
        <v>192</v>
      </c>
      <c r="AM359" s="1" t="s">
        <v>192</v>
      </c>
      <c r="AN359" s="1" t="s">
        <v>192</v>
      </c>
      <c r="AO359" s="1" t="s">
        <v>179</v>
      </c>
      <c r="AP359" s="1" t="s">
        <v>179</v>
      </c>
      <c r="AR359" s="1" t="s">
        <v>160</v>
      </c>
      <c r="AS359" s="1" t="s">
        <v>160</v>
      </c>
      <c r="AT359" s="1" t="s">
        <v>1622</v>
      </c>
      <c r="AU359" s="1" t="s">
        <v>160</v>
      </c>
      <c r="AV359" s="1" t="s">
        <v>159</v>
      </c>
      <c r="AW359" s="1" t="s">
        <v>159</v>
      </c>
      <c r="AX359" s="1" t="s">
        <v>159</v>
      </c>
      <c r="AY359" s="1" t="s">
        <v>159</v>
      </c>
      <c r="AZ359" s="1" t="s">
        <v>160</v>
      </c>
      <c r="BA359" s="1" t="s">
        <v>160</v>
      </c>
      <c r="BB359" s="1" t="s">
        <v>241</v>
      </c>
      <c r="BC359" s="1" t="s">
        <v>160</v>
      </c>
      <c r="BD359" s="1" t="s">
        <v>516</v>
      </c>
      <c r="BE359" s="1" t="s">
        <v>1623</v>
      </c>
      <c r="BF359" s="1" t="s">
        <v>160</v>
      </c>
    </row>
    <row r="360" spans="1:58" ht="13" x14ac:dyDescent="0.15">
      <c r="A360" s="2">
        <v>44175.84375</v>
      </c>
      <c r="B360" s="2">
        <v>44175.845138888886</v>
      </c>
      <c r="C360" s="1" t="s">
        <v>39</v>
      </c>
      <c r="D360" s="1" t="s">
        <v>234</v>
      </c>
      <c r="E360" s="1">
        <v>100</v>
      </c>
      <c r="F360" s="1">
        <v>121</v>
      </c>
      <c r="G360" s="1" t="b">
        <v>1</v>
      </c>
      <c r="H360" s="2">
        <v>44175.845138888886</v>
      </c>
      <c r="I360" s="1" t="s">
        <v>1624</v>
      </c>
      <c r="N360" s="1">
        <v>34.048492430000003</v>
      </c>
      <c r="O360" s="1">
        <v>-118.2528992</v>
      </c>
      <c r="P360" s="1" t="s">
        <v>153</v>
      </c>
      <c r="Q360" s="1" t="s">
        <v>154</v>
      </c>
      <c r="R360" s="1" t="s">
        <v>174</v>
      </c>
      <c r="S360" s="1" t="s">
        <v>274</v>
      </c>
      <c r="T360" s="1" t="s">
        <v>157</v>
      </c>
      <c r="U360" s="1" t="s">
        <v>418</v>
      </c>
      <c r="V360" s="1" t="s">
        <v>160</v>
      </c>
      <c r="W360" s="1" t="s">
        <v>160</v>
      </c>
      <c r="X360" s="1" t="s">
        <v>160</v>
      </c>
      <c r="Y360" s="1" t="s">
        <v>160</v>
      </c>
      <c r="Z360" s="1" t="s">
        <v>160</v>
      </c>
      <c r="AA360" s="1" t="s">
        <v>160</v>
      </c>
      <c r="AB360" s="1" t="s">
        <v>160</v>
      </c>
      <c r="AC360" s="1" t="s">
        <v>160</v>
      </c>
      <c r="AD360" s="1" t="s">
        <v>160</v>
      </c>
      <c r="AE360" s="1" t="s">
        <v>160</v>
      </c>
      <c r="AF360" s="1" t="s">
        <v>160</v>
      </c>
      <c r="AG360" s="1" t="s">
        <v>160</v>
      </c>
      <c r="AI360" s="1" t="s">
        <v>160</v>
      </c>
      <c r="AJ360" s="1" t="s">
        <v>192</v>
      </c>
      <c r="AK360" s="1" t="s">
        <v>192</v>
      </c>
      <c r="AL360" s="1" t="s">
        <v>164</v>
      </c>
      <c r="AM360" s="1" t="s">
        <v>163</v>
      </c>
      <c r="AN360" s="1" t="s">
        <v>192</v>
      </c>
      <c r="AO360" s="1" t="s">
        <v>179</v>
      </c>
      <c r="AP360" s="1" t="s">
        <v>239</v>
      </c>
      <c r="AR360" s="1" t="s">
        <v>160</v>
      </c>
      <c r="AS360" s="1" t="s">
        <v>160</v>
      </c>
      <c r="AT360" s="1" t="s">
        <v>312</v>
      </c>
      <c r="AU360" s="1" t="s">
        <v>159</v>
      </c>
      <c r="AV360" s="1" t="s">
        <v>159</v>
      </c>
      <c r="AW360" s="1" t="s">
        <v>160</v>
      </c>
      <c r="AX360" s="1" t="s">
        <v>160</v>
      </c>
      <c r="AY360" s="1" t="s">
        <v>160</v>
      </c>
      <c r="AZ360" s="1" t="s">
        <v>159</v>
      </c>
      <c r="BA360" s="1" t="s">
        <v>159</v>
      </c>
      <c r="BB360" s="1" t="s">
        <v>222</v>
      </c>
      <c r="BC360" s="1" t="s">
        <v>160</v>
      </c>
      <c r="BD360" s="1" t="s">
        <v>1625</v>
      </c>
      <c r="BE360" s="1" t="s">
        <v>1626</v>
      </c>
      <c r="BF360" s="1" t="s">
        <v>160</v>
      </c>
    </row>
    <row r="361" spans="1:58" ht="13" x14ac:dyDescent="0.15">
      <c r="A361" s="2">
        <v>44175.845138888886</v>
      </c>
      <c r="B361" s="2">
        <v>44175.84652777778</v>
      </c>
      <c r="C361" s="1" t="s">
        <v>39</v>
      </c>
      <c r="D361" s="1" t="s">
        <v>234</v>
      </c>
      <c r="E361" s="1">
        <v>100</v>
      </c>
      <c r="F361" s="1">
        <v>120</v>
      </c>
      <c r="G361" s="1" t="b">
        <v>1</v>
      </c>
      <c r="H361" s="2">
        <v>44175.84652777778</v>
      </c>
      <c r="I361" s="1" t="s">
        <v>1627</v>
      </c>
      <c r="N361" s="1">
        <v>34.048492430000003</v>
      </c>
      <c r="O361" s="1">
        <v>-118.2528992</v>
      </c>
      <c r="P361" s="1" t="s">
        <v>153</v>
      </c>
      <c r="Q361" s="1" t="s">
        <v>154</v>
      </c>
      <c r="R361" s="1" t="s">
        <v>174</v>
      </c>
      <c r="S361" s="1" t="s">
        <v>274</v>
      </c>
      <c r="T361" s="1" t="s">
        <v>157</v>
      </c>
      <c r="U361" s="1" t="s">
        <v>1628</v>
      </c>
      <c r="V361" s="1" t="s">
        <v>160</v>
      </c>
      <c r="W361" s="1" t="s">
        <v>160</v>
      </c>
      <c r="X361" s="1" t="s">
        <v>160</v>
      </c>
      <c r="Y361" s="1" t="s">
        <v>160</v>
      </c>
      <c r="Z361" s="1" t="s">
        <v>160</v>
      </c>
      <c r="AA361" s="1" t="s">
        <v>160</v>
      </c>
      <c r="AB361" s="1" t="s">
        <v>160</v>
      </c>
      <c r="AC361" s="1" t="s">
        <v>160</v>
      </c>
      <c r="AD361" s="1" t="s">
        <v>160</v>
      </c>
      <c r="AE361" s="1" t="s">
        <v>160</v>
      </c>
      <c r="AF361" s="1" t="s">
        <v>160</v>
      </c>
      <c r="AG361" s="1" t="s">
        <v>160</v>
      </c>
      <c r="AI361" s="1" t="s">
        <v>160</v>
      </c>
      <c r="AJ361" s="1" t="s">
        <v>198</v>
      </c>
      <c r="AK361" s="1" t="s">
        <v>163</v>
      </c>
      <c r="AL361" s="1" t="s">
        <v>163</v>
      </c>
      <c r="AM361" s="1" t="s">
        <v>163</v>
      </c>
      <c r="AN361" s="1" t="s">
        <v>163</v>
      </c>
      <c r="AO361" s="1" t="s">
        <v>179</v>
      </c>
      <c r="AP361" s="1" t="s">
        <v>179</v>
      </c>
      <c r="AR361" s="1" t="s">
        <v>160</v>
      </c>
      <c r="AS361" s="1" t="s">
        <v>160</v>
      </c>
      <c r="AT361" s="1" t="s">
        <v>1629</v>
      </c>
      <c r="AU361" s="1" t="s">
        <v>160</v>
      </c>
      <c r="AV361" s="1" t="s">
        <v>160</v>
      </c>
      <c r="AW361" s="1" t="s">
        <v>159</v>
      </c>
      <c r="AX361" s="1" t="s">
        <v>160</v>
      </c>
      <c r="AY361" s="1" t="s">
        <v>159</v>
      </c>
      <c r="AZ361" s="1" t="s">
        <v>160</v>
      </c>
      <c r="BA361" s="1" t="s">
        <v>159</v>
      </c>
      <c r="BB361" s="1" t="s">
        <v>181</v>
      </c>
      <c r="BC361" s="1" t="s">
        <v>160</v>
      </c>
      <c r="BD361" s="1" t="s">
        <v>1630</v>
      </c>
      <c r="BE361" s="1" t="s">
        <v>1631</v>
      </c>
      <c r="BF361" s="1" t="s">
        <v>160</v>
      </c>
    </row>
    <row r="362" spans="1:58" ht="13" x14ac:dyDescent="0.15">
      <c r="A362" s="2">
        <v>44175.84652777778</v>
      </c>
      <c r="B362" s="2">
        <v>44175.847916666666</v>
      </c>
      <c r="C362" s="1" t="s">
        <v>39</v>
      </c>
      <c r="D362" s="1" t="s">
        <v>234</v>
      </c>
      <c r="E362" s="1">
        <v>100</v>
      </c>
      <c r="F362" s="1">
        <v>121</v>
      </c>
      <c r="G362" s="1" t="b">
        <v>1</v>
      </c>
      <c r="H362" s="2">
        <v>44175.847916666666</v>
      </c>
      <c r="I362" s="1" t="s">
        <v>1632</v>
      </c>
      <c r="N362" s="1">
        <v>34.048492430000003</v>
      </c>
      <c r="O362" s="1">
        <v>-118.2528992</v>
      </c>
      <c r="P362" s="1" t="s">
        <v>153</v>
      </c>
      <c r="Q362" s="1" t="s">
        <v>154</v>
      </c>
      <c r="R362" s="1" t="s">
        <v>236</v>
      </c>
      <c r="S362" s="1" t="s">
        <v>274</v>
      </c>
      <c r="T362" s="1" t="s">
        <v>263</v>
      </c>
      <c r="U362" s="1" t="s">
        <v>727</v>
      </c>
      <c r="V362" s="1" t="s">
        <v>160</v>
      </c>
      <c r="W362" s="1" t="s">
        <v>160</v>
      </c>
      <c r="X362" s="1" t="s">
        <v>160</v>
      </c>
      <c r="Y362" s="1" t="s">
        <v>160</v>
      </c>
      <c r="Z362" s="1" t="s">
        <v>160</v>
      </c>
      <c r="AA362" s="1" t="s">
        <v>160</v>
      </c>
      <c r="AB362" s="1" t="s">
        <v>160</v>
      </c>
      <c r="AC362" s="1" t="s">
        <v>160</v>
      </c>
      <c r="AD362" s="1" t="s">
        <v>160</v>
      </c>
      <c r="AE362" s="1" t="s">
        <v>160</v>
      </c>
      <c r="AF362" s="1" t="s">
        <v>160</v>
      </c>
      <c r="AG362" s="1" t="s">
        <v>160</v>
      </c>
      <c r="AI362" s="1" t="s">
        <v>160</v>
      </c>
      <c r="AJ362" s="1" t="s">
        <v>163</v>
      </c>
      <c r="AK362" s="1" t="s">
        <v>164</v>
      </c>
      <c r="AL362" s="1" t="s">
        <v>198</v>
      </c>
      <c r="AM362" s="1" t="s">
        <v>198</v>
      </c>
      <c r="AN362" s="1" t="s">
        <v>198</v>
      </c>
      <c r="AO362" s="1" t="s">
        <v>179</v>
      </c>
      <c r="AP362" s="1" t="s">
        <v>179</v>
      </c>
      <c r="AR362" s="1" t="s">
        <v>160</v>
      </c>
      <c r="AS362" s="1" t="s">
        <v>160</v>
      </c>
      <c r="AT362" s="1" t="s">
        <v>1416</v>
      </c>
      <c r="AU362" s="1" t="s">
        <v>160</v>
      </c>
      <c r="AV362" s="1" t="s">
        <v>159</v>
      </c>
      <c r="AW362" s="1" t="s">
        <v>159</v>
      </c>
      <c r="AX362" s="1" t="s">
        <v>159</v>
      </c>
      <c r="AY362" s="1" t="s">
        <v>160</v>
      </c>
      <c r="AZ362" s="1" t="s">
        <v>159</v>
      </c>
      <c r="BA362" s="1" t="s">
        <v>159</v>
      </c>
      <c r="BB362" s="1" t="s">
        <v>167</v>
      </c>
      <c r="BC362" s="1" t="s">
        <v>160</v>
      </c>
      <c r="BD362" s="1" t="s">
        <v>1633</v>
      </c>
      <c r="BE362" s="1" t="s">
        <v>1634</v>
      </c>
      <c r="BF362" s="1" t="s">
        <v>160</v>
      </c>
    </row>
    <row r="363" spans="1:58" ht="13" x14ac:dyDescent="0.15">
      <c r="A363" s="2">
        <v>44175.848611111112</v>
      </c>
      <c r="B363" s="2">
        <v>44175.85</v>
      </c>
      <c r="C363" s="1" t="s">
        <v>39</v>
      </c>
      <c r="D363" s="1" t="s">
        <v>234</v>
      </c>
      <c r="E363" s="1">
        <v>100</v>
      </c>
      <c r="F363" s="1">
        <v>122</v>
      </c>
      <c r="G363" s="1" t="b">
        <v>1</v>
      </c>
      <c r="H363" s="2">
        <v>44175.85</v>
      </c>
      <c r="I363" s="1" t="s">
        <v>1635</v>
      </c>
      <c r="N363" s="1">
        <v>34.048492430000003</v>
      </c>
      <c r="O363" s="1">
        <v>-118.2528992</v>
      </c>
      <c r="P363" s="1" t="s">
        <v>153</v>
      </c>
      <c r="Q363" s="1" t="s">
        <v>154</v>
      </c>
      <c r="R363" s="1" t="s">
        <v>174</v>
      </c>
      <c r="S363" s="1" t="s">
        <v>175</v>
      </c>
      <c r="T363" s="1" t="s">
        <v>176</v>
      </c>
      <c r="U363" s="1" t="s">
        <v>1636</v>
      </c>
      <c r="V363" s="1" t="s">
        <v>160</v>
      </c>
      <c r="W363" s="1" t="s">
        <v>160</v>
      </c>
      <c r="X363" s="1" t="s">
        <v>160</v>
      </c>
      <c r="Y363" s="1" t="s">
        <v>160</v>
      </c>
      <c r="Z363" s="1" t="s">
        <v>160</v>
      </c>
      <c r="AA363" s="1" t="s">
        <v>160</v>
      </c>
      <c r="AB363" s="1" t="s">
        <v>160</v>
      </c>
      <c r="AC363" s="1" t="s">
        <v>160</v>
      </c>
      <c r="AD363" s="1" t="s">
        <v>160</v>
      </c>
      <c r="AE363" s="1" t="s">
        <v>160</v>
      </c>
      <c r="AF363" s="1" t="s">
        <v>160</v>
      </c>
      <c r="AG363" s="1" t="s">
        <v>160</v>
      </c>
      <c r="AI363" s="1" t="s">
        <v>160</v>
      </c>
      <c r="AJ363" s="1" t="s">
        <v>192</v>
      </c>
      <c r="AK363" s="1" t="s">
        <v>164</v>
      </c>
      <c r="AL363" s="1" t="s">
        <v>164</v>
      </c>
      <c r="AM363" s="1" t="s">
        <v>198</v>
      </c>
      <c r="AN363" s="1" t="s">
        <v>192</v>
      </c>
      <c r="AO363" s="1" t="s">
        <v>179</v>
      </c>
      <c r="AP363" s="1" t="s">
        <v>239</v>
      </c>
      <c r="AR363" s="1" t="s">
        <v>160</v>
      </c>
      <c r="AS363" s="1" t="s">
        <v>160</v>
      </c>
      <c r="AT363" s="1" t="s">
        <v>801</v>
      </c>
      <c r="AU363" s="1" t="s">
        <v>160</v>
      </c>
      <c r="AV363" s="1" t="s">
        <v>159</v>
      </c>
      <c r="AW363" s="1" t="s">
        <v>159</v>
      </c>
      <c r="AX363" s="1" t="s">
        <v>160</v>
      </c>
      <c r="AY363" s="1" t="s">
        <v>159</v>
      </c>
      <c r="AZ363" s="1" t="s">
        <v>159</v>
      </c>
      <c r="BA363" s="1" t="s">
        <v>159</v>
      </c>
      <c r="BB363" s="1" t="s">
        <v>222</v>
      </c>
      <c r="BC363" s="1" t="s">
        <v>160</v>
      </c>
      <c r="BD363" s="1" t="s">
        <v>1637</v>
      </c>
      <c r="BE363" s="1" t="s">
        <v>1638</v>
      </c>
      <c r="BF363" s="1" t="s">
        <v>160</v>
      </c>
    </row>
    <row r="364" spans="1:58" ht="13" x14ac:dyDescent="0.15">
      <c r="A364" s="2">
        <v>44175.85</v>
      </c>
      <c r="B364" s="2">
        <v>44175.852083333331</v>
      </c>
      <c r="C364" s="1" t="s">
        <v>39</v>
      </c>
      <c r="D364" s="1" t="s">
        <v>234</v>
      </c>
      <c r="E364" s="1">
        <v>100</v>
      </c>
      <c r="F364" s="1">
        <v>131</v>
      </c>
      <c r="G364" s="1" t="b">
        <v>1</v>
      </c>
      <c r="H364" s="2">
        <v>44175.852083333331</v>
      </c>
      <c r="I364" s="1" t="s">
        <v>1639</v>
      </c>
      <c r="N364" s="1">
        <v>34.048492430000003</v>
      </c>
      <c r="O364" s="1">
        <v>-118.2528992</v>
      </c>
      <c r="P364" s="1" t="s">
        <v>153</v>
      </c>
      <c r="Q364" s="1" t="s">
        <v>154</v>
      </c>
      <c r="R364" s="1" t="s">
        <v>236</v>
      </c>
      <c r="S364" s="1" t="s">
        <v>175</v>
      </c>
      <c r="T364" s="1" t="s">
        <v>237</v>
      </c>
      <c r="U364" s="1" t="s">
        <v>1640</v>
      </c>
      <c r="V364" s="1" t="s">
        <v>160</v>
      </c>
      <c r="W364" s="1" t="s">
        <v>160</v>
      </c>
      <c r="X364" s="1" t="s">
        <v>160</v>
      </c>
      <c r="Y364" s="1" t="s">
        <v>160</v>
      </c>
      <c r="Z364" s="1" t="s">
        <v>160</v>
      </c>
      <c r="AA364" s="1" t="s">
        <v>160</v>
      </c>
      <c r="AB364" s="1" t="s">
        <v>160</v>
      </c>
      <c r="AC364" s="1" t="s">
        <v>160</v>
      </c>
      <c r="AD364" s="1" t="s">
        <v>160</v>
      </c>
      <c r="AE364" s="1" t="s">
        <v>160</v>
      </c>
      <c r="AF364" s="1" t="s">
        <v>160</v>
      </c>
      <c r="AG364" s="1" t="s">
        <v>160</v>
      </c>
      <c r="AI364" s="1" t="s">
        <v>160</v>
      </c>
      <c r="AJ364" s="1" t="s">
        <v>198</v>
      </c>
      <c r="AK364" s="1" t="s">
        <v>192</v>
      </c>
      <c r="AL364" s="1" t="s">
        <v>198</v>
      </c>
      <c r="AM364" s="1" t="s">
        <v>198</v>
      </c>
      <c r="AN364" s="1" t="s">
        <v>163</v>
      </c>
      <c r="AO364" s="1" t="s">
        <v>179</v>
      </c>
      <c r="AP364" s="1" t="s">
        <v>165</v>
      </c>
      <c r="AR364" s="1" t="s">
        <v>160</v>
      </c>
      <c r="AS364" s="1" t="s">
        <v>160</v>
      </c>
      <c r="AT364" s="1" t="s">
        <v>1641</v>
      </c>
      <c r="AU364" s="1" t="s">
        <v>160</v>
      </c>
      <c r="AV364" s="1" t="s">
        <v>160</v>
      </c>
      <c r="AW364" s="1" t="s">
        <v>160</v>
      </c>
      <c r="AX364" s="1" t="s">
        <v>159</v>
      </c>
      <c r="AY364" s="1" t="s">
        <v>160</v>
      </c>
      <c r="AZ364" s="1" t="s">
        <v>160</v>
      </c>
      <c r="BA364" s="1" t="s">
        <v>159</v>
      </c>
      <c r="BB364" s="1" t="s">
        <v>241</v>
      </c>
      <c r="BC364" s="1" t="s">
        <v>160</v>
      </c>
      <c r="BD364" s="1" t="s">
        <v>1642</v>
      </c>
      <c r="BE364" s="1" t="s">
        <v>1643</v>
      </c>
      <c r="BF364" s="1" t="s">
        <v>160</v>
      </c>
    </row>
    <row r="365" spans="1:58" ht="13" x14ac:dyDescent="0.15">
      <c r="A365" s="2">
        <v>44175.852083333331</v>
      </c>
      <c r="B365" s="2">
        <v>44175.853472222225</v>
      </c>
      <c r="C365" s="1" t="s">
        <v>39</v>
      </c>
      <c r="D365" s="1" t="s">
        <v>234</v>
      </c>
      <c r="E365" s="1">
        <v>100</v>
      </c>
      <c r="F365" s="1">
        <v>119</v>
      </c>
      <c r="G365" s="1" t="b">
        <v>1</v>
      </c>
      <c r="H365" s="2">
        <v>44175.853472222225</v>
      </c>
      <c r="I365" s="1" t="s">
        <v>1644</v>
      </c>
      <c r="N365" s="1">
        <v>34.048492430000003</v>
      </c>
      <c r="O365" s="1">
        <v>-118.2528992</v>
      </c>
      <c r="P365" s="1" t="s">
        <v>153</v>
      </c>
      <c r="Q365" s="1" t="s">
        <v>154</v>
      </c>
      <c r="R365" s="1" t="s">
        <v>174</v>
      </c>
      <c r="S365" s="1" t="s">
        <v>274</v>
      </c>
      <c r="T365" s="1" t="s">
        <v>263</v>
      </c>
      <c r="U365" s="1" t="s">
        <v>463</v>
      </c>
      <c r="V365" s="1" t="s">
        <v>160</v>
      </c>
      <c r="W365" s="1" t="s">
        <v>160</v>
      </c>
      <c r="X365" s="1" t="s">
        <v>160</v>
      </c>
      <c r="Y365" s="1" t="s">
        <v>160</v>
      </c>
      <c r="Z365" s="1" t="s">
        <v>160</v>
      </c>
      <c r="AA365" s="1" t="s">
        <v>160</v>
      </c>
      <c r="AB365" s="1" t="s">
        <v>160</v>
      </c>
      <c r="AC365" s="1" t="s">
        <v>160</v>
      </c>
      <c r="AD365" s="1" t="s">
        <v>160</v>
      </c>
      <c r="AE365" s="1" t="s">
        <v>160</v>
      </c>
      <c r="AF365" s="1" t="s">
        <v>160</v>
      </c>
      <c r="AG365" s="1" t="s">
        <v>160</v>
      </c>
      <c r="AI365" s="1" t="s">
        <v>160</v>
      </c>
      <c r="AJ365" s="1" t="s">
        <v>192</v>
      </c>
      <c r="AK365" s="1" t="s">
        <v>164</v>
      </c>
      <c r="AL365" s="1" t="s">
        <v>164</v>
      </c>
      <c r="AM365" s="1" t="s">
        <v>192</v>
      </c>
      <c r="AN365" s="1" t="s">
        <v>164</v>
      </c>
      <c r="AO365" s="1" t="s">
        <v>179</v>
      </c>
      <c r="AP365" s="1" t="s">
        <v>179</v>
      </c>
      <c r="AR365" s="1" t="s">
        <v>160</v>
      </c>
      <c r="AS365" s="1" t="s">
        <v>160</v>
      </c>
      <c r="AT365" s="1" t="s">
        <v>731</v>
      </c>
      <c r="AU365" s="1" t="s">
        <v>159</v>
      </c>
      <c r="AV365" s="1" t="s">
        <v>159</v>
      </c>
      <c r="AW365" s="1" t="s">
        <v>160</v>
      </c>
      <c r="AX365" s="1" t="s">
        <v>159</v>
      </c>
      <c r="AY365" s="1" t="s">
        <v>160</v>
      </c>
      <c r="AZ365" s="1" t="s">
        <v>159</v>
      </c>
      <c r="BA365" s="1" t="s">
        <v>159</v>
      </c>
      <c r="BB365" s="1" t="s">
        <v>241</v>
      </c>
      <c r="BC365" s="1" t="s">
        <v>160</v>
      </c>
      <c r="BD365" s="1" t="s">
        <v>549</v>
      </c>
      <c r="BE365" s="1" t="s">
        <v>1645</v>
      </c>
      <c r="BF365" s="1" t="s">
        <v>160</v>
      </c>
    </row>
    <row r="366" spans="1:58" ht="13" x14ac:dyDescent="0.15">
      <c r="A366" s="2">
        <v>44175.853472222225</v>
      </c>
      <c r="B366" s="2">
        <v>44175.854861111111</v>
      </c>
      <c r="C366" s="1" t="s">
        <v>39</v>
      </c>
      <c r="D366" s="1" t="s">
        <v>234</v>
      </c>
      <c r="E366" s="1">
        <v>100</v>
      </c>
      <c r="F366" s="1">
        <v>119</v>
      </c>
      <c r="G366" s="1" t="b">
        <v>1</v>
      </c>
      <c r="H366" s="2">
        <v>44175.854861111111</v>
      </c>
      <c r="I366" s="1" t="s">
        <v>1646</v>
      </c>
      <c r="N366" s="1">
        <v>34.048492430000003</v>
      </c>
      <c r="O366" s="1">
        <v>-118.2528992</v>
      </c>
      <c r="P366" s="1" t="s">
        <v>153</v>
      </c>
      <c r="Q366" s="1" t="s">
        <v>154</v>
      </c>
      <c r="R366" s="1" t="s">
        <v>174</v>
      </c>
      <c r="S366" s="1" t="s">
        <v>310</v>
      </c>
      <c r="T366" s="1" t="s">
        <v>263</v>
      </c>
      <c r="U366" s="1" t="s">
        <v>1647</v>
      </c>
      <c r="V366" s="1" t="s">
        <v>160</v>
      </c>
      <c r="AG366" s="1" t="s">
        <v>160</v>
      </c>
      <c r="AI366" s="1" t="s">
        <v>160</v>
      </c>
      <c r="AJ366" s="1" t="s">
        <v>198</v>
      </c>
      <c r="AK366" s="1" t="s">
        <v>198</v>
      </c>
      <c r="AL366" s="1" t="s">
        <v>164</v>
      </c>
      <c r="AM366" s="1" t="s">
        <v>163</v>
      </c>
      <c r="AN366" s="1" t="s">
        <v>163</v>
      </c>
      <c r="AO366" s="1" t="s">
        <v>179</v>
      </c>
      <c r="AP366" s="1" t="s">
        <v>239</v>
      </c>
      <c r="AR366" s="1" t="s">
        <v>160</v>
      </c>
      <c r="AS366" s="1" t="s">
        <v>160</v>
      </c>
      <c r="AT366" s="1" t="s">
        <v>1648</v>
      </c>
      <c r="AU366" s="1" t="s">
        <v>159</v>
      </c>
      <c r="AV366" s="1" t="s">
        <v>159</v>
      </c>
      <c r="AW366" s="1" t="s">
        <v>160</v>
      </c>
      <c r="AX366" s="1" t="s">
        <v>159</v>
      </c>
      <c r="AY366" s="1" t="s">
        <v>160</v>
      </c>
      <c r="AZ366" s="1" t="s">
        <v>159</v>
      </c>
      <c r="BA366" s="1" t="s">
        <v>159</v>
      </c>
      <c r="BB366" s="1" t="s">
        <v>222</v>
      </c>
      <c r="BC366" s="1" t="s">
        <v>160</v>
      </c>
      <c r="BD366" s="1" t="s">
        <v>1649</v>
      </c>
      <c r="BE366" s="1" t="s">
        <v>1650</v>
      </c>
      <c r="BF366" s="1" t="s">
        <v>160</v>
      </c>
    </row>
    <row r="367" spans="1:58" ht="13" x14ac:dyDescent="0.15">
      <c r="A367" s="2">
        <v>44175.855555555558</v>
      </c>
      <c r="B367" s="2">
        <v>44175.856944444444</v>
      </c>
      <c r="C367" s="1" t="s">
        <v>39</v>
      </c>
      <c r="D367" s="1" t="s">
        <v>234</v>
      </c>
      <c r="E367" s="1">
        <v>100</v>
      </c>
      <c r="F367" s="1">
        <v>120</v>
      </c>
      <c r="G367" s="1" t="b">
        <v>1</v>
      </c>
      <c r="H367" s="2">
        <v>44175.856944444444</v>
      </c>
      <c r="I367" s="1" t="s">
        <v>1651</v>
      </c>
      <c r="N367" s="1">
        <v>34.048492430000003</v>
      </c>
      <c r="O367" s="1">
        <v>-118.2528992</v>
      </c>
      <c r="P367" s="1" t="s">
        <v>153</v>
      </c>
      <c r="Q367" s="1" t="s">
        <v>154</v>
      </c>
      <c r="R367" s="1" t="s">
        <v>236</v>
      </c>
      <c r="S367" s="1" t="s">
        <v>226</v>
      </c>
      <c r="T367" s="1" t="s">
        <v>237</v>
      </c>
      <c r="U367" s="1" t="s">
        <v>454</v>
      </c>
      <c r="V367" s="1" t="s">
        <v>160</v>
      </c>
      <c r="W367" s="1" t="s">
        <v>160</v>
      </c>
      <c r="X367" s="1" t="s">
        <v>160</v>
      </c>
      <c r="Y367" s="1" t="s">
        <v>160</v>
      </c>
      <c r="Z367" s="1" t="s">
        <v>160</v>
      </c>
      <c r="AA367" s="1" t="s">
        <v>160</v>
      </c>
      <c r="AB367" s="1" t="s">
        <v>160</v>
      </c>
      <c r="AC367" s="1" t="s">
        <v>160</v>
      </c>
      <c r="AD367" s="1" t="s">
        <v>160</v>
      </c>
      <c r="AE367" s="1" t="s">
        <v>160</v>
      </c>
      <c r="AF367" s="1" t="s">
        <v>160</v>
      </c>
      <c r="AG367" s="1" t="s">
        <v>160</v>
      </c>
      <c r="AI367" s="1" t="s">
        <v>160</v>
      </c>
      <c r="AJ367" s="1" t="s">
        <v>192</v>
      </c>
      <c r="AK367" s="1" t="s">
        <v>198</v>
      </c>
      <c r="AL367" s="1" t="s">
        <v>198</v>
      </c>
      <c r="AM367" s="1" t="s">
        <v>164</v>
      </c>
      <c r="AN367" s="1" t="s">
        <v>198</v>
      </c>
      <c r="AO367" s="1" t="s">
        <v>179</v>
      </c>
      <c r="AP367" s="1" t="s">
        <v>165</v>
      </c>
      <c r="AR367" s="1" t="s">
        <v>160</v>
      </c>
      <c r="AS367" s="1" t="s">
        <v>160</v>
      </c>
      <c r="AT367" s="1" t="s">
        <v>1652</v>
      </c>
      <c r="AU367" s="1" t="s">
        <v>159</v>
      </c>
      <c r="AV367" s="1" t="s">
        <v>160</v>
      </c>
      <c r="AW367" s="1" t="s">
        <v>160</v>
      </c>
      <c r="AX367" s="1" t="s">
        <v>160</v>
      </c>
      <c r="AY367" s="1" t="s">
        <v>160</v>
      </c>
      <c r="AZ367" s="1" t="s">
        <v>160</v>
      </c>
      <c r="BA367" s="1" t="s">
        <v>160</v>
      </c>
      <c r="BB367" s="1" t="s">
        <v>181</v>
      </c>
      <c r="BC367" s="1" t="s">
        <v>160</v>
      </c>
      <c r="BD367" s="1" t="s">
        <v>1653</v>
      </c>
      <c r="BE367" s="1" t="s">
        <v>1654</v>
      </c>
      <c r="BF367" s="1" t="s">
        <v>160</v>
      </c>
    </row>
    <row r="368" spans="1:58" ht="13" x14ac:dyDescent="0.15">
      <c r="A368" s="2">
        <v>44175.856944444444</v>
      </c>
      <c r="B368" s="2">
        <v>44175.85833333333</v>
      </c>
      <c r="C368" s="1" t="s">
        <v>39</v>
      </c>
      <c r="D368" s="1" t="s">
        <v>234</v>
      </c>
      <c r="E368" s="1">
        <v>100</v>
      </c>
      <c r="F368" s="1">
        <v>115</v>
      </c>
      <c r="G368" s="1" t="b">
        <v>1</v>
      </c>
      <c r="H368" s="2">
        <v>44175.85833333333</v>
      </c>
      <c r="I368" s="1" t="s">
        <v>1655</v>
      </c>
      <c r="N368" s="1">
        <v>34.048492430000003</v>
      </c>
      <c r="O368" s="1">
        <v>-118.2528992</v>
      </c>
      <c r="P368" s="1" t="s">
        <v>153</v>
      </c>
      <c r="Q368" s="1" t="s">
        <v>154</v>
      </c>
      <c r="R368" s="1" t="s">
        <v>155</v>
      </c>
      <c r="S368" s="1" t="s">
        <v>310</v>
      </c>
      <c r="T368" s="1" t="s">
        <v>245</v>
      </c>
      <c r="U368" s="1" t="s">
        <v>1656</v>
      </c>
      <c r="V368" s="1" t="s">
        <v>160</v>
      </c>
      <c r="W368" s="1" t="s">
        <v>160</v>
      </c>
      <c r="X368" s="1" t="s">
        <v>160</v>
      </c>
      <c r="Y368" s="1" t="s">
        <v>160</v>
      </c>
      <c r="Z368" s="1" t="s">
        <v>160</v>
      </c>
      <c r="AA368" s="1" t="s">
        <v>160</v>
      </c>
      <c r="AB368" s="1" t="s">
        <v>160</v>
      </c>
      <c r="AC368" s="1" t="s">
        <v>160</v>
      </c>
      <c r="AD368" s="1" t="s">
        <v>160</v>
      </c>
      <c r="AE368" s="1" t="s">
        <v>160</v>
      </c>
      <c r="AF368" s="1" t="s">
        <v>160</v>
      </c>
      <c r="AG368" s="1" t="s">
        <v>160</v>
      </c>
      <c r="AI368" s="1" t="s">
        <v>160</v>
      </c>
      <c r="AJ368" s="1" t="s">
        <v>192</v>
      </c>
      <c r="AK368" s="1" t="s">
        <v>164</v>
      </c>
      <c r="AL368" s="1" t="s">
        <v>164</v>
      </c>
      <c r="AM368" s="1" t="s">
        <v>163</v>
      </c>
      <c r="AN368" s="1" t="s">
        <v>164</v>
      </c>
      <c r="AO368" s="1" t="s">
        <v>179</v>
      </c>
      <c r="AP368" s="1" t="s">
        <v>165</v>
      </c>
      <c r="AR368" s="1" t="s">
        <v>160</v>
      </c>
      <c r="AS368" s="1" t="s">
        <v>160</v>
      </c>
      <c r="AT368" s="1" t="s">
        <v>459</v>
      </c>
      <c r="AU368" s="1" t="s">
        <v>160</v>
      </c>
      <c r="AV368" s="1" t="s">
        <v>159</v>
      </c>
      <c r="AW368" s="1" t="s">
        <v>160</v>
      </c>
      <c r="AX368" s="1" t="s">
        <v>160</v>
      </c>
      <c r="AY368" s="1" t="s">
        <v>159</v>
      </c>
      <c r="AZ368" s="1" t="s">
        <v>159</v>
      </c>
      <c r="BA368" s="1" t="s">
        <v>160</v>
      </c>
      <c r="BB368" s="1" t="s">
        <v>181</v>
      </c>
      <c r="BC368" s="1" t="s">
        <v>160</v>
      </c>
      <c r="BD368" s="1" t="s">
        <v>1657</v>
      </c>
      <c r="BE368" s="1" t="s">
        <v>1658</v>
      </c>
      <c r="BF368" s="1" t="s">
        <v>160</v>
      </c>
    </row>
    <row r="369" spans="1:58" ht="13" x14ac:dyDescent="0.15">
      <c r="A369" s="2">
        <v>44175.859027777777</v>
      </c>
      <c r="B369" s="2">
        <v>44175.86041666667</v>
      </c>
      <c r="C369" s="1" t="s">
        <v>39</v>
      </c>
      <c r="D369" s="1" t="s">
        <v>234</v>
      </c>
      <c r="E369" s="1">
        <v>100</v>
      </c>
      <c r="F369" s="1">
        <v>120</v>
      </c>
      <c r="G369" s="1" t="b">
        <v>1</v>
      </c>
      <c r="H369" s="2">
        <v>44175.86041666667</v>
      </c>
      <c r="I369" s="1" t="s">
        <v>1659</v>
      </c>
      <c r="N369" s="1">
        <v>34.048492430000003</v>
      </c>
      <c r="O369" s="1">
        <v>-118.2528992</v>
      </c>
      <c r="P369" s="1" t="s">
        <v>153</v>
      </c>
      <c r="Q369" s="1" t="s">
        <v>154</v>
      </c>
      <c r="R369" s="1" t="s">
        <v>174</v>
      </c>
      <c r="S369" s="1" t="s">
        <v>175</v>
      </c>
      <c r="T369" s="1" t="s">
        <v>157</v>
      </c>
      <c r="U369" s="1" t="s">
        <v>1660</v>
      </c>
      <c r="V369" s="1" t="s">
        <v>160</v>
      </c>
      <c r="W369" s="1" t="s">
        <v>160</v>
      </c>
      <c r="X369" s="1" t="s">
        <v>160</v>
      </c>
      <c r="Y369" s="1" t="s">
        <v>160</v>
      </c>
      <c r="Z369" s="1" t="s">
        <v>160</v>
      </c>
      <c r="AA369" s="1" t="s">
        <v>160</v>
      </c>
      <c r="AB369" s="1" t="s">
        <v>160</v>
      </c>
      <c r="AC369" s="1" t="s">
        <v>160</v>
      </c>
      <c r="AD369" s="1" t="s">
        <v>160</v>
      </c>
      <c r="AE369" s="1" t="s">
        <v>160</v>
      </c>
      <c r="AF369" s="1" t="s">
        <v>160</v>
      </c>
      <c r="AG369" s="1" t="s">
        <v>160</v>
      </c>
      <c r="AI369" s="1" t="s">
        <v>160</v>
      </c>
      <c r="AJ369" s="1" t="s">
        <v>198</v>
      </c>
      <c r="AK369" s="1" t="s">
        <v>192</v>
      </c>
      <c r="AL369" s="1" t="s">
        <v>192</v>
      </c>
      <c r="AM369" s="1" t="s">
        <v>164</v>
      </c>
      <c r="AN369" s="1" t="s">
        <v>164</v>
      </c>
      <c r="AO369" s="1" t="s">
        <v>179</v>
      </c>
      <c r="AP369" s="1" t="s">
        <v>165</v>
      </c>
      <c r="AR369" s="1" t="s">
        <v>160</v>
      </c>
      <c r="AS369" s="1" t="s">
        <v>160</v>
      </c>
      <c r="AT369" s="1" t="s">
        <v>281</v>
      </c>
      <c r="AU369" s="1" t="s">
        <v>159</v>
      </c>
      <c r="AV369" s="1" t="s">
        <v>160</v>
      </c>
      <c r="AW369" s="1" t="s">
        <v>160</v>
      </c>
      <c r="AX369" s="1" t="s">
        <v>160</v>
      </c>
      <c r="AY369" s="1" t="s">
        <v>159</v>
      </c>
      <c r="AZ369" s="1" t="s">
        <v>160</v>
      </c>
      <c r="BA369" s="1" t="s">
        <v>159</v>
      </c>
      <c r="BB369" s="1" t="s">
        <v>181</v>
      </c>
      <c r="BC369" s="1" t="s">
        <v>160</v>
      </c>
      <c r="BD369" s="1" t="s">
        <v>1661</v>
      </c>
      <c r="BE369" s="1" t="s">
        <v>1662</v>
      </c>
      <c r="BF369" s="1" t="s">
        <v>160</v>
      </c>
    </row>
    <row r="370" spans="1:58" ht="13" x14ac:dyDescent="0.15">
      <c r="A370" s="2">
        <v>44175.86041666667</v>
      </c>
      <c r="B370" s="2">
        <v>44175.861805555556</v>
      </c>
      <c r="C370" s="1" t="s">
        <v>39</v>
      </c>
      <c r="D370" s="1" t="s">
        <v>234</v>
      </c>
      <c r="E370" s="1">
        <v>100</v>
      </c>
      <c r="F370" s="1">
        <v>119</v>
      </c>
      <c r="G370" s="1" t="b">
        <v>1</v>
      </c>
      <c r="H370" s="2">
        <v>44175.861805555556</v>
      </c>
      <c r="I370" s="1" t="s">
        <v>1663</v>
      </c>
      <c r="N370" s="1">
        <v>34.048492430000003</v>
      </c>
      <c r="O370" s="1">
        <v>-118.2528992</v>
      </c>
      <c r="P370" s="1" t="s">
        <v>153</v>
      </c>
      <c r="Q370" s="1" t="s">
        <v>154</v>
      </c>
      <c r="R370" s="1" t="s">
        <v>236</v>
      </c>
      <c r="S370" s="1" t="s">
        <v>310</v>
      </c>
      <c r="T370" s="1" t="s">
        <v>176</v>
      </c>
      <c r="U370" s="1" t="s">
        <v>701</v>
      </c>
      <c r="V370" s="1" t="s">
        <v>160</v>
      </c>
      <c r="W370" s="1" t="s">
        <v>160</v>
      </c>
      <c r="X370" s="1" t="s">
        <v>160</v>
      </c>
      <c r="Y370" s="1" t="s">
        <v>160</v>
      </c>
      <c r="Z370" s="1" t="s">
        <v>160</v>
      </c>
      <c r="AA370" s="1" t="s">
        <v>160</v>
      </c>
      <c r="AB370" s="1" t="s">
        <v>160</v>
      </c>
      <c r="AC370" s="1" t="s">
        <v>160</v>
      </c>
      <c r="AD370" s="1" t="s">
        <v>160</v>
      </c>
      <c r="AE370" s="1" t="s">
        <v>160</v>
      </c>
      <c r="AF370" s="1" t="s">
        <v>160</v>
      </c>
      <c r="AG370" s="1" t="s">
        <v>160</v>
      </c>
      <c r="AI370" s="1" t="s">
        <v>160</v>
      </c>
      <c r="AJ370" s="1" t="s">
        <v>163</v>
      </c>
      <c r="AK370" s="1" t="s">
        <v>164</v>
      </c>
      <c r="AL370" s="1" t="s">
        <v>163</v>
      </c>
      <c r="AM370" s="1" t="s">
        <v>192</v>
      </c>
      <c r="AN370" s="1" t="s">
        <v>163</v>
      </c>
      <c r="AO370" s="1" t="s">
        <v>179</v>
      </c>
      <c r="AP370" s="1" t="s">
        <v>165</v>
      </c>
      <c r="AR370" s="1" t="s">
        <v>160</v>
      </c>
      <c r="AS370" s="1" t="s">
        <v>160</v>
      </c>
      <c r="AT370" s="1" t="s">
        <v>180</v>
      </c>
      <c r="AU370" s="1" t="s">
        <v>160</v>
      </c>
      <c r="AV370" s="1" t="s">
        <v>159</v>
      </c>
      <c r="AW370" s="1" t="s">
        <v>159</v>
      </c>
      <c r="AX370" s="1" t="s">
        <v>160</v>
      </c>
      <c r="AY370" s="1" t="s">
        <v>159</v>
      </c>
      <c r="AZ370" s="1" t="s">
        <v>160</v>
      </c>
      <c r="BA370" s="1" t="s">
        <v>160</v>
      </c>
      <c r="BB370" s="1" t="s">
        <v>241</v>
      </c>
      <c r="BC370" s="1" t="s">
        <v>160</v>
      </c>
      <c r="BD370" s="1" t="s">
        <v>1664</v>
      </c>
      <c r="BE370" s="1" t="s">
        <v>1665</v>
      </c>
      <c r="BF370" s="1" t="s">
        <v>160</v>
      </c>
    </row>
    <row r="371" spans="1:58" ht="13" x14ac:dyDescent="0.15">
      <c r="A371" s="2">
        <v>44175.861805555556</v>
      </c>
      <c r="B371" s="2">
        <v>44175.863194444442</v>
      </c>
      <c r="C371" s="1" t="s">
        <v>39</v>
      </c>
      <c r="D371" s="1" t="s">
        <v>234</v>
      </c>
      <c r="E371" s="1">
        <v>100</v>
      </c>
      <c r="F371" s="1">
        <v>119</v>
      </c>
      <c r="G371" s="1" t="b">
        <v>1</v>
      </c>
      <c r="H371" s="2">
        <v>44175.863194444442</v>
      </c>
      <c r="I371" s="1" t="s">
        <v>1666</v>
      </c>
      <c r="N371" s="1">
        <v>34.048492430000003</v>
      </c>
      <c r="O371" s="1">
        <v>-118.2528992</v>
      </c>
      <c r="P371" s="1" t="s">
        <v>153</v>
      </c>
      <c r="Q371" s="1" t="s">
        <v>154</v>
      </c>
      <c r="R371" s="1" t="s">
        <v>155</v>
      </c>
      <c r="S371" s="1" t="s">
        <v>274</v>
      </c>
      <c r="T371" s="1" t="s">
        <v>245</v>
      </c>
      <c r="U371" s="1" t="s">
        <v>1667</v>
      </c>
      <c r="V371" s="1" t="s">
        <v>160</v>
      </c>
      <c r="W371" s="1" t="s">
        <v>160</v>
      </c>
      <c r="X371" s="1" t="s">
        <v>160</v>
      </c>
      <c r="Y371" s="1" t="s">
        <v>160</v>
      </c>
      <c r="Z371" s="1" t="s">
        <v>160</v>
      </c>
      <c r="AA371" s="1" t="s">
        <v>160</v>
      </c>
      <c r="AB371" s="1" t="s">
        <v>160</v>
      </c>
      <c r="AC371" s="1" t="s">
        <v>160</v>
      </c>
      <c r="AD371" s="1" t="s">
        <v>160</v>
      </c>
      <c r="AE371" s="1" t="s">
        <v>160</v>
      </c>
      <c r="AF371" s="1" t="s">
        <v>160</v>
      </c>
      <c r="AG371" s="1" t="s">
        <v>160</v>
      </c>
      <c r="AI371" s="1" t="s">
        <v>160</v>
      </c>
      <c r="AJ371" s="1" t="s">
        <v>164</v>
      </c>
      <c r="AK371" s="1" t="s">
        <v>198</v>
      </c>
      <c r="AL371" s="1" t="s">
        <v>163</v>
      </c>
      <c r="AM371" s="1" t="s">
        <v>164</v>
      </c>
      <c r="AN371" s="1" t="s">
        <v>163</v>
      </c>
      <c r="AO371" s="1" t="s">
        <v>179</v>
      </c>
      <c r="AP371" s="1" t="s">
        <v>239</v>
      </c>
      <c r="AR371" s="1" t="s">
        <v>160</v>
      </c>
      <c r="AS371" s="1" t="s">
        <v>160</v>
      </c>
      <c r="AT371" s="1" t="s">
        <v>327</v>
      </c>
      <c r="AU371" s="1" t="s">
        <v>159</v>
      </c>
      <c r="AV371" s="1" t="s">
        <v>159</v>
      </c>
      <c r="AW371" s="1" t="s">
        <v>159</v>
      </c>
      <c r="AX371" s="1" t="s">
        <v>159</v>
      </c>
      <c r="AY371" s="1" t="s">
        <v>159</v>
      </c>
      <c r="AZ371" s="1" t="s">
        <v>159</v>
      </c>
      <c r="BA371" s="1" t="s">
        <v>160</v>
      </c>
      <c r="BB371" s="1" t="s">
        <v>181</v>
      </c>
      <c r="BC371" s="1" t="s">
        <v>160</v>
      </c>
      <c r="BD371" s="1" t="s">
        <v>1668</v>
      </c>
      <c r="BE371" s="1" t="s">
        <v>1669</v>
      </c>
      <c r="BF371" s="1" t="s">
        <v>160</v>
      </c>
    </row>
    <row r="372" spans="1:58" ht="13" x14ac:dyDescent="0.15">
      <c r="A372" s="2">
        <v>44175.863888888889</v>
      </c>
      <c r="B372" s="2">
        <v>44175.865277777775</v>
      </c>
      <c r="C372" s="1" t="s">
        <v>39</v>
      </c>
      <c r="D372" s="1" t="s">
        <v>234</v>
      </c>
      <c r="E372" s="1">
        <v>100</v>
      </c>
      <c r="F372" s="1">
        <v>120</v>
      </c>
      <c r="G372" s="1" t="b">
        <v>1</v>
      </c>
      <c r="H372" s="2">
        <v>44175.865277777775</v>
      </c>
      <c r="I372" s="1" t="s">
        <v>1670</v>
      </c>
      <c r="N372" s="1">
        <v>34.048492430000003</v>
      </c>
      <c r="O372" s="1">
        <v>-118.2528992</v>
      </c>
      <c r="P372" s="1" t="s">
        <v>153</v>
      </c>
      <c r="Q372" s="1" t="s">
        <v>154</v>
      </c>
      <c r="R372" s="1" t="s">
        <v>174</v>
      </c>
      <c r="S372" s="1" t="s">
        <v>310</v>
      </c>
      <c r="T372" s="1" t="s">
        <v>245</v>
      </c>
      <c r="U372" s="1" t="s">
        <v>264</v>
      </c>
      <c r="V372" s="1" t="s">
        <v>160</v>
      </c>
      <c r="W372" s="1" t="s">
        <v>160</v>
      </c>
      <c r="X372" s="1" t="s">
        <v>160</v>
      </c>
      <c r="Y372" s="1" t="s">
        <v>160</v>
      </c>
      <c r="Z372" s="1" t="s">
        <v>160</v>
      </c>
      <c r="AA372" s="1" t="s">
        <v>160</v>
      </c>
      <c r="AB372" s="1" t="s">
        <v>160</v>
      </c>
      <c r="AC372" s="1" t="s">
        <v>160</v>
      </c>
      <c r="AD372" s="1" t="s">
        <v>160</v>
      </c>
      <c r="AE372" s="1" t="s">
        <v>160</v>
      </c>
      <c r="AF372" s="1" t="s">
        <v>160</v>
      </c>
      <c r="AG372" s="1" t="s">
        <v>160</v>
      </c>
      <c r="AI372" s="1" t="s">
        <v>160</v>
      </c>
      <c r="AJ372" s="1" t="s">
        <v>198</v>
      </c>
      <c r="AK372" s="1" t="s">
        <v>192</v>
      </c>
      <c r="AL372" s="1" t="s">
        <v>164</v>
      </c>
      <c r="AM372" s="1" t="s">
        <v>164</v>
      </c>
      <c r="AN372" s="1" t="s">
        <v>163</v>
      </c>
      <c r="AO372" s="1" t="s">
        <v>179</v>
      </c>
      <c r="AP372" s="1" t="s">
        <v>165</v>
      </c>
      <c r="AR372" s="1" t="s">
        <v>160</v>
      </c>
      <c r="AS372" s="1" t="s">
        <v>160</v>
      </c>
      <c r="AT372" s="1" t="s">
        <v>722</v>
      </c>
      <c r="AU372" s="1" t="s">
        <v>160</v>
      </c>
      <c r="AV372" s="1" t="s">
        <v>160</v>
      </c>
      <c r="AW372" s="1" t="s">
        <v>159</v>
      </c>
      <c r="AX372" s="1" t="s">
        <v>160</v>
      </c>
      <c r="AY372" s="1" t="s">
        <v>160</v>
      </c>
      <c r="AZ372" s="1" t="s">
        <v>159</v>
      </c>
      <c r="BA372" s="1" t="s">
        <v>159</v>
      </c>
      <c r="BB372" s="1" t="s">
        <v>181</v>
      </c>
      <c r="BC372" s="1" t="s">
        <v>160</v>
      </c>
      <c r="BD372" s="1" t="s">
        <v>1671</v>
      </c>
      <c r="BE372" s="1" t="s">
        <v>1672</v>
      </c>
      <c r="BF372" s="1" t="s">
        <v>160</v>
      </c>
    </row>
    <row r="373" spans="1:58" ht="13" x14ac:dyDescent="0.15">
      <c r="A373" s="2">
        <v>44175.865277777775</v>
      </c>
      <c r="B373" s="2">
        <v>44175.866666666669</v>
      </c>
      <c r="C373" s="1" t="s">
        <v>39</v>
      </c>
      <c r="D373" s="1" t="s">
        <v>234</v>
      </c>
      <c r="E373" s="1">
        <v>100</v>
      </c>
      <c r="F373" s="1">
        <v>122</v>
      </c>
      <c r="G373" s="1" t="b">
        <v>1</v>
      </c>
      <c r="H373" s="2">
        <v>44175.866666666669</v>
      </c>
      <c r="I373" s="1" t="s">
        <v>1673</v>
      </c>
      <c r="N373" s="1">
        <v>34.048492430000003</v>
      </c>
      <c r="O373" s="1">
        <v>-118.2528992</v>
      </c>
      <c r="P373" s="1" t="s">
        <v>153</v>
      </c>
      <c r="Q373" s="1" t="s">
        <v>154</v>
      </c>
      <c r="R373" s="1" t="s">
        <v>174</v>
      </c>
      <c r="S373" s="1" t="s">
        <v>175</v>
      </c>
      <c r="T373" s="1" t="s">
        <v>263</v>
      </c>
      <c r="U373" s="1" t="s">
        <v>1674</v>
      </c>
      <c r="V373" s="1" t="s">
        <v>160</v>
      </c>
      <c r="W373" s="1" t="s">
        <v>160</v>
      </c>
      <c r="X373" s="1" t="s">
        <v>160</v>
      </c>
      <c r="Y373" s="1" t="s">
        <v>160</v>
      </c>
      <c r="Z373" s="1" t="s">
        <v>160</v>
      </c>
      <c r="AA373" s="1" t="s">
        <v>160</v>
      </c>
      <c r="AB373" s="1" t="s">
        <v>160</v>
      </c>
      <c r="AC373" s="1" t="s">
        <v>160</v>
      </c>
      <c r="AD373" s="1" t="s">
        <v>160</v>
      </c>
      <c r="AE373" s="1" t="s">
        <v>160</v>
      </c>
      <c r="AF373" s="1" t="s">
        <v>160</v>
      </c>
      <c r="AG373" s="1" t="s">
        <v>160</v>
      </c>
      <c r="AI373" s="1" t="s">
        <v>160</v>
      </c>
      <c r="AJ373" s="1" t="s">
        <v>163</v>
      </c>
      <c r="AK373" s="1" t="s">
        <v>164</v>
      </c>
      <c r="AL373" s="1" t="s">
        <v>163</v>
      </c>
      <c r="AM373" s="1" t="s">
        <v>192</v>
      </c>
      <c r="AN373" s="1" t="s">
        <v>198</v>
      </c>
      <c r="AO373" s="1" t="s">
        <v>179</v>
      </c>
      <c r="AP373" s="1" t="s">
        <v>239</v>
      </c>
      <c r="AR373" s="1" t="s">
        <v>160</v>
      </c>
      <c r="AS373" s="1" t="s">
        <v>160</v>
      </c>
      <c r="AT373" s="1" t="s">
        <v>210</v>
      </c>
      <c r="AU373" s="1" t="s">
        <v>160</v>
      </c>
      <c r="AV373" s="1" t="s">
        <v>159</v>
      </c>
      <c r="AW373" s="1" t="s">
        <v>160</v>
      </c>
      <c r="AX373" s="1" t="s">
        <v>159</v>
      </c>
      <c r="AY373" s="1" t="s">
        <v>159</v>
      </c>
      <c r="AZ373" s="1" t="s">
        <v>160</v>
      </c>
      <c r="BA373" s="1" t="s">
        <v>160</v>
      </c>
      <c r="BB373" s="1" t="s">
        <v>241</v>
      </c>
      <c r="BC373" s="1" t="s">
        <v>160</v>
      </c>
      <c r="BD373" s="1" t="s">
        <v>1675</v>
      </c>
      <c r="BE373" s="1" t="s">
        <v>1676</v>
      </c>
      <c r="BF373" s="1" t="s">
        <v>160</v>
      </c>
    </row>
    <row r="374" spans="1:58" ht="13" x14ac:dyDescent="0.15">
      <c r="A374" s="2">
        <v>44175.867361111108</v>
      </c>
      <c r="B374" s="2">
        <v>44175.868750000001</v>
      </c>
      <c r="C374" s="1" t="s">
        <v>39</v>
      </c>
      <c r="D374" s="1" t="s">
        <v>234</v>
      </c>
      <c r="E374" s="1">
        <v>100</v>
      </c>
      <c r="F374" s="1">
        <v>120</v>
      </c>
      <c r="G374" s="1" t="b">
        <v>1</v>
      </c>
      <c r="H374" s="2">
        <v>44175.868750000001</v>
      </c>
      <c r="I374" s="1" t="s">
        <v>1677</v>
      </c>
      <c r="N374" s="1">
        <v>34.048492430000003</v>
      </c>
      <c r="O374" s="1">
        <v>-118.2528992</v>
      </c>
      <c r="P374" s="1" t="s">
        <v>153</v>
      </c>
      <c r="Q374" s="1" t="s">
        <v>154</v>
      </c>
      <c r="R374" s="1" t="s">
        <v>155</v>
      </c>
      <c r="S374" s="1" t="s">
        <v>208</v>
      </c>
      <c r="T374" s="1" t="s">
        <v>245</v>
      </c>
      <c r="U374" s="1" t="s">
        <v>1486</v>
      </c>
      <c r="V374" s="1" t="s">
        <v>160</v>
      </c>
      <c r="W374" s="1" t="s">
        <v>160</v>
      </c>
      <c r="X374" s="1" t="s">
        <v>160</v>
      </c>
      <c r="Y374" s="1" t="s">
        <v>160</v>
      </c>
      <c r="Z374" s="1" t="s">
        <v>160</v>
      </c>
      <c r="AA374" s="1" t="s">
        <v>160</v>
      </c>
      <c r="AB374" s="1" t="s">
        <v>160</v>
      </c>
      <c r="AC374" s="1" t="s">
        <v>160</v>
      </c>
      <c r="AD374" s="1" t="s">
        <v>160</v>
      </c>
      <c r="AE374" s="1" t="s">
        <v>160</v>
      </c>
      <c r="AF374" s="1" t="s">
        <v>160</v>
      </c>
      <c r="AG374" s="1" t="s">
        <v>160</v>
      </c>
      <c r="AI374" s="1" t="s">
        <v>160</v>
      </c>
      <c r="AJ374" s="1" t="s">
        <v>164</v>
      </c>
      <c r="AK374" s="1" t="s">
        <v>192</v>
      </c>
      <c r="AL374" s="1" t="s">
        <v>198</v>
      </c>
      <c r="AM374" s="1" t="s">
        <v>192</v>
      </c>
      <c r="AN374" s="1" t="s">
        <v>163</v>
      </c>
      <c r="AO374" s="1" t="s">
        <v>179</v>
      </c>
      <c r="AP374" s="1" t="s">
        <v>165</v>
      </c>
      <c r="AR374" s="1" t="s">
        <v>160</v>
      </c>
      <c r="AS374" s="1" t="s">
        <v>160</v>
      </c>
      <c r="AT374" s="1" t="s">
        <v>1534</v>
      </c>
      <c r="AU374" s="1" t="s">
        <v>159</v>
      </c>
      <c r="AV374" s="1" t="s">
        <v>159</v>
      </c>
      <c r="AW374" s="1" t="s">
        <v>160</v>
      </c>
      <c r="AX374" s="1" t="s">
        <v>159</v>
      </c>
      <c r="AY374" s="1" t="s">
        <v>159</v>
      </c>
      <c r="AZ374" s="1" t="s">
        <v>159</v>
      </c>
      <c r="BA374" s="1" t="s">
        <v>159</v>
      </c>
      <c r="BB374" s="1" t="s">
        <v>241</v>
      </c>
      <c r="BC374" s="1" t="s">
        <v>160</v>
      </c>
      <c r="BD374" s="1" t="s">
        <v>1678</v>
      </c>
      <c r="BE374" s="1" t="s">
        <v>1679</v>
      </c>
      <c r="BF374" s="1" t="s">
        <v>160</v>
      </c>
    </row>
    <row r="375" spans="1:58" ht="13" x14ac:dyDescent="0.15">
      <c r="A375" s="2">
        <v>44175.868750000001</v>
      </c>
      <c r="B375" s="2">
        <v>44175.870138888888</v>
      </c>
      <c r="C375" s="1" t="s">
        <v>39</v>
      </c>
      <c r="D375" s="1" t="s">
        <v>234</v>
      </c>
      <c r="E375" s="1">
        <v>100</v>
      </c>
      <c r="F375" s="1">
        <v>120</v>
      </c>
      <c r="G375" s="1" t="b">
        <v>1</v>
      </c>
      <c r="H375" s="2">
        <v>44175.870138888888</v>
      </c>
      <c r="I375" s="1" t="s">
        <v>1680</v>
      </c>
      <c r="N375" s="1">
        <v>34.048492430000003</v>
      </c>
      <c r="O375" s="1">
        <v>-118.2528992</v>
      </c>
      <c r="P375" s="1" t="s">
        <v>153</v>
      </c>
      <c r="Q375" s="1" t="s">
        <v>154</v>
      </c>
      <c r="R375" s="1" t="s">
        <v>236</v>
      </c>
      <c r="S375" s="1" t="s">
        <v>226</v>
      </c>
      <c r="T375" s="1" t="s">
        <v>176</v>
      </c>
      <c r="U375" s="1" t="s">
        <v>436</v>
      </c>
      <c r="V375" s="1" t="s">
        <v>160</v>
      </c>
      <c r="W375" s="1" t="s">
        <v>160</v>
      </c>
      <c r="X375" s="1" t="s">
        <v>160</v>
      </c>
      <c r="Y375" s="1" t="s">
        <v>160</v>
      </c>
      <c r="Z375" s="1" t="s">
        <v>160</v>
      </c>
      <c r="AA375" s="1" t="s">
        <v>160</v>
      </c>
      <c r="AB375" s="1" t="s">
        <v>160</v>
      </c>
      <c r="AC375" s="1" t="s">
        <v>160</v>
      </c>
      <c r="AD375" s="1" t="s">
        <v>160</v>
      </c>
      <c r="AE375" s="1" t="s">
        <v>160</v>
      </c>
      <c r="AF375" s="1" t="s">
        <v>160</v>
      </c>
      <c r="AG375" s="1" t="s">
        <v>160</v>
      </c>
      <c r="AI375" s="1" t="s">
        <v>160</v>
      </c>
      <c r="AJ375" s="1" t="s">
        <v>163</v>
      </c>
      <c r="AK375" s="1" t="s">
        <v>198</v>
      </c>
      <c r="AL375" s="1" t="s">
        <v>163</v>
      </c>
      <c r="AM375" s="1" t="s">
        <v>198</v>
      </c>
      <c r="AN375" s="1" t="s">
        <v>164</v>
      </c>
      <c r="AO375" s="1" t="s">
        <v>179</v>
      </c>
      <c r="AP375" s="1" t="s">
        <v>239</v>
      </c>
      <c r="AR375" s="1" t="s">
        <v>160</v>
      </c>
      <c r="AS375" s="1" t="s">
        <v>160</v>
      </c>
      <c r="AT375" s="1" t="s">
        <v>210</v>
      </c>
      <c r="AU375" s="1" t="s">
        <v>159</v>
      </c>
      <c r="AV375" s="1" t="s">
        <v>160</v>
      </c>
      <c r="AW375" s="1" t="s">
        <v>159</v>
      </c>
      <c r="AX375" s="1" t="s">
        <v>160</v>
      </c>
      <c r="AY375" s="1" t="s">
        <v>160</v>
      </c>
      <c r="AZ375" s="1" t="s">
        <v>159</v>
      </c>
      <c r="BA375" s="1" t="s">
        <v>159</v>
      </c>
      <c r="BB375" s="1" t="s">
        <v>241</v>
      </c>
      <c r="BC375" s="1" t="s">
        <v>160</v>
      </c>
      <c r="BD375" s="1" t="s">
        <v>1681</v>
      </c>
      <c r="BE375" s="1" t="s">
        <v>1682</v>
      </c>
      <c r="BF375" s="1" t="s">
        <v>160</v>
      </c>
    </row>
    <row r="376" spans="1:58" ht="13" x14ac:dyDescent="0.15">
      <c r="A376" s="2">
        <v>44175.870833333334</v>
      </c>
      <c r="B376" s="2">
        <v>44175.87222222222</v>
      </c>
      <c r="C376" s="1" t="s">
        <v>39</v>
      </c>
      <c r="D376" s="1" t="s">
        <v>234</v>
      </c>
      <c r="E376" s="1">
        <v>100</v>
      </c>
      <c r="F376" s="1">
        <v>120</v>
      </c>
      <c r="G376" s="1" t="b">
        <v>1</v>
      </c>
      <c r="H376" s="2">
        <v>44175.87222222222</v>
      </c>
      <c r="I376" s="1" t="s">
        <v>1683</v>
      </c>
      <c r="N376" s="1">
        <v>34.048492430000003</v>
      </c>
      <c r="O376" s="1">
        <v>-118.2528992</v>
      </c>
      <c r="P376" s="1" t="s">
        <v>153</v>
      </c>
      <c r="Q376" s="1" t="s">
        <v>154</v>
      </c>
      <c r="R376" s="1" t="s">
        <v>236</v>
      </c>
      <c r="S376" s="1" t="s">
        <v>274</v>
      </c>
      <c r="T376" s="1" t="s">
        <v>237</v>
      </c>
      <c r="U376" s="1" t="s">
        <v>1684</v>
      </c>
      <c r="V376" s="1" t="s">
        <v>160</v>
      </c>
      <c r="W376" s="1" t="s">
        <v>160</v>
      </c>
      <c r="X376" s="1" t="s">
        <v>160</v>
      </c>
      <c r="Y376" s="1" t="s">
        <v>160</v>
      </c>
      <c r="Z376" s="1" t="s">
        <v>160</v>
      </c>
      <c r="AA376" s="1" t="s">
        <v>160</v>
      </c>
      <c r="AB376" s="1" t="s">
        <v>160</v>
      </c>
      <c r="AC376" s="1" t="s">
        <v>160</v>
      </c>
      <c r="AD376" s="1" t="s">
        <v>160</v>
      </c>
      <c r="AE376" s="1" t="s">
        <v>160</v>
      </c>
      <c r="AF376" s="1" t="s">
        <v>160</v>
      </c>
      <c r="AG376" s="1" t="s">
        <v>160</v>
      </c>
      <c r="AI376" s="1" t="s">
        <v>160</v>
      </c>
      <c r="AJ376" s="1" t="s">
        <v>163</v>
      </c>
      <c r="AK376" s="1" t="s">
        <v>198</v>
      </c>
      <c r="AL376" s="1" t="s">
        <v>192</v>
      </c>
      <c r="AM376" s="1" t="s">
        <v>192</v>
      </c>
      <c r="AN376" s="1" t="s">
        <v>164</v>
      </c>
      <c r="AO376" s="1" t="s">
        <v>179</v>
      </c>
      <c r="AP376" s="1" t="s">
        <v>239</v>
      </c>
      <c r="AR376" s="1" t="s">
        <v>160</v>
      </c>
      <c r="AS376" s="1" t="s">
        <v>160</v>
      </c>
      <c r="AT376" s="1" t="s">
        <v>1685</v>
      </c>
      <c r="AU376" s="1" t="s">
        <v>160</v>
      </c>
      <c r="AV376" s="1" t="s">
        <v>160</v>
      </c>
      <c r="AW376" s="1" t="s">
        <v>160</v>
      </c>
      <c r="AX376" s="1" t="s">
        <v>159</v>
      </c>
      <c r="AY376" s="1" t="s">
        <v>159</v>
      </c>
      <c r="AZ376" s="1" t="s">
        <v>160</v>
      </c>
      <c r="BA376" s="1" t="s">
        <v>160</v>
      </c>
      <c r="BB376" s="1" t="s">
        <v>241</v>
      </c>
      <c r="BC376" s="1" t="s">
        <v>160</v>
      </c>
      <c r="BD376" s="1" t="s">
        <v>1686</v>
      </c>
      <c r="BE376" s="1" t="s">
        <v>1687</v>
      </c>
      <c r="BF376" s="1" t="s">
        <v>160</v>
      </c>
    </row>
    <row r="377" spans="1:58" ht="13" x14ac:dyDescent="0.15">
      <c r="A377" s="2">
        <v>44175.87222222222</v>
      </c>
      <c r="B377" s="2">
        <v>44175.873611111114</v>
      </c>
      <c r="C377" s="1" t="s">
        <v>39</v>
      </c>
      <c r="D377" s="1" t="s">
        <v>234</v>
      </c>
      <c r="E377" s="1">
        <v>100</v>
      </c>
      <c r="F377" s="1">
        <v>121</v>
      </c>
      <c r="G377" s="1" t="b">
        <v>1</v>
      </c>
      <c r="H377" s="2">
        <v>44175.873611111114</v>
      </c>
      <c r="I377" s="1" t="s">
        <v>1688</v>
      </c>
      <c r="N377" s="1">
        <v>34.048492430000003</v>
      </c>
      <c r="O377" s="1">
        <v>-118.2528992</v>
      </c>
      <c r="P377" s="1" t="s">
        <v>153</v>
      </c>
      <c r="Q377" s="1" t="s">
        <v>154</v>
      </c>
      <c r="R377" s="1" t="s">
        <v>236</v>
      </c>
      <c r="S377" s="1" t="s">
        <v>175</v>
      </c>
      <c r="T377" s="1" t="s">
        <v>245</v>
      </c>
      <c r="U377" s="1" t="s">
        <v>1689</v>
      </c>
      <c r="V377" s="1" t="s">
        <v>160</v>
      </c>
      <c r="W377" s="1" t="s">
        <v>160</v>
      </c>
      <c r="X377" s="1" t="s">
        <v>160</v>
      </c>
      <c r="Y377" s="1" t="s">
        <v>160</v>
      </c>
      <c r="Z377" s="1" t="s">
        <v>160</v>
      </c>
      <c r="AA377" s="1" t="s">
        <v>160</v>
      </c>
      <c r="AB377" s="1" t="s">
        <v>160</v>
      </c>
      <c r="AC377" s="1" t="s">
        <v>160</v>
      </c>
      <c r="AD377" s="1" t="s">
        <v>160</v>
      </c>
      <c r="AE377" s="1" t="s">
        <v>160</v>
      </c>
      <c r="AF377" s="1" t="s">
        <v>160</v>
      </c>
      <c r="AG377" s="1" t="s">
        <v>160</v>
      </c>
      <c r="AI377" s="1" t="s">
        <v>160</v>
      </c>
      <c r="AJ377" s="1" t="s">
        <v>198</v>
      </c>
      <c r="AK377" s="1" t="s">
        <v>163</v>
      </c>
      <c r="AL377" s="1" t="s">
        <v>163</v>
      </c>
      <c r="AM377" s="1" t="s">
        <v>192</v>
      </c>
      <c r="AN377" s="1" t="s">
        <v>164</v>
      </c>
      <c r="AO377" s="1" t="s">
        <v>179</v>
      </c>
      <c r="AP377" s="1" t="s">
        <v>165</v>
      </c>
      <c r="AR377" s="1" t="s">
        <v>160</v>
      </c>
      <c r="AS377" s="1" t="s">
        <v>160</v>
      </c>
      <c r="AT377" s="1" t="s">
        <v>1690</v>
      </c>
      <c r="AU377" s="1" t="s">
        <v>160</v>
      </c>
      <c r="AV377" s="1" t="s">
        <v>159</v>
      </c>
      <c r="AW377" s="1" t="s">
        <v>159</v>
      </c>
      <c r="AX377" s="1" t="s">
        <v>160</v>
      </c>
      <c r="AY377" s="1" t="s">
        <v>159</v>
      </c>
      <c r="AZ377" s="1" t="s">
        <v>159</v>
      </c>
      <c r="BA377" s="1" t="s">
        <v>159</v>
      </c>
      <c r="BB377" s="1" t="s">
        <v>241</v>
      </c>
      <c r="BC377" s="1" t="s">
        <v>160</v>
      </c>
      <c r="BD377" s="1" t="s">
        <v>1691</v>
      </c>
      <c r="BE377" s="1" t="s">
        <v>1692</v>
      </c>
      <c r="BF377" s="1" t="s">
        <v>160</v>
      </c>
    </row>
    <row r="378" spans="1:58" ht="13" x14ac:dyDescent="0.15">
      <c r="A378" s="2">
        <v>44175.873611111114</v>
      </c>
      <c r="B378" s="2">
        <v>44175.875</v>
      </c>
      <c r="C378" s="1" t="s">
        <v>39</v>
      </c>
      <c r="D378" s="1" t="s">
        <v>234</v>
      </c>
      <c r="E378" s="1">
        <v>100</v>
      </c>
      <c r="F378" s="1">
        <v>121</v>
      </c>
      <c r="G378" s="1" t="b">
        <v>1</v>
      </c>
      <c r="H378" s="2">
        <v>44175.875</v>
      </c>
      <c r="I378" s="1" t="s">
        <v>1693</v>
      </c>
      <c r="N378" s="1">
        <v>34.048492430000003</v>
      </c>
      <c r="O378" s="1">
        <v>-118.2528992</v>
      </c>
      <c r="P378" s="1" t="s">
        <v>153</v>
      </c>
      <c r="Q378" s="1" t="s">
        <v>154</v>
      </c>
      <c r="R378" s="1" t="s">
        <v>174</v>
      </c>
      <c r="S378" s="1" t="s">
        <v>208</v>
      </c>
      <c r="T378" s="1" t="s">
        <v>237</v>
      </c>
      <c r="U378" s="1" t="s">
        <v>701</v>
      </c>
      <c r="V378" s="1" t="s">
        <v>160</v>
      </c>
      <c r="W378" s="1" t="s">
        <v>160</v>
      </c>
      <c r="X378" s="1" t="s">
        <v>160</v>
      </c>
      <c r="Y378" s="1" t="s">
        <v>160</v>
      </c>
      <c r="Z378" s="1" t="s">
        <v>160</v>
      </c>
      <c r="AA378" s="1" t="s">
        <v>160</v>
      </c>
      <c r="AB378" s="1" t="s">
        <v>160</v>
      </c>
      <c r="AC378" s="1" t="s">
        <v>160</v>
      </c>
      <c r="AD378" s="1" t="s">
        <v>160</v>
      </c>
      <c r="AE378" s="1" t="s">
        <v>160</v>
      </c>
      <c r="AF378" s="1" t="s">
        <v>160</v>
      </c>
      <c r="AG378" s="1" t="s">
        <v>160</v>
      </c>
      <c r="AI378" s="1" t="s">
        <v>160</v>
      </c>
      <c r="AJ378" s="1" t="s">
        <v>198</v>
      </c>
      <c r="AK378" s="1" t="s">
        <v>163</v>
      </c>
      <c r="AL378" s="1" t="s">
        <v>192</v>
      </c>
      <c r="AM378" s="1" t="s">
        <v>192</v>
      </c>
      <c r="AN378" s="1" t="s">
        <v>192</v>
      </c>
      <c r="AO378" s="1" t="s">
        <v>179</v>
      </c>
      <c r="AP378" s="1" t="s">
        <v>165</v>
      </c>
      <c r="AR378" s="1" t="s">
        <v>160</v>
      </c>
      <c r="AS378" s="1" t="s">
        <v>160</v>
      </c>
      <c r="AT378" s="1" t="s">
        <v>1694</v>
      </c>
      <c r="AU378" s="1" t="s">
        <v>160</v>
      </c>
      <c r="AV378" s="1" t="s">
        <v>160</v>
      </c>
      <c r="AW378" s="1" t="s">
        <v>160</v>
      </c>
      <c r="AX378" s="1" t="s">
        <v>159</v>
      </c>
      <c r="AY378" s="1" t="s">
        <v>159</v>
      </c>
      <c r="AZ378" s="1" t="s">
        <v>160</v>
      </c>
      <c r="BA378" s="1" t="s">
        <v>159</v>
      </c>
      <c r="BB378" s="1" t="s">
        <v>241</v>
      </c>
      <c r="BC378" s="1" t="s">
        <v>160</v>
      </c>
      <c r="BD378" s="1" t="s">
        <v>1695</v>
      </c>
      <c r="BE378" s="1" t="s">
        <v>1696</v>
      </c>
      <c r="BF378" s="1" t="s">
        <v>160</v>
      </c>
    </row>
    <row r="379" spans="1:58" ht="13" x14ac:dyDescent="0.15">
      <c r="A379" s="2">
        <v>44175.875694444447</v>
      </c>
      <c r="B379" s="2">
        <v>44175.877083333333</v>
      </c>
      <c r="C379" s="1" t="s">
        <v>39</v>
      </c>
      <c r="D379" s="1" t="s">
        <v>234</v>
      </c>
      <c r="E379" s="1">
        <v>100</v>
      </c>
      <c r="F379" s="1">
        <v>121</v>
      </c>
      <c r="G379" s="1" t="b">
        <v>1</v>
      </c>
      <c r="H379" s="2">
        <v>44175.877083333333</v>
      </c>
      <c r="I379" s="1" t="s">
        <v>1697</v>
      </c>
      <c r="N379" s="1">
        <v>34.048492430000003</v>
      </c>
      <c r="O379" s="1">
        <v>-118.2528992</v>
      </c>
      <c r="P379" s="1" t="s">
        <v>153</v>
      </c>
      <c r="Q379" s="1" t="s">
        <v>154</v>
      </c>
      <c r="R379" s="1" t="s">
        <v>236</v>
      </c>
      <c r="S379" s="1" t="s">
        <v>208</v>
      </c>
      <c r="T379" s="1" t="s">
        <v>157</v>
      </c>
      <c r="U379" s="1" t="s">
        <v>1698</v>
      </c>
      <c r="V379" s="1" t="s">
        <v>160</v>
      </c>
      <c r="W379" s="1" t="s">
        <v>160</v>
      </c>
      <c r="X379" s="1" t="s">
        <v>160</v>
      </c>
      <c r="Y379" s="1" t="s">
        <v>160</v>
      </c>
      <c r="Z379" s="1" t="s">
        <v>160</v>
      </c>
      <c r="AA379" s="1" t="s">
        <v>160</v>
      </c>
      <c r="AB379" s="1" t="s">
        <v>160</v>
      </c>
      <c r="AC379" s="1" t="s">
        <v>160</v>
      </c>
      <c r="AD379" s="1" t="s">
        <v>160</v>
      </c>
      <c r="AE379" s="1" t="s">
        <v>160</v>
      </c>
      <c r="AF379" s="1" t="s">
        <v>160</v>
      </c>
      <c r="AG379" s="1" t="s">
        <v>160</v>
      </c>
      <c r="AI379" s="1" t="s">
        <v>160</v>
      </c>
      <c r="AJ379" s="1" t="s">
        <v>163</v>
      </c>
      <c r="AK379" s="1" t="s">
        <v>163</v>
      </c>
      <c r="AL379" s="1" t="s">
        <v>164</v>
      </c>
      <c r="AM379" s="1" t="s">
        <v>192</v>
      </c>
      <c r="AN379" s="1" t="s">
        <v>164</v>
      </c>
      <c r="AO379" s="1" t="s">
        <v>179</v>
      </c>
      <c r="AP379" s="1" t="s">
        <v>179</v>
      </c>
      <c r="AR379" s="1" t="s">
        <v>160</v>
      </c>
      <c r="AS379" s="1" t="s">
        <v>160</v>
      </c>
      <c r="AT379" s="1" t="s">
        <v>1699</v>
      </c>
      <c r="AU379" s="1" t="s">
        <v>160</v>
      </c>
      <c r="AV379" s="1" t="s">
        <v>160</v>
      </c>
      <c r="AW379" s="1" t="s">
        <v>160</v>
      </c>
      <c r="AX379" s="1" t="s">
        <v>160</v>
      </c>
      <c r="AY379" s="1" t="s">
        <v>159</v>
      </c>
      <c r="AZ379" s="1" t="s">
        <v>160</v>
      </c>
      <c r="BA379" s="1" t="s">
        <v>159</v>
      </c>
      <c r="BB379" s="1" t="s">
        <v>167</v>
      </c>
      <c r="BC379" s="1" t="s">
        <v>160</v>
      </c>
      <c r="BD379" s="1" t="s">
        <v>1700</v>
      </c>
      <c r="BE379" s="1" t="s">
        <v>1701</v>
      </c>
      <c r="BF379" s="1" t="s">
        <v>160</v>
      </c>
    </row>
    <row r="380" spans="1:58" ht="13" x14ac:dyDescent="0.15">
      <c r="A380" s="2">
        <v>44175.877083333333</v>
      </c>
      <c r="B380" s="2">
        <v>44175.878472222219</v>
      </c>
      <c r="C380" s="1" t="s">
        <v>39</v>
      </c>
      <c r="D380" s="1" t="s">
        <v>234</v>
      </c>
      <c r="E380" s="1">
        <v>100</v>
      </c>
      <c r="F380" s="1">
        <v>121</v>
      </c>
      <c r="G380" s="1" t="b">
        <v>1</v>
      </c>
      <c r="H380" s="2">
        <v>44175.878472222219</v>
      </c>
      <c r="I380" s="1" t="s">
        <v>1702</v>
      </c>
      <c r="N380" s="1">
        <v>34.048492430000003</v>
      </c>
      <c r="O380" s="1">
        <v>-118.2528992</v>
      </c>
      <c r="P380" s="1" t="s">
        <v>153</v>
      </c>
      <c r="Q380" s="1" t="s">
        <v>154</v>
      </c>
      <c r="R380" s="1" t="s">
        <v>174</v>
      </c>
      <c r="S380" s="1" t="s">
        <v>226</v>
      </c>
      <c r="T380" s="1" t="s">
        <v>176</v>
      </c>
      <c r="U380" s="1" t="s">
        <v>1703</v>
      </c>
      <c r="V380" s="1" t="s">
        <v>160</v>
      </c>
      <c r="W380" s="1" t="s">
        <v>160</v>
      </c>
      <c r="X380" s="1" t="s">
        <v>160</v>
      </c>
      <c r="Y380" s="1" t="s">
        <v>160</v>
      </c>
      <c r="Z380" s="1" t="s">
        <v>160</v>
      </c>
      <c r="AA380" s="1" t="s">
        <v>160</v>
      </c>
      <c r="AB380" s="1" t="s">
        <v>160</v>
      </c>
      <c r="AC380" s="1" t="s">
        <v>160</v>
      </c>
      <c r="AD380" s="1" t="s">
        <v>160</v>
      </c>
      <c r="AE380" s="1" t="s">
        <v>160</v>
      </c>
      <c r="AF380" s="1" t="s">
        <v>160</v>
      </c>
      <c r="AG380" s="1" t="s">
        <v>160</v>
      </c>
      <c r="AI380" s="1" t="s">
        <v>160</v>
      </c>
      <c r="AJ380" s="1" t="s">
        <v>198</v>
      </c>
      <c r="AK380" s="1" t="s">
        <v>164</v>
      </c>
      <c r="AL380" s="1" t="s">
        <v>163</v>
      </c>
      <c r="AM380" s="1" t="s">
        <v>192</v>
      </c>
      <c r="AN380" s="1" t="s">
        <v>198</v>
      </c>
      <c r="AO380" s="1" t="s">
        <v>179</v>
      </c>
      <c r="AP380" s="1" t="s">
        <v>179</v>
      </c>
      <c r="AR380" s="1" t="s">
        <v>160</v>
      </c>
      <c r="AS380" s="1" t="s">
        <v>160</v>
      </c>
      <c r="AT380" s="1" t="s">
        <v>1704</v>
      </c>
      <c r="AU380" s="1" t="s">
        <v>159</v>
      </c>
      <c r="AV380" s="1" t="s">
        <v>159</v>
      </c>
      <c r="AW380" s="1" t="s">
        <v>159</v>
      </c>
      <c r="AX380" s="1" t="s">
        <v>160</v>
      </c>
      <c r="AY380" s="1" t="s">
        <v>160</v>
      </c>
      <c r="AZ380" s="1" t="s">
        <v>160</v>
      </c>
      <c r="BA380" s="1" t="s">
        <v>160</v>
      </c>
      <c r="BB380" s="1" t="s">
        <v>222</v>
      </c>
      <c r="BC380" s="1" t="s">
        <v>160</v>
      </c>
      <c r="BD380" s="1" t="s">
        <v>341</v>
      </c>
      <c r="BE380" s="1" t="s">
        <v>1705</v>
      </c>
      <c r="BF380" s="1" t="s">
        <v>160</v>
      </c>
    </row>
    <row r="381" spans="1:58" ht="13" x14ac:dyDescent="0.15">
      <c r="A381" s="2">
        <v>44175.879166666666</v>
      </c>
      <c r="B381" s="2">
        <v>44175.880555555559</v>
      </c>
      <c r="C381" s="1" t="s">
        <v>39</v>
      </c>
      <c r="D381" s="1" t="s">
        <v>234</v>
      </c>
      <c r="E381" s="1">
        <v>100</v>
      </c>
      <c r="F381" s="1">
        <v>120</v>
      </c>
      <c r="G381" s="1" t="b">
        <v>1</v>
      </c>
      <c r="H381" s="2">
        <v>44175.880555555559</v>
      </c>
      <c r="I381" s="1" t="s">
        <v>1706</v>
      </c>
      <c r="N381" s="1">
        <v>34.048492430000003</v>
      </c>
      <c r="O381" s="1">
        <v>-118.2528992</v>
      </c>
      <c r="P381" s="1" t="s">
        <v>153</v>
      </c>
      <c r="Q381" s="1" t="s">
        <v>154</v>
      </c>
      <c r="R381" s="1" t="s">
        <v>236</v>
      </c>
      <c r="S381" s="1" t="s">
        <v>208</v>
      </c>
      <c r="T381" s="1" t="s">
        <v>263</v>
      </c>
      <c r="U381" s="1" t="s">
        <v>1703</v>
      </c>
      <c r="V381" s="1" t="s">
        <v>160</v>
      </c>
      <c r="W381" s="1" t="s">
        <v>160</v>
      </c>
      <c r="X381" s="1" t="s">
        <v>160</v>
      </c>
      <c r="Y381" s="1" t="s">
        <v>160</v>
      </c>
      <c r="Z381" s="1" t="s">
        <v>160</v>
      </c>
      <c r="AA381" s="1" t="s">
        <v>160</v>
      </c>
      <c r="AB381" s="1" t="s">
        <v>160</v>
      </c>
      <c r="AC381" s="1" t="s">
        <v>160</v>
      </c>
      <c r="AD381" s="1" t="s">
        <v>160</v>
      </c>
      <c r="AE381" s="1" t="s">
        <v>160</v>
      </c>
      <c r="AF381" s="1" t="s">
        <v>160</v>
      </c>
      <c r="AG381" s="1" t="s">
        <v>160</v>
      </c>
      <c r="AI381" s="1" t="s">
        <v>160</v>
      </c>
      <c r="AJ381" s="1" t="s">
        <v>164</v>
      </c>
      <c r="AK381" s="1" t="s">
        <v>163</v>
      </c>
      <c r="AL381" s="1" t="s">
        <v>192</v>
      </c>
      <c r="AM381" s="1" t="s">
        <v>163</v>
      </c>
      <c r="AN381" s="1" t="s">
        <v>164</v>
      </c>
      <c r="AO381" s="1" t="s">
        <v>179</v>
      </c>
      <c r="AP381" s="1" t="s">
        <v>239</v>
      </c>
      <c r="AR381" s="1" t="s">
        <v>160</v>
      </c>
      <c r="AS381" s="1" t="s">
        <v>160</v>
      </c>
      <c r="AT381" s="1" t="s">
        <v>1707</v>
      </c>
      <c r="AU381" s="1" t="s">
        <v>159</v>
      </c>
      <c r="AV381" s="1" t="s">
        <v>160</v>
      </c>
      <c r="AW381" s="1" t="s">
        <v>159</v>
      </c>
      <c r="AX381" s="1" t="s">
        <v>159</v>
      </c>
      <c r="AY381" s="1" t="s">
        <v>159</v>
      </c>
      <c r="AZ381" s="1" t="s">
        <v>160</v>
      </c>
      <c r="BA381" s="1" t="s">
        <v>159</v>
      </c>
      <c r="BB381" s="1" t="s">
        <v>222</v>
      </c>
      <c r="BC381" s="1" t="s">
        <v>160</v>
      </c>
      <c r="BD381" s="1" t="s">
        <v>1708</v>
      </c>
      <c r="BE381" s="1" t="s">
        <v>1709</v>
      </c>
      <c r="BF381" s="1" t="s">
        <v>160</v>
      </c>
    </row>
    <row r="382" spans="1:58" ht="13" x14ac:dyDescent="0.15">
      <c r="A382" s="2">
        <v>44175.880555555559</v>
      </c>
      <c r="B382" s="2">
        <v>44175.881944444445</v>
      </c>
      <c r="C382" s="1" t="s">
        <v>39</v>
      </c>
      <c r="D382" s="1" t="s">
        <v>234</v>
      </c>
      <c r="E382" s="1">
        <v>100</v>
      </c>
      <c r="F382" s="1">
        <v>120</v>
      </c>
      <c r="G382" s="1" t="b">
        <v>1</v>
      </c>
      <c r="H382" s="2">
        <v>44175.881944444445</v>
      </c>
      <c r="I382" s="1" t="s">
        <v>1710</v>
      </c>
      <c r="N382" s="1">
        <v>34.048492430000003</v>
      </c>
      <c r="O382" s="1">
        <v>-118.2528992</v>
      </c>
      <c r="P382" s="1" t="s">
        <v>153</v>
      </c>
      <c r="Q382" s="1" t="s">
        <v>154</v>
      </c>
      <c r="R382" s="1" t="s">
        <v>174</v>
      </c>
      <c r="S382" s="1" t="s">
        <v>226</v>
      </c>
      <c r="T382" s="1" t="s">
        <v>245</v>
      </c>
      <c r="U382" s="1" t="s">
        <v>1711</v>
      </c>
      <c r="V382" s="1" t="s">
        <v>160</v>
      </c>
      <c r="W382" s="1" t="s">
        <v>160</v>
      </c>
      <c r="X382" s="1" t="s">
        <v>160</v>
      </c>
      <c r="Y382" s="1" t="s">
        <v>160</v>
      </c>
      <c r="Z382" s="1" t="s">
        <v>160</v>
      </c>
      <c r="AA382" s="1" t="s">
        <v>160</v>
      </c>
      <c r="AB382" s="1" t="s">
        <v>160</v>
      </c>
      <c r="AC382" s="1" t="s">
        <v>160</v>
      </c>
      <c r="AD382" s="1" t="s">
        <v>160</v>
      </c>
      <c r="AE382" s="1" t="s">
        <v>160</v>
      </c>
      <c r="AF382" s="1" t="s">
        <v>160</v>
      </c>
      <c r="AG382" s="1" t="s">
        <v>160</v>
      </c>
      <c r="AI382" s="1" t="s">
        <v>160</v>
      </c>
      <c r="AJ382" s="1" t="s">
        <v>192</v>
      </c>
      <c r="AK382" s="1" t="s">
        <v>163</v>
      </c>
      <c r="AL382" s="1" t="s">
        <v>164</v>
      </c>
      <c r="AM382" s="1" t="s">
        <v>192</v>
      </c>
      <c r="AN382" s="1" t="s">
        <v>163</v>
      </c>
      <c r="AO382" s="1" t="s">
        <v>179</v>
      </c>
      <c r="AP382" s="1" t="s">
        <v>239</v>
      </c>
      <c r="AR382" s="1" t="s">
        <v>160</v>
      </c>
      <c r="AS382" s="1" t="s">
        <v>160</v>
      </c>
      <c r="AT382" s="1" t="s">
        <v>1134</v>
      </c>
      <c r="AU382" s="1" t="s">
        <v>160</v>
      </c>
      <c r="AV382" s="1" t="s">
        <v>160</v>
      </c>
      <c r="AW382" s="1" t="s">
        <v>160</v>
      </c>
      <c r="AX382" s="1" t="s">
        <v>160</v>
      </c>
      <c r="AY382" s="1" t="s">
        <v>160</v>
      </c>
      <c r="AZ382" s="1" t="s">
        <v>160</v>
      </c>
      <c r="BA382" s="1" t="s">
        <v>160</v>
      </c>
      <c r="BB382" s="1" t="s">
        <v>181</v>
      </c>
      <c r="BC382" s="1" t="s">
        <v>160</v>
      </c>
      <c r="BD382" s="1" t="s">
        <v>1712</v>
      </c>
      <c r="BE382" s="1" t="s">
        <v>1713</v>
      </c>
      <c r="BF382" s="1" t="s">
        <v>160</v>
      </c>
    </row>
    <row r="383" spans="1:58" ht="13" x14ac:dyDescent="0.15">
      <c r="A383" s="2">
        <v>44175.882638888892</v>
      </c>
      <c r="B383" s="2">
        <v>44175.884027777778</v>
      </c>
      <c r="C383" s="1" t="s">
        <v>39</v>
      </c>
      <c r="D383" s="1" t="s">
        <v>234</v>
      </c>
      <c r="E383" s="1">
        <v>100</v>
      </c>
      <c r="F383" s="1">
        <v>121</v>
      </c>
      <c r="G383" s="1" t="b">
        <v>1</v>
      </c>
      <c r="H383" s="2">
        <v>44175.884027777778</v>
      </c>
      <c r="I383" s="1" t="s">
        <v>1714</v>
      </c>
      <c r="N383" s="1">
        <v>34.048492430000003</v>
      </c>
      <c r="O383" s="1">
        <v>-118.2528992</v>
      </c>
      <c r="P383" s="1" t="s">
        <v>153</v>
      </c>
      <c r="Q383" s="1" t="s">
        <v>154</v>
      </c>
      <c r="R383" s="1" t="s">
        <v>236</v>
      </c>
      <c r="S383" s="1" t="s">
        <v>310</v>
      </c>
      <c r="T383" s="1" t="s">
        <v>176</v>
      </c>
      <c r="U383" s="1" t="s">
        <v>1715</v>
      </c>
      <c r="V383" s="1" t="s">
        <v>160</v>
      </c>
      <c r="W383" s="1" t="s">
        <v>160</v>
      </c>
      <c r="X383" s="1" t="s">
        <v>160</v>
      </c>
      <c r="Y383" s="1" t="s">
        <v>160</v>
      </c>
      <c r="Z383" s="1" t="s">
        <v>160</v>
      </c>
      <c r="AA383" s="1" t="s">
        <v>160</v>
      </c>
      <c r="AB383" s="1" t="s">
        <v>160</v>
      </c>
      <c r="AC383" s="1" t="s">
        <v>160</v>
      </c>
      <c r="AD383" s="1" t="s">
        <v>160</v>
      </c>
      <c r="AE383" s="1" t="s">
        <v>160</v>
      </c>
      <c r="AF383" s="1" t="s">
        <v>160</v>
      </c>
      <c r="AG383" s="1" t="s">
        <v>160</v>
      </c>
      <c r="AI383" s="1" t="s">
        <v>160</v>
      </c>
      <c r="AJ383" s="1" t="s">
        <v>192</v>
      </c>
      <c r="AK383" s="1" t="s">
        <v>164</v>
      </c>
      <c r="AL383" s="1" t="s">
        <v>198</v>
      </c>
      <c r="AM383" s="1" t="s">
        <v>198</v>
      </c>
      <c r="AN383" s="1" t="s">
        <v>164</v>
      </c>
      <c r="AO383" s="1" t="s">
        <v>179</v>
      </c>
      <c r="AP383" s="1" t="s">
        <v>239</v>
      </c>
      <c r="AR383" s="1" t="s">
        <v>160</v>
      </c>
      <c r="AS383" s="1" t="s">
        <v>160</v>
      </c>
      <c r="AT383" s="1" t="s">
        <v>1716</v>
      </c>
      <c r="AU383" s="1" t="s">
        <v>159</v>
      </c>
      <c r="AV383" s="1" t="s">
        <v>159</v>
      </c>
      <c r="AW383" s="1" t="s">
        <v>159</v>
      </c>
      <c r="AX383" s="1" t="s">
        <v>160</v>
      </c>
      <c r="AY383" s="1" t="s">
        <v>159</v>
      </c>
      <c r="AZ383" s="1" t="s">
        <v>159</v>
      </c>
      <c r="BA383" s="1" t="s">
        <v>159</v>
      </c>
      <c r="BB383" s="1" t="s">
        <v>181</v>
      </c>
      <c r="BC383" s="1" t="s">
        <v>160</v>
      </c>
      <c r="BD383" s="1" t="s">
        <v>1717</v>
      </c>
      <c r="BE383" s="1" t="s">
        <v>1718</v>
      </c>
      <c r="BF383" s="1" t="s">
        <v>160</v>
      </c>
    </row>
    <row r="384" spans="1:58" ht="13" x14ac:dyDescent="0.15">
      <c r="A384" s="2">
        <v>44175.884027777778</v>
      </c>
      <c r="B384" s="2">
        <v>44175.885416666664</v>
      </c>
      <c r="C384" s="1" t="s">
        <v>39</v>
      </c>
      <c r="D384" s="1" t="s">
        <v>234</v>
      </c>
      <c r="E384" s="1">
        <v>100</v>
      </c>
      <c r="F384" s="1">
        <v>120</v>
      </c>
      <c r="G384" s="1" t="b">
        <v>1</v>
      </c>
      <c r="H384" s="2">
        <v>44175.885416666664</v>
      </c>
      <c r="I384" s="1" t="s">
        <v>1719</v>
      </c>
      <c r="N384" s="1">
        <v>34.048492430000003</v>
      </c>
      <c r="O384" s="1">
        <v>-118.2528992</v>
      </c>
      <c r="P384" s="1" t="s">
        <v>153</v>
      </c>
      <c r="Q384" s="1" t="s">
        <v>154</v>
      </c>
      <c r="R384" s="1" t="s">
        <v>155</v>
      </c>
      <c r="S384" s="1" t="s">
        <v>226</v>
      </c>
      <c r="T384" s="1" t="s">
        <v>176</v>
      </c>
      <c r="U384" s="1" t="s">
        <v>1720</v>
      </c>
      <c r="V384" s="1" t="s">
        <v>160</v>
      </c>
      <c r="W384" s="1" t="s">
        <v>160</v>
      </c>
      <c r="X384" s="1" t="s">
        <v>160</v>
      </c>
      <c r="Y384" s="1" t="s">
        <v>160</v>
      </c>
      <c r="Z384" s="1" t="s">
        <v>160</v>
      </c>
      <c r="AA384" s="1" t="s">
        <v>160</v>
      </c>
      <c r="AB384" s="1" t="s">
        <v>160</v>
      </c>
      <c r="AC384" s="1" t="s">
        <v>160</v>
      </c>
      <c r="AD384" s="1" t="s">
        <v>160</v>
      </c>
      <c r="AE384" s="1" t="s">
        <v>160</v>
      </c>
      <c r="AF384" s="1" t="s">
        <v>160</v>
      </c>
      <c r="AG384" s="1" t="s">
        <v>160</v>
      </c>
      <c r="AI384" s="1" t="s">
        <v>160</v>
      </c>
      <c r="AJ384" s="1" t="s">
        <v>192</v>
      </c>
      <c r="AK384" s="1" t="s">
        <v>198</v>
      </c>
      <c r="AL384" s="1" t="s">
        <v>198</v>
      </c>
      <c r="AM384" s="1" t="s">
        <v>192</v>
      </c>
      <c r="AN384" s="1" t="s">
        <v>164</v>
      </c>
      <c r="AO384" s="1" t="s">
        <v>179</v>
      </c>
      <c r="AP384" s="1" t="s">
        <v>165</v>
      </c>
      <c r="AR384" s="1" t="s">
        <v>160</v>
      </c>
      <c r="AS384" s="1" t="s">
        <v>160</v>
      </c>
      <c r="AT384" s="1" t="s">
        <v>1721</v>
      </c>
      <c r="AU384" s="1" t="s">
        <v>160</v>
      </c>
      <c r="AV384" s="1" t="s">
        <v>159</v>
      </c>
      <c r="AW384" s="1" t="s">
        <v>160</v>
      </c>
      <c r="AX384" s="1" t="s">
        <v>159</v>
      </c>
      <c r="AY384" s="1" t="s">
        <v>160</v>
      </c>
      <c r="AZ384" s="1" t="s">
        <v>160</v>
      </c>
      <c r="BA384" s="1" t="s">
        <v>159</v>
      </c>
      <c r="BB384" s="1" t="s">
        <v>167</v>
      </c>
      <c r="BC384" s="1" t="s">
        <v>160</v>
      </c>
      <c r="BD384" s="1" t="s">
        <v>433</v>
      </c>
      <c r="BE384" s="1" t="s">
        <v>1722</v>
      </c>
      <c r="BF384" s="1" t="s">
        <v>160</v>
      </c>
    </row>
    <row r="385" spans="1:58" ht="13" x14ac:dyDescent="0.15">
      <c r="A385" s="2">
        <v>44175.885416666664</v>
      </c>
      <c r="B385" s="2">
        <v>44175.886805555558</v>
      </c>
      <c r="C385" s="1" t="s">
        <v>39</v>
      </c>
      <c r="D385" s="1" t="s">
        <v>234</v>
      </c>
      <c r="E385" s="1">
        <v>100</v>
      </c>
      <c r="F385" s="1">
        <v>121</v>
      </c>
      <c r="G385" s="1" t="b">
        <v>1</v>
      </c>
      <c r="H385" s="2">
        <v>44175.886805555558</v>
      </c>
      <c r="I385" s="1" t="s">
        <v>1723</v>
      </c>
      <c r="N385" s="1">
        <v>34.048492430000003</v>
      </c>
      <c r="O385" s="1">
        <v>-118.2528992</v>
      </c>
      <c r="P385" s="1" t="s">
        <v>153</v>
      </c>
      <c r="Q385" s="1" t="s">
        <v>154</v>
      </c>
      <c r="R385" s="1" t="s">
        <v>174</v>
      </c>
      <c r="S385" s="1" t="s">
        <v>274</v>
      </c>
      <c r="T385" s="1" t="s">
        <v>157</v>
      </c>
      <c r="U385" s="1" t="s">
        <v>1660</v>
      </c>
      <c r="V385" s="1" t="s">
        <v>160</v>
      </c>
      <c r="W385" s="1" t="s">
        <v>160</v>
      </c>
      <c r="X385" s="1" t="s">
        <v>160</v>
      </c>
      <c r="Y385" s="1" t="s">
        <v>160</v>
      </c>
      <c r="Z385" s="1" t="s">
        <v>160</v>
      </c>
      <c r="AA385" s="1" t="s">
        <v>160</v>
      </c>
      <c r="AB385" s="1" t="s">
        <v>160</v>
      </c>
      <c r="AC385" s="1" t="s">
        <v>160</v>
      </c>
      <c r="AD385" s="1" t="s">
        <v>160</v>
      </c>
      <c r="AE385" s="1" t="s">
        <v>160</v>
      </c>
      <c r="AF385" s="1" t="s">
        <v>160</v>
      </c>
      <c r="AG385" s="1" t="s">
        <v>160</v>
      </c>
      <c r="AI385" s="1" t="s">
        <v>160</v>
      </c>
      <c r="AJ385" s="1" t="s">
        <v>164</v>
      </c>
      <c r="AK385" s="1" t="s">
        <v>164</v>
      </c>
      <c r="AL385" s="1" t="s">
        <v>192</v>
      </c>
      <c r="AM385" s="1" t="s">
        <v>192</v>
      </c>
      <c r="AN385" s="1" t="s">
        <v>163</v>
      </c>
      <c r="AO385" s="1" t="s">
        <v>179</v>
      </c>
      <c r="AP385" s="1" t="s">
        <v>179</v>
      </c>
      <c r="AR385" s="1" t="s">
        <v>160</v>
      </c>
      <c r="AS385" s="1" t="s">
        <v>160</v>
      </c>
      <c r="AT385" s="1" t="s">
        <v>1724</v>
      </c>
      <c r="AU385" s="1" t="s">
        <v>159</v>
      </c>
      <c r="AV385" s="1" t="s">
        <v>160</v>
      </c>
      <c r="AW385" s="1" t="s">
        <v>160</v>
      </c>
      <c r="AX385" s="1" t="s">
        <v>160</v>
      </c>
      <c r="AY385" s="1" t="s">
        <v>160</v>
      </c>
      <c r="AZ385" s="1" t="s">
        <v>160</v>
      </c>
      <c r="BA385" s="1" t="s">
        <v>159</v>
      </c>
      <c r="BB385" s="1" t="s">
        <v>167</v>
      </c>
      <c r="BC385" s="1" t="s">
        <v>160</v>
      </c>
      <c r="BD385" s="1" t="s">
        <v>1725</v>
      </c>
      <c r="BE385" s="1" t="s">
        <v>1726</v>
      </c>
      <c r="BF385" s="1" t="s">
        <v>160</v>
      </c>
    </row>
    <row r="386" spans="1:58" ht="13" x14ac:dyDescent="0.15">
      <c r="A386" s="2">
        <v>44175.887499999997</v>
      </c>
      <c r="B386" s="2">
        <v>44175.888888888891</v>
      </c>
      <c r="C386" s="1" t="s">
        <v>39</v>
      </c>
      <c r="D386" s="1" t="s">
        <v>234</v>
      </c>
      <c r="E386" s="1">
        <v>100</v>
      </c>
      <c r="F386" s="1">
        <v>113</v>
      </c>
      <c r="G386" s="1" t="b">
        <v>1</v>
      </c>
      <c r="H386" s="2">
        <v>44175.888888888891</v>
      </c>
      <c r="I386" s="1" t="s">
        <v>1727</v>
      </c>
      <c r="N386" s="1">
        <v>34.048492430000003</v>
      </c>
      <c r="O386" s="1">
        <v>-118.2528992</v>
      </c>
      <c r="P386" s="1" t="s">
        <v>153</v>
      </c>
      <c r="Q386" s="1" t="s">
        <v>154</v>
      </c>
      <c r="R386" s="1" t="s">
        <v>155</v>
      </c>
      <c r="S386" s="1" t="s">
        <v>175</v>
      </c>
      <c r="T386" s="1" t="s">
        <v>176</v>
      </c>
      <c r="U386" s="1" t="s">
        <v>1728</v>
      </c>
      <c r="V386" s="1" t="s">
        <v>160</v>
      </c>
      <c r="W386" s="1" t="s">
        <v>160</v>
      </c>
      <c r="X386" s="1" t="s">
        <v>160</v>
      </c>
      <c r="Y386" s="1" t="s">
        <v>160</v>
      </c>
      <c r="Z386" s="1" t="s">
        <v>160</v>
      </c>
      <c r="AA386" s="1" t="s">
        <v>160</v>
      </c>
      <c r="AB386" s="1" t="s">
        <v>160</v>
      </c>
      <c r="AC386" s="1" t="s">
        <v>160</v>
      </c>
      <c r="AD386" s="1" t="s">
        <v>160</v>
      </c>
      <c r="AE386" s="1" t="s">
        <v>160</v>
      </c>
      <c r="AF386" s="1" t="s">
        <v>160</v>
      </c>
      <c r="AG386" s="1" t="s">
        <v>160</v>
      </c>
      <c r="AI386" s="1" t="s">
        <v>160</v>
      </c>
      <c r="AJ386" s="1" t="s">
        <v>163</v>
      </c>
      <c r="AK386" s="1" t="s">
        <v>163</v>
      </c>
      <c r="AL386" s="1" t="s">
        <v>192</v>
      </c>
      <c r="AM386" s="1" t="s">
        <v>198</v>
      </c>
      <c r="AN386" s="1" t="s">
        <v>164</v>
      </c>
      <c r="AO386" s="1" t="s">
        <v>179</v>
      </c>
      <c r="AP386" s="1" t="s">
        <v>239</v>
      </c>
      <c r="AR386" s="1" t="s">
        <v>160</v>
      </c>
      <c r="AS386" s="1" t="s">
        <v>160</v>
      </c>
      <c r="AT386" s="1" t="s">
        <v>257</v>
      </c>
      <c r="AU386" s="1" t="s">
        <v>160</v>
      </c>
      <c r="AV386" s="1" t="s">
        <v>160</v>
      </c>
      <c r="AW386" s="1" t="s">
        <v>160</v>
      </c>
      <c r="AX386" s="1" t="s">
        <v>160</v>
      </c>
      <c r="AY386" s="1" t="s">
        <v>159</v>
      </c>
      <c r="AZ386" s="1" t="s">
        <v>160</v>
      </c>
      <c r="BA386" s="1" t="s">
        <v>160</v>
      </c>
      <c r="BB386" s="1" t="s">
        <v>167</v>
      </c>
      <c r="BC386" s="1" t="s">
        <v>160</v>
      </c>
      <c r="BD386" s="1" t="s">
        <v>1729</v>
      </c>
      <c r="BE386" s="1" t="s">
        <v>1730</v>
      </c>
      <c r="BF386" s="1" t="s">
        <v>160</v>
      </c>
    </row>
    <row r="387" spans="1:58" ht="13" x14ac:dyDescent="0.15">
      <c r="A387" s="2">
        <v>44175.888888888891</v>
      </c>
      <c r="B387" s="2">
        <v>44175.890277777777</v>
      </c>
      <c r="C387" s="1" t="s">
        <v>39</v>
      </c>
      <c r="D387" s="1" t="s">
        <v>234</v>
      </c>
      <c r="E387" s="1">
        <v>100</v>
      </c>
      <c r="F387" s="1">
        <v>115</v>
      </c>
      <c r="G387" s="1" t="b">
        <v>1</v>
      </c>
      <c r="H387" s="2">
        <v>44175.890277777777</v>
      </c>
      <c r="I387" s="1" t="s">
        <v>1731</v>
      </c>
      <c r="N387" s="1">
        <v>34.048492430000003</v>
      </c>
      <c r="O387" s="1">
        <v>-118.2528992</v>
      </c>
      <c r="P387" s="1" t="s">
        <v>153</v>
      </c>
      <c r="Q387" s="1" t="s">
        <v>154</v>
      </c>
      <c r="R387" s="1" t="s">
        <v>155</v>
      </c>
      <c r="S387" s="1" t="s">
        <v>274</v>
      </c>
      <c r="T387" s="1" t="s">
        <v>237</v>
      </c>
      <c r="U387" s="1" t="s">
        <v>441</v>
      </c>
      <c r="V387" s="1" t="s">
        <v>160</v>
      </c>
      <c r="W387" s="1" t="s">
        <v>160</v>
      </c>
      <c r="X387" s="1" t="s">
        <v>160</v>
      </c>
      <c r="Y387" s="1" t="s">
        <v>160</v>
      </c>
      <c r="Z387" s="1" t="s">
        <v>160</v>
      </c>
      <c r="AA387" s="1" t="s">
        <v>160</v>
      </c>
      <c r="AB387" s="1" t="s">
        <v>160</v>
      </c>
      <c r="AC387" s="1" t="s">
        <v>160</v>
      </c>
      <c r="AD387" s="1" t="s">
        <v>160</v>
      </c>
      <c r="AE387" s="1" t="s">
        <v>160</v>
      </c>
      <c r="AF387" s="1" t="s">
        <v>160</v>
      </c>
      <c r="AG387" s="1" t="s">
        <v>160</v>
      </c>
      <c r="AI387" s="1" t="s">
        <v>160</v>
      </c>
      <c r="AJ387" s="1" t="s">
        <v>164</v>
      </c>
      <c r="AK387" s="1" t="s">
        <v>192</v>
      </c>
      <c r="AL387" s="1" t="s">
        <v>164</v>
      </c>
      <c r="AM387" s="1" t="s">
        <v>198</v>
      </c>
      <c r="AN387" s="1" t="s">
        <v>163</v>
      </c>
      <c r="AO387" s="1" t="s">
        <v>179</v>
      </c>
      <c r="AP387" s="1" t="s">
        <v>239</v>
      </c>
      <c r="AR387" s="1" t="s">
        <v>160</v>
      </c>
      <c r="AS387" s="1" t="s">
        <v>160</v>
      </c>
      <c r="AT387" s="1" t="s">
        <v>1732</v>
      </c>
      <c r="AU387" s="1" t="s">
        <v>160</v>
      </c>
      <c r="AV387" s="1" t="s">
        <v>159</v>
      </c>
      <c r="AW387" s="1" t="s">
        <v>160</v>
      </c>
      <c r="AX387" s="1" t="s">
        <v>159</v>
      </c>
      <c r="AY387" s="1" t="s">
        <v>159</v>
      </c>
      <c r="AZ387" s="1" t="s">
        <v>160</v>
      </c>
      <c r="BA387" s="1" t="s">
        <v>160</v>
      </c>
      <c r="BB387" s="1" t="s">
        <v>241</v>
      </c>
      <c r="BC387" s="1" t="s">
        <v>160</v>
      </c>
      <c r="BD387" s="1" t="s">
        <v>1733</v>
      </c>
      <c r="BE387" s="1" t="s">
        <v>1734</v>
      </c>
      <c r="BF387" s="1" t="s">
        <v>160</v>
      </c>
    </row>
    <row r="388" spans="1:58" ht="13" x14ac:dyDescent="0.15">
      <c r="A388" s="2">
        <v>44175.890972222223</v>
      </c>
      <c r="B388" s="2">
        <v>44175.892361111109</v>
      </c>
      <c r="C388" s="1" t="s">
        <v>39</v>
      </c>
      <c r="D388" s="1" t="s">
        <v>234</v>
      </c>
      <c r="E388" s="1">
        <v>100</v>
      </c>
      <c r="F388" s="1">
        <v>120</v>
      </c>
      <c r="G388" s="1" t="b">
        <v>1</v>
      </c>
      <c r="H388" s="2">
        <v>44175.892361111109</v>
      </c>
      <c r="I388" s="1" t="s">
        <v>1735</v>
      </c>
      <c r="N388" s="1">
        <v>34.048492430000003</v>
      </c>
      <c r="O388" s="1">
        <v>-118.2528992</v>
      </c>
      <c r="P388" s="1" t="s">
        <v>153</v>
      </c>
      <c r="Q388" s="1" t="s">
        <v>154</v>
      </c>
      <c r="R388" s="1" t="s">
        <v>174</v>
      </c>
      <c r="S388" s="1" t="s">
        <v>226</v>
      </c>
      <c r="T388" s="1" t="s">
        <v>237</v>
      </c>
      <c r="U388" s="1" t="s">
        <v>651</v>
      </c>
      <c r="V388" s="1" t="s">
        <v>160</v>
      </c>
      <c r="W388" s="1" t="s">
        <v>160</v>
      </c>
      <c r="X388" s="1" t="s">
        <v>160</v>
      </c>
      <c r="Y388" s="1" t="s">
        <v>160</v>
      </c>
      <c r="Z388" s="1" t="s">
        <v>160</v>
      </c>
      <c r="AA388" s="1" t="s">
        <v>160</v>
      </c>
      <c r="AB388" s="1" t="s">
        <v>160</v>
      </c>
      <c r="AC388" s="1" t="s">
        <v>160</v>
      </c>
      <c r="AD388" s="1" t="s">
        <v>160</v>
      </c>
      <c r="AE388" s="1" t="s">
        <v>160</v>
      </c>
      <c r="AF388" s="1" t="s">
        <v>160</v>
      </c>
      <c r="AG388" s="1" t="s">
        <v>160</v>
      </c>
      <c r="AI388" s="1" t="s">
        <v>160</v>
      </c>
      <c r="AJ388" s="1" t="s">
        <v>198</v>
      </c>
      <c r="AK388" s="1" t="s">
        <v>163</v>
      </c>
      <c r="AL388" s="1" t="s">
        <v>163</v>
      </c>
      <c r="AM388" s="1" t="s">
        <v>164</v>
      </c>
      <c r="AN388" s="1" t="s">
        <v>192</v>
      </c>
      <c r="AO388" s="1" t="s">
        <v>179</v>
      </c>
      <c r="AP388" s="1" t="s">
        <v>239</v>
      </c>
      <c r="AR388" s="1" t="s">
        <v>160</v>
      </c>
      <c r="AS388" s="1" t="s">
        <v>160</v>
      </c>
      <c r="AT388" s="1" t="s">
        <v>322</v>
      </c>
      <c r="AU388" s="1" t="s">
        <v>160</v>
      </c>
      <c r="AV388" s="1" t="s">
        <v>159</v>
      </c>
      <c r="AW388" s="1" t="s">
        <v>159</v>
      </c>
      <c r="AX388" s="1" t="s">
        <v>159</v>
      </c>
      <c r="AY388" s="1" t="s">
        <v>160</v>
      </c>
      <c r="AZ388" s="1" t="s">
        <v>159</v>
      </c>
      <c r="BA388" s="1" t="s">
        <v>160</v>
      </c>
      <c r="BB388" s="1" t="s">
        <v>181</v>
      </c>
      <c r="BC388" s="1" t="s">
        <v>160</v>
      </c>
      <c r="BD388" s="1" t="s">
        <v>1736</v>
      </c>
      <c r="BE388" s="1" t="s">
        <v>1737</v>
      </c>
      <c r="BF388" s="1" t="s">
        <v>160</v>
      </c>
    </row>
    <row r="389" spans="1:58" ht="13" x14ac:dyDescent="0.15">
      <c r="A389" s="2">
        <v>44175.892361111109</v>
      </c>
      <c r="B389" s="2">
        <v>44175.893750000003</v>
      </c>
      <c r="C389" s="1" t="s">
        <v>39</v>
      </c>
      <c r="D389" s="1" t="s">
        <v>234</v>
      </c>
      <c r="E389" s="1">
        <v>100</v>
      </c>
      <c r="F389" s="1">
        <v>121</v>
      </c>
      <c r="G389" s="1" t="b">
        <v>1</v>
      </c>
      <c r="H389" s="2">
        <v>44175.893750000003</v>
      </c>
      <c r="I389" s="1" t="s">
        <v>1738</v>
      </c>
      <c r="N389" s="1">
        <v>34.048492430000003</v>
      </c>
      <c r="O389" s="1">
        <v>-118.2528992</v>
      </c>
      <c r="P389" s="1" t="s">
        <v>153</v>
      </c>
      <c r="Q389" s="1" t="s">
        <v>154</v>
      </c>
      <c r="R389" s="1" t="s">
        <v>236</v>
      </c>
      <c r="S389" s="1" t="s">
        <v>226</v>
      </c>
      <c r="T389" s="1" t="s">
        <v>263</v>
      </c>
      <c r="U389" s="1" t="s">
        <v>275</v>
      </c>
      <c r="V389" s="1" t="s">
        <v>160</v>
      </c>
      <c r="W389" s="1" t="s">
        <v>160</v>
      </c>
      <c r="X389" s="1" t="s">
        <v>160</v>
      </c>
      <c r="Y389" s="1" t="s">
        <v>160</v>
      </c>
      <c r="Z389" s="1" t="s">
        <v>160</v>
      </c>
      <c r="AA389" s="1" t="s">
        <v>160</v>
      </c>
      <c r="AB389" s="1" t="s">
        <v>160</v>
      </c>
      <c r="AC389" s="1" t="s">
        <v>160</v>
      </c>
      <c r="AD389" s="1" t="s">
        <v>160</v>
      </c>
      <c r="AE389" s="1" t="s">
        <v>160</v>
      </c>
      <c r="AF389" s="1" t="s">
        <v>160</v>
      </c>
      <c r="AG389" s="1" t="s">
        <v>160</v>
      </c>
      <c r="AI389" s="1" t="s">
        <v>160</v>
      </c>
      <c r="AJ389" s="1" t="s">
        <v>198</v>
      </c>
      <c r="AK389" s="1" t="s">
        <v>164</v>
      </c>
      <c r="AL389" s="1" t="s">
        <v>164</v>
      </c>
      <c r="AM389" s="1" t="s">
        <v>163</v>
      </c>
      <c r="AN389" s="1" t="s">
        <v>198</v>
      </c>
      <c r="AO389" s="1" t="s">
        <v>179</v>
      </c>
      <c r="AP389" s="1" t="s">
        <v>239</v>
      </c>
      <c r="AR389" s="1" t="s">
        <v>160</v>
      </c>
      <c r="AS389" s="1" t="s">
        <v>160</v>
      </c>
      <c r="AT389" s="1" t="s">
        <v>688</v>
      </c>
      <c r="AU389" s="1" t="s">
        <v>159</v>
      </c>
      <c r="AV389" s="1" t="s">
        <v>160</v>
      </c>
      <c r="AW389" s="1" t="s">
        <v>159</v>
      </c>
      <c r="AX389" s="1" t="s">
        <v>160</v>
      </c>
      <c r="AY389" s="1" t="s">
        <v>159</v>
      </c>
      <c r="AZ389" s="1" t="s">
        <v>159</v>
      </c>
      <c r="BA389" s="1" t="s">
        <v>160</v>
      </c>
      <c r="BB389" s="1" t="s">
        <v>181</v>
      </c>
      <c r="BC389" s="1" t="s">
        <v>160</v>
      </c>
      <c r="BD389" s="1" t="s">
        <v>1739</v>
      </c>
      <c r="BE389" s="1" t="s">
        <v>1740</v>
      </c>
      <c r="BF389" s="1" t="s">
        <v>160</v>
      </c>
    </row>
    <row r="390" spans="1:58" ht="13" x14ac:dyDescent="0.15">
      <c r="A390" s="2">
        <v>44175.893750000003</v>
      </c>
      <c r="B390" s="2">
        <v>44175.895833333336</v>
      </c>
      <c r="C390" s="1" t="s">
        <v>39</v>
      </c>
      <c r="D390" s="1" t="s">
        <v>234</v>
      </c>
      <c r="E390" s="1">
        <v>100</v>
      </c>
      <c r="F390" s="1">
        <v>127</v>
      </c>
      <c r="G390" s="1" t="b">
        <v>1</v>
      </c>
      <c r="H390" s="2">
        <v>44175.895833333336</v>
      </c>
      <c r="I390" s="1" t="s">
        <v>1741</v>
      </c>
      <c r="N390" s="1">
        <v>34.048492430000003</v>
      </c>
      <c r="O390" s="1">
        <v>-118.2528992</v>
      </c>
      <c r="P390" s="1" t="s">
        <v>153</v>
      </c>
      <c r="Q390" s="1" t="s">
        <v>154</v>
      </c>
      <c r="R390" s="1" t="s">
        <v>174</v>
      </c>
      <c r="S390" s="1" t="s">
        <v>175</v>
      </c>
      <c r="T390" s="1" t="s">
        <v>176</v>
      </c>
      <c r="AG390" s="1" t="s">
        <v>160</v>
      </c>
      <c r="AI390" s="1" t="s">
        <v>160</v>
      </c>
      <c r="AJ390" s="1" t="s">
        <v>164</v>
      </c>
      <c r="AK390" s="1" t="s">
        <v>192</v>
      </c>
      <c r="AL390" s="1" t="s">
        <v>164</v>
      </c>
      <c r="AM390" s="1" t="s">
        <v>163</v>
      </c>
      <c r="AN390" s="1" t="s">
        <v>192</v>
      </c>
      <c r="AO390" s="1" t="s">
        <v>179</v>
      </c>
      <c r="AP390" s="1" t="s">
        <v>179</v>
      </c>
      <c r="AR390" s="1" t="s">
        <v>160</v>
      </c>
      <c r="AS390" s="1" t="s">
        <v>160</v>
      </c>
      <c r="AT390" s="1" t="s">
        <v>1742</v>
      </c>
      <c r="AU390" s="1" t="s">
        <v>160</v>
      </c>
      <c r="AV390" s="1" t="s">
        <v>159</v>
      </c>
      <c r="AW390" s="1" t="s">
        <v>160</v>
      </c>
      <c r="AX390" s="1" t="s">
        <v>160</v>
      </c>
      <c r="AY390" s="1" t="s">
        <v>159</v>
      </c>
      <c r="AZ390" s="1" t="s">
        <v>159</v>
      </c>
      <c r="BA390" s="1" t="s">
        <v>160</v>
      </c>
      <c r="BB390" s="1" t="s">
        <v>241</v>
      </c>
      <c r="BC390" s="1" t="s">
        <v>160</v>
      </c>
      <c r="BD390" s="1" t="s">
        <v>1743</v>
      </c>
      <c r="BE390" s="1" t="s">
        <v>1744</v>
      </c>
      <c r="BF390" s="1" t="s">
        <v>160</v>
      </c>
    </row>
    <row r="391" spans="1:58" ht="13" x14ac:dyDescent="0.15">
      <c r="A391" s="2">
        <v>44175.895833333336</v>
      </c>
      <c r="B391" s="2">
        <v>44175.897222222222</v>
      </c>
      <c r="C391" s="1" t="s">
        <v>39</v>
      </c>
      <c r="D391" s="1" t="s">
        <v>234</v>
      </c>
      <c r="E391" s="1">
        <v>100</v>
      </c>
      <c r="F391" s="1">
        <v>120</v>
      </c>
      <c r="G391" s="1" t="b">
        <v>1</v>
      </c>
      <c r="H391" s="2">
        <v>44175.897222222222</v>
      </c>
      <c r="I391" s="1" t="s">
        <v>1745</v>
      </c>
      <c r="N391" s="1">
        <v>34.048492430000003</v>
      </c>
      <c r="O391" s="1">
        <v>-118.2528992</v>
      </c>
      <c r="P391" s="1" t="s">
        <v>153</v>
      </c>
      <c r="Q391" s="1" t="s">
        <v>154</v>
      </c>
      <c r="R391" s="1" t="s">
        <v>236</v>
      </c>
      <c r="S391" s="1" t="s">
        <v>310</v>
      </c>
      <c r="T391" s="1" t="s">
        <v>237</v>
      </c>
      <c r="U391" s="1" t="s">
        <v>1746</v>
      </c>
      <c r="V391" s="1" t="s">
        <v>160</v>
      </c>
      <c r="W391" s="1" t="s">
        <v>160</v>
      </c>
      <c r="X391" s="1" t="s">
        <v>160</v>
      </c>
      <c r="Y391" s="1" t="s">
        <v>160</v>
      </c>
      <c r="Z391" s="1" t="s">
        <v>160</v>
      </c>
      <c r="AA391" s="1" t="s">
        <v>160</v>
      </c>
      <c r="AB391" s="1" t="s">
        <v>160</v>
      </c>
      <c r="AC391" s="1" t="s">
        <v>160</v>
      </c>
      <c r="AD391" s="1" t="s">
        <v>160</v>
      </c>
      <c r="AE391" s="1" t="s">
        <v>160</v>
      </c>
      <c r="AF391" s="1" t="s">
        <v>160</v>
      </c>
      <c r="AG391" s="1" t="s">
        <v>160</v>
      </c>
      <c r="AI391" s="1" t="s">
        <v>160</v>
      </c>
      <c r="AJ391" s="1" t="s">
        <v>163</v>
      </c>
      <c r="AK391" s="1" t="s">
        <v>192</v>
      </c>
      <c r="AL391" s="1" t="s">
        <v>198</v>
      </c>
      <c r="AM391" s="1" t="s">
        <v>163</v>
      </c>
      <c r="AN391" s="1" t="s">
        <v>164</v>
      </c>
      <c r="AO391" s="1" t="s">
        <v>179</v>
      </c>
      <c r="AP391" s="1" t="s">
        <v>179</v>
      </c>
      <c r="AR391" s="1" t="s">
        <v>160</v>
      </c>
      <c r="AS391" s="1" t="s">
        <v>160</v>
      </c>
      <c r="AT391" s="1" t="s">
        <v>1263</v>
      </c>
      <c r="AU391" s="1" t="s">
        <v>159</v>
      </c>
      <c r="AV391" s="1" t="s">
        <v>160</v>
      </c>
      <c r="AW391" s="1" t="s">
        <v>160</v>
      </c>
      <c r="AX391" s="1" t="s">
        <v>160</v>
      </c>
      <c r="AY391" s="1" t="s">
        <v>160</v>
      </c>
      <c r="AZ391" s="1" t="s">
        <v>159</v>
      </c>
      <c r="BA391" s="1" t="s">
        <v>160</v>
      </c>
      <c r="BB391" s="1" t="s">
        <v>241</v>
      </c>
      <c r="BC391" s="1" t="s">
        <v>160</v>
      </c>
      <c r="BD391" s="1" t="s">
        <v>1747</v>
      </c>
      <c r="BE391" s="1" t="s">
        <v>1748</v>
      </c>
      <c r="BF391" s="1" t="s">
        <v>160</v>
      </c>
    </row>
    <row r="392" spans="1:58" ht="13" x14ac:dyDescent="0.15">
      <c r="A392" s="2">
        <v>44175.897222222222</v>
      </c>
      <c r="B392" s="2">
        <v>44175.899305555555</v>
      </c>
      <c r="C392" s="1" t="s">
        <v>39</v>
      </c>
      <c r="D392" s="1" t="s">
        <v>234</v>
      </c>
      <c r="E392" s="1">
        <v>100</v>
      </c>
      <c r="F392" s="1">
        <v>131</v>
      </c>
      <c r="G392" s="1" t="b">
        <v>1</v>
      </c>
      <c r="H392" s="2">
        <v>44175.899305555555</v>
      </c>
      <c r="I392" s="1" t="s">
        <v>1749</v>
      </c>
      <c r="N392" s="1">
        <v>34.048492430000003</v>
      </c>
      <c r="O392" s="1">
        <v>-118.2528992</v>
      </c>
      <c r="P392" s="1" t="s">
        <v>153</v>
      </c>
      <c r="Q392" s="1" t="s">
        <v>154</v>
      </c>
      <c r="R392" s="1" t="s">
        <v>236</v>
      </c>
      <c r="S392" s="1" t="s">
        <v>226</v>
      </c>
      <c r="T392" s="1" t="s">
        <v>176</v>
      </c>
      <c r="U392" s="1" t="s">
        <v>1750</v>
      </c>
      <c r="V392" s="1" t="s">
        <v>160</v>
      </c>
      <c r="W392" s="1" t="s">
        <v>160</v>
      </c>
      <c r="X392" s="1" t="s">
        <v>160</v>
      </c>
      <c r="Y392" s="1" t="s">
        <v>160</v>
      </c>
      <c r="Z392" s="1" t="s">
        <v>160</v>
      </c>
      <c r="AA392" s="1" t="s">
        <v>160</v>
      </c>
      <c r="AB392" s="1" t="s">
        <v>160</v>
      </c>
      <c r="AC392" s="1" t="s">
        <v>160</v>
      </c>
      <c r="AD392" s="1" t="s">
        <v>160</v>
      </c>
      <c r="AE392" s="1" t="s">
        <v>160</v>
      </c>
      <c r="AF392" s="1" t="s">
        <v>160</v>
      </c>
      <c r="AG392" s="1" t="s">
        <v>160</v>
      </c>
      <c r="AI392" s="1" t="s">
        <v>160</v>
      </c>
      <c r="AJ392" s="1" t="s">
        <v>192</v>
      </c>
      <c r="AK392" s="1" t="s">
        <v>198</v>
      </c>
      <c r="AL392" s="1" t="s">
        <v>164</v>
      </c>
      <c r="AM392" s="1" t="s">
        <v>163</v>
      </c>
      <c r="AN392" s="1" t="s">
        <v>198</v>
      </c>
      <c r="AP392" s="1" t="s">
        <v>165</v>
      </c>
      <c r="AR392" s="1" t="s">
        <v>160</v>
      </c>
      <c r="AS392" s="1" t="s">
        <v>160</v>
      </c>
      <c r="AT392" s="1" t="s">
        <v>1751</v>
      </c>
      <c r="AU392" s="1" t="s">
        <v>160</v>
      </c>
      <c r="AV392" s="1" t="s">
        <v>159</v>
      </c>
      <c r="AW392" s="1" t="s">
        <v>159</v>
      </c>
      <c r="AX392" s="1" t="s">
        <v>160</v>
      </c>
      <c r="AY392" s="1" t="s">
        <v>160</v>
      </c>
      <c r="AZ392" s="1" t="s">
        <v>160</v>
      </c>
      <c r="BA392" s="1" t="s">
        <v>159</v>
      </c>
      <c r="BB392" s="1" t="s">
        <v>167</v>
      </c>
      <c r="BC392" s="1" t="s">
        <v>160</v>
      </c>
      <c r="BD392" s="1" t="s">
        <v>1752</v>
      </c>
      <c r="BE392" s="1" t="s">
        <v>1753</v>
      </c>
      <c r="BF392" s="1" t="s">
        <v>160</v>
      </c>
    </row>
    <row r="393" spans="1:58" ht="13" x14ac:dyDescent="0.15">
      <c r="A393" s="2">
        <v>44175.900694444441</v>
      </c>
      <c r="B393" s="2">
        <v>44175.902083333334</v>
      </c>
      <c r="C393" s="1" t="s">
        <v>39</v>
      </c>
      <c r="D393" s="1" t="s">
        <v>234</v>
      </c>
      <c r="E393" s="1">
        <v>100</v>
      </c>
      <c r="F393" s="1">
        <v>120</v>
      </c>
      <c r="G393" s="1" t="b">
        <v>1</v>
      </c>
      <c r="H393" s="2">
        <v>44175.902083333334</v>
      </c>
      <c r="I393" s="1" t="s">
        <v>1754</v>
      </c>
      <c r="N393" s="1">
        <v>34.048492430000003</v>
      </c>
      <c r="O393" s="1">
        <v>-118.2528992</v>
      </c>
      <c r="P393" s="1" t="s">
        <v>153</v>
      </c>
      <c r="Q393" s="1" t="s">
        <v>154</v>
      </c>
      <c r="R393" s="1" t="s">
        <v>236</v>
      </c>
      <c r="S393" s="1" t="s">
        <v>208</v>
      </c>
      <c r="T393" s="1" t="s">
        <v>176</v>
      </c>
      <c r="U393" s="1" t="s">
        <v>730</v>
      </c>
      <c r="V393" s="1" t="s">
        <v>160</v>
      </c>
      <c r="W393" s="1" t="s">
        <v>160</v>
      </c>
      <c r="X393" s="1" t="s">
        <v>160</v>
      </c>
      <c r="Y393" s="1" t="s">
        <v>160</v>
      </c>
      <c r="Z393" s="1" t="s">
        <v>160</v>
      </c>
      <c r="AA393" s="1" t="s">
        <v>160</v>
      </c>
      <c r="AB393" s="1" t="s">
        <v>160</v>
      </c>
      <c r="AC393" s="1" t="s">
        <v>160</v>
      </c>
      <c r="AD393" s="1" t="s">
        <v>160</v>
      </c>
      <c r="AE393" s="1" t="s">
        <v>160</v>
      </c>
      <c r="AF393" s="1" t="s">
        <v>160</v>
      </c>
      <c r="AG393" s="1" t="s">
        <v>160</v>
      </c>
      <c r="AI393" s="1" t="s">
        <v>160</v>
      </c>
      <c r="AJ393" s="1" t="s">
        <v>163</v>
      </c>
      <c r="AK393" s="1" t="s">
        <v>163</v>
      </c>
      <c r="AL393" s="1" t="s">
        <v>192</v>
      </c>
      <c r="AM393" s="1" t="s">
        <v>164</v>
      </c>
      <c r="AN393" s="1" t="s">
        <v>164</v>
      </c>
      <c r="AO393" s="1" t="s">
        <v>179</v>
      </c>
      <c r="AP393" s="1" t="s">
        <v>239</v>
      </c>
      <c r="AR393" s="1" t="s">
        <v>160</v>
      </c>
      <c r="AS393" s="1" t="s">
        <v>160</v>
      </c>
      <c r="AT393" s="1" t="s">
        <v>1755</v>
      </c>
      <c r="AU393" s="1" t="s">
        <v>160</v>
      </c>
      <c r="AV393" s="1" t="s">
        <v>159</v>
      </c>
      <c r="AW393" s="1" t="s">
        <v>159</v>
      </c>
      <c r="AX393" s="1" t="s">
        <v>160</v>
      </c>
      <c r="AY393" s="1" t="s">
        <v>160</v>
      </c>
      <c r="AZ393" s="1" t="s">
        <v>160</v>
      </c>
      <c r="BA393" s="1" t="s">
        <v>159</v>
      </c>
      <c r="BB393" s="1" t="s">
        <v>222</v>
      </c>
      <c r="BC393" s="1" t="s">
        <v>160</v>
      </c>
      <c r="BD393" s="1" t="s">
        <v>1756</v>
      </c>
      <c r="BE393" s="1" t="s">
        <v>1757</v>
      </c>
      <c r="BF393" s="1" t="s">
        <v>160</v>
      </c>
    </row>
    <row r="394" spans="1:58" ht="13" x14ac:dyDescent="0.15">
      <c r="A394" s="2">
        <v>44175.902083333334</v>
      </c>
      <c r="B394" s="2">
        <v>44175.90347222222</v>
      </c>
      <c r="C394" s="1" t="s">
        <v>39</v>
      </c>
      <c r="D394" s="1" t="s">
        <v>234</v>
      </c>
      <c r="E394" s="1">
        <v>100</v>
      </c>
      <c r="F394" s="1">
        <v>119</v>
      </c>
      <c r="G394" s="1" t="b">
        <v>1</v>
      </c>
      <c r="H394" s="2">
        <v>44175.90347222222</v>
      </c>
      <c r="I394" s="1" t="s">
        <v>1758</v>
      </c>
      <c r="N394" s="1">
        <v>34.048492430000003</v>
      </c>
      <c r="O394" s="1">
        <v>-118.2528992</v>
      </c>
      <c r="P394" s="1" t="s">
        <v>153</v>
      </c>
      <c r="Q394" s="1" t="s">
        <v>154</v>
      </c>
      <c r="R394" s="1" t="s">
        <v>174</v>
      </c>
      <c r="S394" s="1" t="s">
        <v>208</v>
      </c>
      <c r="T394" s="1" t="s">
        <v>263</v>
      </c>
      <c r="U394" s="1" t="s">
        <v>1759</v>
      </c>
      <c r="V394" s="1" t="s">
        <v>160</v>
      </c>
      <c r="W394" s="1" t="s">
        <v>160</v>
      </c>
      <c r="X394" s="1" t="s">
        <v>160</v>
      </c>
      <c r="Y394" s="1" t="s">
        <v>160</v>
      </c>
      <c r="Z394" s="1" t="s">
        <v>160</v>
      </c>
      <c r="AA394" s="1" t="s">
        <v>160</v>
      </c>
      <c r="AB394" s="1" t="s">
        <v>160</v>
      </c>
      <c r="AC394" s="1" t="s">
        <v>160</v>
      </c>
      <c r="AD394" s="1" t="s">
        <v>160</v>
      </c>
      <c r="AE394" s="1" t="s">
        <v>160</v>
      </c>
      <c r="AF394" s="1" t="s">
        <v>160</v>
      </c>
      <c r="AG394" s="1" t="s">
        <v>160</v>
      </c>
      <c r="AI394" s="1" t="s">
        <v>160</v>
      </c>
      <c r="AJ394" s="1" t="s">
        <v>163</v>
      </c>
      <c r="AK394" s="1" t="s">
        <v>192</v>
      </c>
      <c r="AL394" s="1" t="s">
        <v>192</v>
      </c>
      <c r="AM394" s="1" t="s">
        <v>198</v>
      </c>
      <c r="AN394" s="1" t="s">
        <v>163</v>
      </c>
      <c r="AO394" s="1" t="s">
        <v>179</v>
      </c>
      <c r="AP394" s="1" t="s">
        <v>239</v>
      </c>
      <c r="AR394" s="1" t="s">
        <v>160</v>
      </c>
      <c r="AS394" s="1" t="s">
        <v>160</v>
      </c>
      <c r="AT394" s="1" t="s">
        <v>1760</v>
      </c>
      <c r="AU394" s="1" t="s">
        <v>160</v>
      </c>
      <c r="AV394" s="1" t="s">
        <v>159</v>
      </c>
      <c r="AW394" s="1" t="s">
        <v>160</v>
      </c>
      <c r="AX394" s="1" t="s">
        <v>159</v>
      </c>
      <c r="AY394" s="1" t="s">
        <v>160</v>
      </c>
      <c r="AZ394" s="1" t="s">
        <v>159</v>
      </c>
      <c r="BA394" s="1" t="s">
        <v>159</v>
      </c>
      <c r="BB394" s="1" t="s">
        <v>241</v>
      </c>
      <c r="BC394" s="1" t="s">
        <v>160</v>
      </c>
      <c r="BD394" s="1" t="s">
        <v>1761</v>
      </c>
      <c r="BE394" s="1" t="s">
        <v>1762</v>
      </c>
      <c r="BF394" s="1" t="s">
        <v>160</v>
      </c>
    </row>
    <row r="395" spans="1:58" ht="13" x14ac:dyDescent="0.15">
      <c r="A395" s="2">
        <v>44175.904166666667</v>
      </c>
      <c r="B395" s="2">
        <v>44175.905555555553</v>
      </c>
      <c r="C395" s="1" t="s">
        <v>39</v>
      </c>
      <c r="D395" s="1" t="s">
        <v>234</v>
      </c>
      <c r="E395" s="1">
        <v>100</v>
      </c>
      <c r="F395" s="1">
        <v>119</v>
      </c>
      <c r="G395" s="1" t="b">
        <v>1</v>
      </c>
      <c r="H395" s="2">
        <v>44175.905555555553</v>
      </c>
      <c r="I395" s="1" t="s">
        <v>1763</v>
      </c>
      <c r="N395" s="1">
        <v>34.048492430000003</v>
      </c>
      <c r="O395" s="1">
        <v>-118.2528992</v>
      </c>
      <c r="P395" s="1" t="s">
        <v>153</v>
      </c>
      <c r="Q395" s="1" t="s">
        <v>154</v>
      </c>
      <c r="R395" s="1" t="s">
        <v>236</v>
      </c>
      <c r="S395" s="1" t="s">
        <v>226</v>
      </c>
      <c r="T395" s="1" t="s">
        <v>157</v>
      </c>
      <c r="U395" s="1" t="s">
        <v>1764</v>
      </c>
      <c r="V395" s="1" t="s">
        <v>160</v>
      </c>
      <c r="W395" s="1" t="s">
        <v>160</v>
      </c>
      <c r="X395" s="1" t="s">
        <v>160</v>
      </c>
      <c r="Y395" s="1" t="s">
        <v>160</v>
      </c>
      <c r="Z395" s="1" t="s">
        <v>160</v>
      </c>
      <c r="AA395" s="1" t="s">
        <v>160</v>
      </c>
      <c r="AB395" s="1" t="s">
        <v>160</v>
      </c>
      <c r="AC395" s="1" t="s">
        <v>160</v>
      </c>
      <c r="AD395" s="1" t="s">
        <v>160</v>
      </c>
      <c r="AE395" s="1" t="s">
        <v>160</v>
      </c>
      <c r="AF395" s="1" t="s">
        <v>160</v>
      </c>
      <c r="AG395" s="1" t="s">
        <v>160</v>
      </c>
      <c r="AI395" s="1" t="s">
        <v>160</v>
      </c>
      <c r="AJ395" s="1" t="s">
        <v>164</v>
      </c>
      <c r="AK395" s="1" t="s">
        <v>198</v>
      </c>
      <c r="AL395" s="1" t="s">
        <v>164</v>
      </c>
      <c r="AM395" s="1" t="s">
        <v>192</v>
      </c>
      <c r="AN395" s="1" t="s">
        <v>163</v>
      </c>
      <c r="AO395" s="1" t="s">
        <v>179</v>
      </c>
      <c r="AP395" s="1" t="s">
        <v>239</v>
      </c>
      <c r="AR395" s="1" t="s">
        <v>160</v>
      </c>
      <c r="AS395" s="1" t="s">
        <v>160</v>
      </c>
      <c r="AT395" s="1" t="s">
        <v>1765</v>
      </c>
      <c r="AU395" s="1" t="s">
        <v>159</v>
      </c>
      <c r="AV395" s="1" t="s">
        <v>160</v>
      </c>
      <c r="AW395" s="1" t="s">
        <v>160</v>
      </c>
      <c r="AX395" s="1" t="s">
        <v>160</v>
      </c>
      <c r="AY395" s="1" t="s">
        <v>159</v>
      </c>
      <c r="AZ395" s="1" t="s">
        <v>159</v>
      </c>
      <c r="BA395" s="1" t="s">
        <v>159</v>
      </c>
      <c r="BB395" s="1" t="s">
        <v>181</v>
      </c>
      <c r="BC395" s="1" t="s">
        <v>160</v>
      </c>
      <c r="BD395" s="1" t="s">
        <v>296</v>
      </c>
      <c r="BE395" s="1" t="s">
        <v>1766</v>
      </c>
      <c r="BF395" s="1" t="s">
        <v>160</v>
      </c>
    </row>
    <row r="396" spans="1:58" ht="13" x14ac:dyDescent="0.15">
      <c r="A396" s="2">
        <v>44175.905555555553</v>
      </c>
      <c r="B396" s="2">
        <v>44175.906944444447</v>
      </c>
      <c r="C396" s="1" t="s">
        <v>39</v>
      </c>
      <c r="D396" s="1" t="s">
        <v>234</v>
      </c>
      <c r="E396" s="1">
        <v>100</v>
      </c>
      <c r="F396" s="1">
        <v>113</v>
      </c>
      <c r="G396" s="1" t="b">
        <v>1</v>
      </c>
      <c r="H396" s="2">
        <v>44175.906944444447</v>
      </c>
      <c r="I396" s="1" t="s">
        <v>1767</v>
      </c>
      <c r="N396" s="1">
        <v>34.048492430000003</v>
      </c>
      <c r="O396" s="1">
        <v>-118.2528992</v>
      </c>
      <c r="P396" s="1" t="s">
        <v>153</v>
      </c>
      <c r="Q396" s="1" t="s">
        <v>154</v>
      </c>
      <c r="R396" s="1" t="s">
        <v>155</v>
      </c>
      <c r="S396" s="1" t="s">
        <v>208</v>
      </c>
      <c r="T396" s="1" t="s">
        <v>157</v>
      </c>
      <c r="U396" s="1" t="s">
        <v>1768</v>
      </c>
      <c r="V396" s="1" t="s">
        <v>160</v>
      </c>
      <c r="W396" s="1" t="s">
        <v>160</v>
      </c>
      <c r="X396" s="1" t="s">
        <v>160</v>
      </c>
      <c r="Y396" s="1" t="s">
        <v>160</v>
      </c>
      <c r="Z396" s="1" t="s">
        <v>160</v>
      </c>
      <c r="AA396" s="1" t="s">
        <v>160</v>
      </c>
      <c r="AB396" s="1" t="s">
        <v>160</v>
      </c>
      <c r="AC396" s="1" t="s">
        <v>160</v>
      </c>
      <c r="AD396" s="1" t="s">
        <v>160</v>
      </c>
      <c r="AE396" s="1" t="s">
        <v>160</v>
      </c>
      <c r="AF396" s="1" t="s">
        <v>160</v>
      </c>
      <c r="AG396" s="1" t="s">
        <v>160</v>
      </c>
      <c r="AI396" s="1" t="s">
        <v>160</v>
      </c>
      <c r="AJ396" s="1" t="s">
        <v>198</v>
      </c>
      <c r="AK396" s="1" t="s">
        <v>164</v>
      </c>
      <c r="AL396" s="1" t="s">
        <v>164</v>
      </c>
      <c r="AM396" s="1" t="s">
        <v>164</v>
      </c>
      <c r="AN396" s="1" t="s">
        <v>163</v>
      </c>
      <c r="AO396" s="1" t="s">
        <v>179</v>
      </c>
      <c r="AP396" s="1" t="s">
        <v>165</v>
      </c>
      <c r="AR396" s="1" t="s">
        <v>160</v>
      </c>
      <c r="AS396" s="1" t="s">
        <v>160</v>
      </c>
      <c r="AT396" s="1" t="s">
        <v>1769</v>
      </c>
      <c r="AU396" s="1" t="s">
        <v>159</v>
      </c>
      <c r="AV396" s="1" t="s">
        <v>160</v>
      </c>
      <c r="AW396" s="1" t="s">
        <v>159</v>
      </c>
      <c r="AX396" s="1" t="s">
        <v>159</v>
      </c>
      <c r="AY396" s="1" t="s">
        <v>160</v>
      </c>
      <c r="AZ396" s="1" t="s">
        <v>160</v>
      </c>
      <c r="BA396" s="1" t="s">
        <v>160</v>
      </c>
      <c r="BB396" s="1" t="s">
        <v>181</v>
      </c>
      <c r="BC396" s="1" t="s">
        <v>160</v>
      </c>
      <c r="BD396" s="1" t="s">
        <v>1770</v>
      </c>
      <c r="BE396" s="1" t="s">
        <v>1771</v>
      </c>
      <c r="BF396" s="1" t="s">
        <v>160</v>
      </c>
    </row>
    <row r="397" spans="1:58" ht="13" x14ac:dyDescent="0.15">
      <c r="A397" s="2">
        <v>44175.906944444447</v>
      </c>
      <c r="B397" s="2">
        <v>44175.908333333333</v>
      </c>
      <c r="C397" s="1" t="s">
        <v>39</v>
      </c>
      <c r="D397" s="1" t="s">
        <v>234</v>
      </c>
      <c r="E397" s="1">
        <v>100</v>
      </c>
      <c r="F397" s="1">
        <v>120</v>
      </c>
      <c r="G397" s="1" t="b">
        <v>1</v>
      </c>
      <c r="H397" s="2">
        <v>44175.908333333333</v>
      </c>
      <c r="I397" s="1" t="s">
        <v>1772</v>
      </c>
      <c r="N397" s="1">
        <v>34.048492430000003</v>
      </c>
      <c r="O397" s="1">
        <v>-118.2528992</v>
      </c>
      <c r="P397" s="1" t="s">
        <v>153</v>
      </c>
      <c r="Q397" s="1" t="s">
        <v>154</v>
      </c>
      <c r="R397" s="1" t="s">
        <v>236</v>
      </c>
      <c r="S397" s="1" t="s">
        <v>274</v>
      </c>
      <c r="T397" s="1" t="s">
        <v>157</v>
      </c>
      <c r="U397" s="1" t="s">
        <v>1773</v>
      </c>
      <c r="V397" s="1" t="s">
        <v>160</v>
      </c>
      <c r="W397" s="1" t="s">
        <v>160</v>
      </c>
      <c r="X397" s="1" t="s">
        <v>160</v>
      </c>
      <c r="Y397" s="1" t="s">
        <v>160</v>
      </c>
      <c r="Z397" s="1" t="s">
        <v>160</v>
      </c>
      <c r="AA397" s="1" t="s">
        <v>160</v>
      </c>
      <c r="AB397" s="1" t="s">
        <v>160</v>
      </c>
      <c r="AC397" s="1" t="s">
        <v>160</v>
      </c>
      <c r="AD397" s="1" t="s">
        <v>160</v>
      </c>
      <c r="AE397" s="1" t="s">
        <v>160</v>
      </c>
      <c r="AF397" s="1" t="s">
        <v>160</v>
      </c>
      <c r="AG397" s="1" t="s">
        <v>160</v>
      </c>
      <c r="AI397" s="1" t="s">
        <v>160</v>
      </c>
      <c r="AJ397" s="1" t="s">
        <v>198</v>
      </c>
      <c r="AK397" s="1" t="s">
        <v>192</v>
      </c>
      <c r="AL397" s="1" t="s">
        <v>163</v>
      </c>
      <c r="AM397" s="1" t="s">
        <v>163</v>
      </c>
      <c r="AN397" s="1" t="s">
        <v>164</v>
      </c>
      <c r="AO397" s="1" t="s">
        <v>179</v>
      </c>
      <c r="AP397" s="1" t="s">
        <v>165</v>
      </c>
      <c r="AR397" s="1" t="s">
        <v>160</v>
      </c>
      <c r="AS397" s="1" t="s">
        <v>160</v>
      </c>
      <c r="AT397" s="1" t="s">
        <v>736</v>
      </c>
      <c r="AU397" s="1" t="s">
        <v>159</v>
      </c>
      <c r="AV397" s="1" t="s">
        <v>159</v>
      </c>
      <c r="AW397" s="1" t="s">
        <v>159</v>
      </c>
      <c r="AX397" s="1" t="s">
        <v>160</v>
      </c>
      <c r="AY397" s="1" t="s">
        <v>159</v>
      </c>
      <c r="AZ397" s="1" t="s">
        <v>160</v>
      </c>
      <c r="BA397" s="1" t="s">
        <v>160</v>
      </c>
      <c r="BB397" s="1" t="s">
        <v>241</v>
      </c>
      <c r="BC397" s="1" t="s">
        <v>160</v>
      </c>
      <c r="BD397" s="1" t="s">
        <v>1774</v>
      </c>
      <c r="BE397" s="1" t="s">
        <v>1775</v>
      </c>
      <c r="BF397" s="1" t="s">
        <v>160</v>
      </c>
    </row>
    <row r="398" spans="1:58" ht="13" x14ac:dyDescent="0.15">
      <c r="A398" s="2">
        <v>44175.90902777778</v>
      </c>
      <c r="B398" s="2">
        <v>44175.910416666666</v>
      </c>
      <c r="C398" s="1" t="s">
        <v>39</v>
      </c>
      <c r="D398" s="1" t="s">
        <v>234</v>
      </c>
      <c r="E398" s="1">
        <v>100</v>
      </c>
      <c r="F398" s="1">
        <v>111</v>
      </c>
      <c r="G398" s="1" t="b">
        <v>1</v>
      </c>
      <c r="H398" s="2">
        <v>44175.910416666666</v>
      </c>
      <c r="I398" s="1" t="s">
        <v>1776</v>
      </c>
      <c r="N398" s="1">
        <v>34.048492430000003</v>
      </c>
      <c r="O398" s="1">
        <v>-118.2528992</v>
      </c>
      <c r="P398" s="1" t="s">
        <v>153</v>
      </c>
      <c r="Q398" s="1" t="s">
        <v>154</v>
      </c>
      <c r="R398" s="1" t="s">
        <v>174</v>
      </c>
      <c r="S398" s="1" t="s">
        <v>310</v>
      </c>
      <c r="T398" s="1" t="s">
        <v>263</v>
      </c>
      <c r="U398" s="1" t="s">
        <v>1777</v>
      </c>
      <c r="V398" s="1" t="s">
        <v>160</v>
      </c>
      <c r="W398" s="1" t="s">
        <v>160</v>
      </c>
      <c r="X398" s="1" t="s">
        <v>160</v>
      </c>
      <c r="Y398" s="1" t="s">
        <v>160</v>
      </c>
      <c r="Z398" s="1" t="s">
        <v>160</v>
      </c>
      <c r="AA398" s="1" t="s">
        <v>160</v>
      </c>
      <c r="AB398" s="1" t="s">
        <v>160</v>
      </c>
      <c r="AC398" s="1" t="s">
        <v>160</v>
      </c>
      <c r="AD398" s="1" t="s">
        <v>160</v>
      </c>
      <c r="AE398" s="1" t="s">
        <v>160</v>
      </c>
      <c r="AF398" s="1" t="s">
        <v>160</v>
      </c>
      <c r="AG398" s="1" t="s">
        <v>160</v>
      </c>
      <c r="AI398" s="1" t="s">
        <v>160</v>
      </c>
      <c r="AJ398" s="1" t="s">
        <v>164</v>
      </c>
      <c r="AK398" s="1" t="s">
        <v>163</v>
      </c>
      <c r="AL398" s="1" t="s">
        <v>198</v>
      </c>
      <c r="AM398" s="1" t="s">
        <v>198</v>
      </c>
      <c r="AN398" s="1" t="s">
        <v>192</v>
      </c>
      <c r="AO398" s="1" t="s">
        <v>179</v>
      </c>
      <c r="AP398" s="1" t="s">
        <v>165</v>
      </c>
      <c r="AR398" s="1" t="s">
        <v>160</v>
      </c>
      <c r="AS398" s="1" t="s">
        <v>160</v>
      </c>
      <c r="AT398" s="1" t="s">
        <v>1778</v>
      </c>
      <c r="AU398" s="1" t="s">
        <v>159</v>
      </c>
      <c r="AV398" s="1" t="s">
        <v>159</v>
      </c>
      <c r="AW398" s="1" t="s">
        <v>160</v>
      </c>
      <c r="AX398" s="1" t="s">
        <v>159</v>
      </c>
      <c r="AY398" s="1" t="s">
        <v>160</v>
      </c>
      <c r="AZ398" s="1" t="s">
        <v>159</v>
      </c>
      <c r="BA398" s="1" t="s">
        <v>159</v>
      </c>
      <c r="BB398" s="1" t="s">
        <v>181</v>
      </c>
      <c r="BC398" s="1" t="s">
        <v>160</v>
      </c>
      <c r="BD398" s="1" t="s">
        <v>375</v>
      </c>
      <c r="BE398" s="1" t="s">
        <v>1779</v>
      </c>
      <c r="BF398" s="1" t="s">
        <v>160</v>
      </c>
    </row>
    <row r="399" spans="1:58" ht="13" x14ac:dyDescent="0.15">
      <c r="A399" s="2">
        <v>44175.910416666666</v>
      </c>
      <c r="B399" s="2">
        <v>44175.911805555559</v>
      </c>
      <c r="C399" s="1" t="s">
        <v>39</v>
      </c>
      <c r="D399" s="1" t="s">
        <v>234</v>
      </c>
      <c r="E399" s="1">
        <v>100</v>
      </c>
      <c r="F399" s="1">
        <v>127</v>
      </c>
      <c r="G399" s="1" t="b">
        <v>1</v>
      </c>
      <c r="H399" s="2">
        <v>44175.911805555559</v>
      </c>
      <c r="I399" s="1" t="s">
        <v>1780</v>
      </c>
      <c r="N399" s="1">
        <v>34.048492430000003</v>
      </c>
      <c r="O399" s="1">
        <v>-118.2528992</v>
      </c>
      <c r="P399" s="1" t="s">
        <v>153</v>
      </c>
      <c r="Q399" s="1" t="s">
        <v>154</v>
      </c>
      <c r="R399" s="1" t="s">
        <v>174</v>
      </c>
      <c r="S399" s="1" t="s">
        <v>208</v>
      </c>
      <c r="T399" s="1" t="s">
        <v>157</v>
      </c>
      <c r="U399" s="1" t="s">
        <v>1781</v>
      </c>
      <c r="V399" s="1" t="s">
        <v>160</v>
      </c>
      <c r="W399" s="1" t="s">
        <v>160</v>
      </c>
      <c r="X399" s="1" t="s">
        <v>160</v>
      </c>
      <c r="Y399" s="1" t="s">
        <v>160</v>
      </c>
      <c r="Z399" s="1" t="s">
        <v>160</v>
      </c>
      <c r="AA399" s="1" t="s">
        <v>160</v>
      </c>
      <c r="AB399" s="1" t="s">
        <v>160</v>
      </c>
      <c r="AC399" s="1" t="s">
        <v>160</v>
      </c>
      <c r="AD399" s="1" t="s">
        <v>160</v>
      </c>
      <c r="AE399" s="1" t="s">
        <v>160</v>
      </c>
      <c r="AF399" s="1" t="s">
        <v>160</v>
      </c>
      <c r="AG399" s="1" t="s">
        <v>160</v>
      </c>
      <c r="AI399" s="1" t="s">
        <v>160</v>
      </c>
      <c r="AJ399" s="1" t="s">
        <v>163</v>
      </c>
      <c r="AK399" s="1" t="s">
        <v>198</v>
      </c>
      <c r="AL399" s="1" t="s">
        <v>164</v>
      </c>
      <c r="AM399" s="1" t="s">
        <v>192</v>
      </c>
      <c r="AN399" s="1" t="s">
        <v>163</v>
      </c>
      <c r="AO399" s="1" t="s">
        <v>179</v>
      </c>
      <c r="AP399" s="1" t="s">
        <v>179</v>
      </c>
      <c r="AR399" s="1" t="s">
        <v>160</v>
      </c>
      <c r="AS399" s="1" t="s">
        <v>160</v>
      </c>
      <c r="AT399" s="1" t="s">
        <v>1782</v>
      </c>
      <c r="AU399" s="1" t="s">
        <v>159</v>
      </c>
      <c r="AV399" s="1" t="s">
        <v>159</v>
      </c>
      <c r="AW399" s="1" t="s">
        <v>160</v>
      </c>
      <c r="AX399" s="1" t="s">
        <v>159</v>
      </c>
      <c r="AY399" s="1" t="s">
        <v>160</v>
      </c>
      <c r="AZ399" s="1" t="s">
        <v>159</v>
      </c>
      <c r="BA399" s="1" t="s">
        <v>160</v>
      </c>
      <c r="BB399" s="1" t="s">
        <v>167</v>
      </c>
      <c r="BC399" s="1" t="s">
        <v>160</v>
      </c>
      <c r="BD399" s="1" t="s">
        <v>1783</v>
      </c>
      <c r="BE399" s="1" t="s">
        <v>1784</v>
      </c>
      <c r="BF399" s="1" t="s">
        <v>160</v>
      </c>
    </row>
    <row r="400" spans="1:58" ht="13" x14ac:dyDescent="0.15">
      <c r="A400" s="2">
        <v>44175.912499999999</v>
      </c>
      <c r="B400" s="2">
        <v>44175.913888888892</v>
      </c>
      <c r="C400" s="1" t="s">
        <v>39</v>
      </c>
      <c r="D400" s="1" t="s">
        <v>234</v>
      </c>
      <c r="E400" s="1">
        <v>100</v>
      </c>
      <c r="F400" s="1">
        <v>125</v>
      </c>
      <c r="G400" s="1" t="b">
        <v>1</v>
      </c>
      <c r="H400" s="2">
        <v>44175.913888888892</v>
      </c>
      <c r="I400" s="1" t="s">
        <v>1785</v>
      </c>
      <c r="N400" s="1">
        <v>34.048492430000003</v>
      </c>
      <c r="O400" s="1">
        <v>-118.2528992</v>
      </c>
      <c r="P400" s="1" t="s">
        <v>153</v>
      </c>
      <c r="Q400" s="1" t="s">
        <v>154</v>
      </c>
      <c r="R400" s="1" t="s">
        <v>155</v>
      </c>
      <c r="S400" s="1" t="s">
        <v>175</v>
      </c>
      <c r="T400" s="1" t="s">
        <v>176</v>
      </c>
      <c r="U400" s="1" t="s">
        <v>1786</v>
      </c>
      <c r="V400" s="1" t="s">
        <v>160</v>
      </c>
      <c r="W400" s="1" t="s">
        <v>160</v>
      </c>
      <c r="X400" s="1" t="s">
        <v>160</v>
      </c>
      <c r="Y400" s="1" t="s">
        <v>160</v>
      </c>
      <c r="Z400" s="1" t="s">
        <v>160</v>
      </c>
      <c r="AA400" s="1" t="s">
        <v>160</v>
      </c>
      <c r="AB400" s="1" t="s">
        <v>160</v>
      </c>
      <c r="AC400" s="1" t="s">
        <v>160</v>
      </c>
      <c r="AD400" s="1" t="s">
        <v>160</v>
      </c>
      <c r="AE400" s="1" t="s">
        <v>160</v>
      </c>
      <c r="AF400" s="1" t="s">
        <v>160</v>
      </c>
      <c r="AG400" s="1" t="s">
        <v>160</v>
      </c>
      <c r="AI400" s="1" t="s">
        <v>160</v>
      </c>
      <c r="AJ400" s="1" t="s">
        <v>164</v>
      </c>
      <c r="AK400" s="1" t="s">
        <v>192</v>
      </c>
      <c r="AL400" s="1" t="s">
        <v>164</v>
      </c>
      <c r="AM400" s="1" t="s">
        <v>198</v>
      </c>
      <c r="AN400" s="1" t="s">
        <v>163</v>
      </c>
      <c r="AO400" s="1" t="s">
        <v>179</v>
      </c>
      <c r="AP400" s="1" t="s">
        <v>239</v>
      </c>
      <c r="AR400" s="1" t="s">
        <v>160</v>
      </c>
      <c r="AS400" s="1" t="s">
        <v>160</v>
      </c>
      <c r="AT400" s="1" t="s">
        <v>210</v>
      </c>
      <c r="AU400" s="1" t="s">
        <v>160</v>
      </c>
      <c r="AV400" s="1" t="s">
        <v>159</v>
      </c>
      <c r="AW400" s="1" t="s">
        <v>159</v>
      </c>
      <c r="AX400" s="1" t="s">
        <v>159</v>
      </c>
      <c r="AY400" s="1" t="s">
        <v>160</v>
      </c>
      <c r="AZ400" s="1" t="s">
        <v>159</v>
      </c>
      <c r="BA400" s="1" t="s">
        <v>160</v>
      </c>
      <c r="BB400" s="1" t="s">
        <v>241</v>
      </c>
      <c r="BC400" s="1" t="s">
        <v>160</v>
      </c>
      <c r="BD400" s="1" t="s">
        <v>1787</v>
      </c>
      <c r="BE400" s="1" t="s">
        <v>1788</v>
      </c>
      <c r="BF400" s="1" t="s">
        <v>160</v>
      </c>
    </row>
    <row r="401" spans="1:59" ht="13" x14ac:dyDescent="0.15">
      <c r="A401" s="2">
        <v>44175.913888888892</v>
      </c>
      <c r="B401" s="2">
        <v>44175.915277777778</v>
      </c>
      <c r="C401" s="1" t="s">
        <v>39</v>
      </c>
      <c r="D401" s="1" t="s">
        <v>234</v>
      </c>
      <c r="E401" s="1">
        <v>100</v>
      </c>
      <c r="F401" s="1">
        <v>118</v>
      </c>
      <c r="G401" s="1" t="b">
        <v>1</v>
      </c>
      <c r="H401" s="2">
        <v>44175.915277777778</v>
      </c>
      <c r="I401" s="1" t="s">
        <v>1789</v>
      </c>
      <c r="N401" s="1">
        <v>34.048492430000003</v>
      </c>
      <c r="O401" s="1">
        <v>-118.2528992</v>
      </c>
      <c r="P401" s="1" t="s">
        <v>153</v>
      </c>
      <c r="Q401" s="1" t="s">
        <v>154</v>
      </c>
      <c r="R401" s="1" t="s">
        <v>155</v>
      </c>
      <c r="S401" s="1" t="s">
        <v>208</v>
      </c>
      <c r="T401" s="1" t="s">
        <v>176</v>
      </c>
      <c r="U401" s="1" t="s">
        <v>1790</v>
      </c>
      <c r="V401" s="1" t="s">
        <v>160</v>
      </c>
      <c r="W401" s="1" t="s">
        <v>160</v>
      </c>
      <c r="X401" s="1" t="s">
        <v>160</v>
      </c>
      <c r="Y401" s="1" t="s">
        <v>160</v>
      </c>
      <c r="Z401" s="1" t="s">
        <v>160</v>
      </c>
      <c r="AA401" s="1" t="s">
        <v>160</v>
      </c>
      <c r="AB401" s="1" t="s">
        <v>160</v>
      </c>
      <c r="AC401" s="1" t="s">
        <v>160</v>
      </c>
      <c r="AD401" s="1" t="s">
        <v>160</v>
      </c>
      <c r="AE401" s="1" t="s">
        <v>160</v>
      </c>
      <c r="AF401" s="1" t="s">
        <v>160</v>
      </c>
      <c r="AG401" s="1" t="s">
        <v>160</v>
      </c>
      <c r="AI401" s="1" t="s">
        <v>160</v>
      </c>
      <c r="AJ401" s="1" t="s">
        <v>198</v>
      </c>
      <c r="AK401" s="1" t="s">
        <v>164</v>
      </c>
      <c r="AL401" s="1" t="s">
        <v>192</v>
      </c>
      <c r="AM401" s="1" t="s">
        <v>192</v>
      </c>
      <c r="AN401" s="1" t="s">
        <v>192</v>
      </c>
      <c r="AO401" s="1" t="s">
        <v>179</v>
      </c>
      <c r="AP401" s="1" t="s">
        <v>165</v>
      </c>
      <c r="AR401" s="1" t="s">
        <v>160</v>
      </c>
      <c r="AS401" s="1" t="s">
        <v>160</v>
      </c>
      <c r="AT401" s="1" t="s">
        <v>327</v>
      </c>
      <c r="AU401" s="1" t="s">
        <v>159</v>
      </c>
      <c r="AV401" s="1" t="s">
        <v>159</v>
      </c>
      <c r="AW401" s="1" t="s">
        <v>159</v>
      </c>
      <c r="AX401" s="1" t="s">
        <v>160</v>
      </c>
      <c r="AY401" s="1" t="s">
        <v>159</v>
      </c>
      <c r="AZ401" s="1" t="s">
        <v>159</v>
      </c>
      <c r="BA401" s="1" t="s">
        <v>160</v>
      </c>
      <c r="BB401" s="1" t="s">
        <v>241</v>
      </c>
      <c r="BC401" s="1" t="s">
        <v>160</v>
      </c>
      <c r="BD401" s="1" t="s">
        <v>1791</v>
      </c>
      <c r="BE401" s="1" t="s">
        <v>1792</v>
      </c>
      <c r="BF401" s="1" t="s">
        <v>160</v>
      </c>
    </row>
    <row r="402" spans="1:59" ht="13" x14ac:dyDescent="0.15">
      <c r="A402" s="2">
        <v>44175.915972222225</v>
      </c>
      <c r="B402" s="2">
        <v>44175.917361111111</v>
      </c>
      <c r="C402" s="1" t="s">
        <v>39</v>
      </c>
      <c r="D402" s="1" t="s">
        <v>234</v>
      </c>
      <c r="E402" s="1">
        <v>100</v>
      </c>
      <c r="F402" s="1">
        <v>120</v>
      </c>
      <c r="G402" s="1" t="b">
        <v>1</v>
      </c>
      <c r="H402" s="2">
        <v>44175.917361111111</v>
      </c>
      <c r="I402" s="1" t="s">
        <v>1793</v>
      </c>
      <c r="N402" s="1">
        <v>34.048492430000003</v>
      </c>
      <c r="O402" s="1">
        <v>-118.2528992</v>
      </c>
      <c r="P402" s="1" t="s">
        <v>153</v>
      </c>
      <c r="Q402" s="1" t="s">
        <v>154</v>
      </c>
      <c r="R402" s="1" t="s">
        <v>236</v>
      </c>
      <c r="S402" s="1" t="s">
        <v>175</v>
      </c>
      <c r="T402" s="1" t="s">
        <v>157</v>
      </c>
      <c r="U402" s="1" t="s">
        <v>1794</v>
      </c>
      <c r="V402" s="1" t="s">
        <v>160</v>
      </c>
      <c r="W402" s="1" t="s">
        <v>160</v>
      </c>
      <c r="X402" s="1" t="s">
        <v>160</v>
      </c>
      <c r="Y402" s="1" t="s">
        <v>160</v>
      </c>
      <c r="Z402" s="1" t="s">
        <v>160</v>
      </c>
      <c r="AA402" s="1" t="s">
        <v>160</v>
      </c>
      <c r="AB402" s="1" t="s">
        <v>160</v>
      </c>
      <c r="AC402" s="1" t="s">
        <v>160</v>
      </c>
      <c r="AD402" s="1" t="s">
        <v>160</v>
      </c>
      <c r="AE402" s="1" t="s">
        <v>160</v>
      </c>
      <c r="AF402" s="1" t="s">
        <v>160</v>
      </c>
      <c r="AG402" s="1" t="s">
        <v>160</v>
      </c>
      <c r="AI402" s="1" t="s">
        <v>160</v>
      </c>
      <c r="AJ402" s="1" t="s">
        <v>164</v>
      </c>
      <c r="AK402" s="1" t="s">
        <v>163</v>
      </c>
      <c r="AL402" s="1" t="s">
        <v>192</v>
      </c>
      <c r="AM402" s="1" t="s">
        <v>198</v>
      </c>
      <c r="AN402" s="1" t="s">
        <v>192</v>
      </c>
      <c r="AO402" s="1" t="s">
        <v>179</v>
      </c>
      <c r="AP402" s="1" t="s">
        <v>239</v>
      </c>
      <c r="AR402" s="1" t="s">
        <v>160</v>
      </c>
      <c r="AS402" s="1" t="s">
        <v>160</v>
      </c>
      <c r="AT402" s="1" t="s">
        <v>1470</v>
      </c>
      <c r="AU402" s="1" t="s">
        <v>160</v>
      </c>
      <c r="AV402" s="1" t="s">
        <v>159</v>
      </c>
      <c r="AW402" s="1" t="s">
        <v>159</v>
      </c>
      <c r="AX402" s="1" t="s">
        <v>159</v>
      </c>
      <c r="AY402" s="1" t="s">
        <v>160</v>
      </c>
      <c r="AZ402" s="1" t="s">
        <v>159</v>
      </c>
      <c r="BA402" s="1" t="s">
        <v>159</v>
      </c>
      <c r="BB402" s="1" t="s">
        <v>181</v>
      </c>
      <c r="BC402" s="1" t="s">
        <v>160</v>
      </c>
      <c r="BD402" s="1" t="s">
        <v>1795</v>
      </c>
      <c r="BE402" s="1" t="s">
        <v>1796</v>
      </c>
      <c r="BF402" s="1" t="s">
        <v>160</v>
      </c>
    </row>
    <row r="403" spans="1:59" ht="13" x14ac:dyDescent="0.15">
      <c r="A403" s="2">
        <v>44175.917361111111</v>
      </c>
      <c r="B403" s="2">
        <v>44175.918749999997</v>
      </c>
      <c r="C403" s="1" t="s">
        <v>39</v>
      </c>
      <c r="D403" s="1" t="s">
        <v>234</v>
      </c>
      <c r="E403" s="1">
        <v>100</v>
      </c>
      <c r="F403" s="1">
        <v>105</v>
      </c>
      <c r="G403" s="1" t="b">
        <v>1</v>
      </c>
      <c r="H403" s="2">
        <v>44175.918749999997</v>
      </c>
      <c r="I403" s="1" t="s">
        <v>1797</v>
      </c>
      <c r="N403" s="1">
        <v>34.048492430000003</v>
      </c>
      <c r="O403" s="1">
        <v>-118.2528992</v>
      </c>
      <c r="P403" s="1" t="s">
        <v>153</v>
      </c>
      <c r="Q403" s="1" t="s">
        <v>154</v>
      </c>
      <c r="R403" s="1" t="s">
        <v>236</v>
      </c>
      <c r="S403" s="1" t="s">
        <v>208</v>
      </c>
      <c r="T403" s="1" t="s">
        <v>245</v>
      </c>
      <c r="U403" s="1" t="s">
        <v>1334</v>
      </c>
      <c r="V403" s="1" t="s">
        <v>160</v>
      </c>
      <c r="W403" s="1" t="s">
        <v>160</v>
      </c>
      <c r="X403" s="1" t="s">
        <v>160</v>
      </c>
      <c r="Y403" s="1" t="s">
        <v>160</v>
      </c>
      <c r="Z403" s="1" t="s">
        <v>160</v>
      </c>
      <c r="AA403" s="1" t="s">
        <v>160</v>
      </c>
      <c r="AB403" s="1" t="s">
        <v>160</v>
      </c>
      <c r="AC403" s="1" t="s">
        <v>160</v>
      </c>
      <c r="AD403" s="1" t="s">
        <v>160</v>
      </c>
      <c r="AE403" s="1" t="s">
        <v>160</v>
      </c>
      <c r="AF403" s="1" t="s">
        <v>160</v>
      </c>
      <c r="AG403" s="1" t="s">
        <v>160</v>
      </c>
      <c r="AI403" s="1" t="s">
        <v>160</v>
      </c>
      <c r="AJ403" s="1" t="s">
        <v>198</v>
      </c>
      <c r="AK403" s="1" t="s">
        <v>198</v>
      </c>
      <c r="AL403" s="1" t="s">
        <v>164</v>
      </c>
      <c r="AM403" s="1" t="s">
        <v>192</v>
      </c>
      <c r="AN403" s="1" t="s">
        <v>198</v>
      </c>
      <c r="BD403" s="1" t="s">
        <v>1798</v>
      </c>
      <c r="BE403" s="1" t="s">
        <v>1799</v>
      </c>
    </row>
    <row r="404" spans="1:59" ht="13" x14ac:dyDescent="0.15">
      <c r="A404" s="2">
        <v>44175.919444444444</v>
      </c>
      <c r="B404" s="2">
        <v>44175.92083333333</v>
      </c>
      <c r="C404" s="1" t="s">
        <v>39</v>
      </c>
      <c r="D404" s="1" t="s">
        <v>234</v>
      </c>
      <c r="E404" s="1">
        <v>100</v>
      </c>
      <c r="F404" s="1">
        <v>124</v>
      </c>
      <c r="G404" s="1" t="b">
        <v>1</v>
      </c>
      <c r="H404" s="2">
        <v>44175.92083333333</v>
      </c>
      <c r="I404" s="1" t="s">
        <v>1800</v>
      </c>
      <c r="N404" s="1">
        <v>34.048492430000003</v>
      </c>
      <c r="O404" s="1">
        <v>-118.2528992</v>
      </c>
      <c r="P404" s="1" t="s">
        <v>153</v>
      </c>
      <c r="Q404" s="1" t="s">
        <v>154</v>
      </c>
      <c r="R404" s="1" t="s">
        <v>236</v>
      </c>
      <c r="S404" s="1" t="s">
        <v>208</v>
      </c>
      <c r="T404" s="1" t="s">
        <v>237</v>
      </c>
      <c r="U404" s="1" t="s">
        <v>1504</v>
      </c>
      <c r="V404" s="1" t="s">
        <v>160</v>
      </c>
      <c r="W404" s="1" t="s">
        <v>160</v>
      </c>
      <c r="X404" s="1" t="s">
        <v>160</v>
      </c>
      <c r="Y404" s="1" t="s">
        <v>160</v>
      </c>
      <c r="Z404" s="1" t="s">
        <v>160</v>
      </c>
      <c r="AA404" s="1" t="s">
        <v>160</v>
      </c>
      <c r="AB404" s="1" t="s">
        <v>160</v>
      </c>
      <c r="AC404" s="1" t="s">
        <v>160</v>
      </c>
      <c r="AD404" s="1" t="s">
        <v>160</v>
      </c>
      <c r="AE404" s="1" t="s">
        <v>160</v>
      </c>
      <c r="AF404" s="1" t="s">
        <v>160</v>
      </c>
      <c r="AG404" s="1" t="s">
        <v>160</v>
      </c>
      <c r="AI404" s="1" t="s">
        <v>160</v>
      </c>
      <c r="AJ404" s="1" t="s">
        <v>164</v>
      </c>
      <c r="AK404" s="1" t="s">
        <v>198</v>
      </c>
      <c r="AL404" s="1" t="s">
        <v>198</v>
      </c>
      <c r="AM404" s="1" t="s">
        <v>164</v>
      </c>
      <c r="AN404" s="1" t="s">
        <v>164</v>
      </c>
      <c r="AO404" s="1" t="s">
        <v>179</v>
      </c>
      <c r="AP404" s="1" t="s">
        <v>239</v>
      </c>
      <c r="AR404" s="1" t="s">
        <v>160</v>
      </c>
      <c r="AS404" s="1" t="s">
        <v>160</v>
      </c>
      <c r="AT404" s="1" t="s">
        <v>1801</v>
      </c>
      <c r="AU404" s="1" t="s">
        <v>159</v>
      </c>
      <c r="AV404" s="1" t="s">
        <v>160</v>
      </c>
      <c r="AW404" s="1" t="s">
        <v>159</v>
      </c>
      <c r="AX404" s="1" t="s">
        <v>159</v>
      </c>
      <c r="AY404" s="1" t="s">
        <v>159</v>
      </c>
      <c r="AZ404" s="1" t="s">
        <v>159</v>
      </c>
      <c r="BA404" s="1" t="s">
        <v>159</v>
      </c>
      <c r="BB404" s="1" t="s">
        <v>241</v>
      </c>
      <c r="BC404" s="1" t="s">
        <v>160</v>
      </c>
      <c r="BD404" s="1" t="s">
        <v>1802</v>
      </c>
      <c r="BE404" s="1" t="s">
        <v>1803</v>
      </c>
      <c r="BF404" s="1" t="s">
        <v>160</v>
      </c>
    </row>
    <row r="405" spans="1:59" ht="13" x14ac:dyDescent="0.15">
      <c r="A405" s="2">
        <v>44175.92083333333</v>
      </c>
      <c r="B405" s="2">
        <v>44175.922222222223</v>
      </c>
      <c r="C405" s="1" t="s">
        <v>39</v>
      </c>
      <c r="D405" s="1" t="s">
        <v>234</v>
      </c>
      <c r="E405" s="1">
        <v>100</v>
      </c>
      <c r="F405" s="1">
        <v>117</v>
      </c>
      <c r="G405" s="1" t="b">
        <v>1</v>
      </c>
      <c r="H405" s="2">
        <v>44175.922222222223</v>
      </c>
      <c r="I405" s="1" t="s">
        <v>1804</v>
      </c>
      <c r="N405" s="1">
        <v>34.048492430000003</v>
      </c>
      <c r="O405" s="1">
        <v>-118.2528992</v>
      </c>
      <c r="P405" s="1" t="s">
        <v>153</v>
      </c>
      <c r="Q405" s="1" t="s">
        <v>154</v>
      </c>
      <c r="R405" s="1" t="s">
        <v>174</v>
      </c>
      <c r="S405" s="1" t="s">
        <v>310</v>
      </c>
      <c r="T405" s="1" t="s">
        <v>176</v>
      </c>
      <c r="U405" s="1" t="s">
        <v>1805</v>
      </c>
      <c r="V405" s="1" t="s">
        <v>160</v>
      </c>
      <c r="W405" s="1" t="s">
        <v>160</v>
      </c>
      <c r="X405" s="1" t="s">
        <v>160</v>
      </c>
      <c r="Y405" s="1" t="s">
        <v>160</v>
      </c>
      <c r="Z405" s="1" t="s">
        <v>160</v>
      </c>
      <c r="AA405" s="1" t="s">
        <v>160</v>
      </c>
      <c r="AB405" s="1" t="s">
        <v>160</v>
      </c>
      <c r="AC405" s="1" t="s">
        <v>160</v>
      </c>
      <c r="AD405" s="1" t="s">
        <v>160</v>
      </c>
      <c r="AE405" s="1" t="s">
        <v>160</v>
      </c>
      <c r="AF405" s="1" t="s">
        <v>160</v>
      </c>
      <c r="AG405" s="1" t="s">
        <v>160</v>
      </c>
      <c r="AI405" s="1" t="s">
        <v>160</v>
      </c>
      <c r="AJ405" s="1" t="s">
        <v>198</v>
      </c>
      <c r="AK405" s="1" t="s">
        <v>192</v>
      </c>
      <c r="AL405" s="1" t="s">
        <v>192</v>
      </c>
      <c r="AM405" s="1" t="s">
        <v>164</v>
      </c>
      <c r="AN405" s="1" t="s">
        <v>164</v>
      </c>
      <c r="AO405" s="1" t="s">
        <v>179</v>
      </c>
      <c r="AP405" s="1" t="s">
        <v>179</v>
      </c>
      <c r="AR405" s="1" t="s">
        <v>160</v>
      </c>
      <c r="AS405" s="1" t="s">
        <v>160</v>
      </c>
      <c r="AT405" s="1" t="s">
        <v>1806</v>
      </c>
      <c r="AU405" s="1" t="s">
        <v>159</v>
      </c>
      <c r="AV405" s="1" t="s">
        <v>159</v>
      </c>
      <c r="AW405" s="1" t="s">
        <v>160</v>
      </c>
      <c r="AX405" s="1" t="s">
        <v>159</v>
      </c>
      <c r="AY405" s="1" t="s">
        <v>160</v>
      </c>
      <c r="AZ405" s="1" t="s">
        <v>159</v>
      </c>
      <c r="BA405" s="1" t="s">
        <v>159</v>
      </c>
      <c r="BB405" s="1" t="s">
        <v>241</v>
      </c>
      <c r="BC405" s="1" t="s">
        <v>160</v>
      </c>
      <c r="BD405" s="1" t="s">
        <v>1807</v>
      </c>
      <c r="BE405" s="1" t="s">
        <v>1808</v>
      </c>
      <c r="BF405" s="1" t="s">
        <v>160</v>
      </c>
    </row>
    <row r="406" spans="1:59" ht="13" x14ac:dyDescent="0.15">
      <c r="A406" s="2">
        <v>44175.922222222223</v>
      </c>
      <c r="B406" s="2">
        <v>44175.924305555556</v>
      </c>
      <c r="C406" s="1" t="s">
        <v>39</v>
      </c>
      <c r="D406" s="1" t="s">
        <v>234</v>
      </c>
      <c r="E406" s="1">
        <v>100</v>
      </c>
      <c r="F406" s="1">
        <v>122</v>
      </c>
      <c r="G406" s="1" t="b">
        <v>1</v>
      </c>
      <c r="H406" s="2">
        <v>44175.924305555556</v>
      </c>
      <c r="I406" s="1" t="s">
        <v>1809</v>
      </c>
      <c r="N406" s="1">
        <v>34.048492430000003</v>
      </c>
      <c r="O406" s="1">
        <v>-118.2528992</v>
      </c>
      <c r="P406" s="1" t="s">
        <v>153</v>
      </c>
      <c r="Q406" s="1" t="s">
        <v>154</v>
      </c>
      <c r="R406" s="1" t="s">
        <v>236</v>
      </c>
      <c r="S406" s="1" t="s">
        <v>310</v>
      </c>
      <c r="T406" s="1" t="s">
        <v>245</v>
      </c>
      <c r="U406" s="1" t="s">
        <v>1810</v>
      </c>
      <c r="V406" s="1" t="s">
        <v>160</v>
      </c>
      <c r="W406" s="1" t="s">
        <v>160</v>
      </c>
      <c r="X406" s="1" t="s">
        <v>160</v>
      </c>
      <c r="Y406" s="1" t="s">
        <v>160</v>
      </c>
      <c r="Z406" s="1" t="s">
        <v>160</v>
      </c>
      <c r="AA406" s="1" t="s">
        <v>160</v>
      </c>
      <c r="AB406" s="1" t="s">
        <v>160</v>
      </c>
      <c r="AC406" s="1" t="s">
        <v>160</v>
      </c>
      <c r="AD406" s="1" t="s">
        <v>160</v>
      </c>
      <c r="AE406" s="1" t="s">
        <v>160</v>
      </c>
      <c r="AF406" s="1" t="s">
        <v>160</v>
      </c>
      <c r="AG406" s="1" t="s">
        <v>160</v>
      </c>
      <c r="AI406" s="1" t="s">
        <v>160</v>
      </c>
      <c r="AJ406" s="1" t="s">
        <v>192</v>
      </c>
      <c r="AK406" s="1" t="s">
        <v>164</v>
      </c>
      <c r="AL406" s="1" t="s">
        <v>164</v>
      </c>
      <c r="AM406" s="1" t="s">
        <v>164</v>
      </c>
      <c r="AN406" s="1" t="s">
        <v>164</v>
      </c>
      <c r="AO406" s="1" t="s">
        <v>179</v>
      </c>
      <c r="AP406" s="1" t="s">
        <v>239</v>
      </c>
      <c r="AR406" s="1" t="s">
        <v>160</v>
      </c>
      <c r="AS406" s="1" t="s">
        <v>160</v>
      </c>
      <c r="AT406" s="1" t="s">
        <v>1394</v>
      </c>
      <c r="AU406" s="1" t="s">
        <v>159</v>
      </c>
      <c r="AV406" s="1" t="s">
        <v>159</v>
      </c>
      <c r="AW406" s="1" t="s">
        <v>160</v>
      </c>
      <c r="AX406" s="1" t="s">
        <v>160</v>
      </c>
      <c r="AY406" s="1" t="s">
        <v>160</v>
      </c>
      <c r="AZ406" s="1" t="s">
        <v>160</v>
      </c>
      <c r="BA406" s="1" t="s">
        <v>160</v>
      </c>
      <c r="BB406" s="1" t="s">
        <v>167</v>
      </c>
      <c r="BC406" s="1" t="s">
        <v>160</v>
      </c>
      <c r="BD406" s="1" t="s">
        <v>1811</v>
      </c>
      <c r="BE406" s="1" t="s">
        <v>1812</v>
      </c>
      <c r="BF406" s="1" t="s">
        <v>160</v>
      </c>
    </row>
    <row r="407" spans="1:59" ht="13" x14ac:dyDescent="0.15">
      <c r="A407" s="2">
        <v>44175.924305555556</v>
      </c>
      <c r="B407" s="2">
        <v>44175.925694444442</v>
      </c>
      <c r="C407" s="1" t="s">
        <v>39</v>
      </c>
      <c r="D407" s="1" t="s">
        <v>234</v>
      </c>
      <c r="E407" s="1">
        <v>100</v>
      </c>
      <c r="F407" s="1">
        <v>120</v>
      </c>
      <c r="G407" s="1" t="b">
        <v>1</v>
      </c>
      <c r="H407" s="2">
        <v>44175.925694444442</v>
      </c>
      <c r="I407" s="1" t="s">
        <v>1813</v>
      </c>
      <c r="N407" s="1">
        <v>34.048492430000003</v>
      </c>
      <c r="O407" s="1">
        <v>-118.2528992</v>
      </c>
      <c r="P407" s="1" t="s">
        <v>153</v>
      </c>
      <c r="Q407" s="1" t="s">
        <v>154</v>
      </c>
      <c r="R407" s="1" t="s">
        <v>174</v>
      </c>
      <c r="S407" s="1" t="s">
        <v>208</v>
      </c>
      <c r="T407" s="1" t="s">
        <v>237</v>
      </c>
      <c r="U407" s="1" t="s">
        <v>1051</v>
      </c>
      <c r="V407" s="1" t="s">
        <v>160</v>
      </c>
      <c r="W407" s="1" t="s">
        <v>160</v>
      </c>
      <c r="X407" s="1" t="s">
        <v>160</v>
      </c>
      <c r="Y407" s="1" t="s">
        <v>160</v>
      </c>
      <c r="Z407" s="1" t="s">
        <v>160</v>
      </c>
      <c r="AA407" s="1" t="s">
        <v>160</v>
      </c>
      <c r="AB407" s="1" t="s">
        <v>160</v>
      </c>
      <c r="AC407" s="1" t="s">
        <v>160</v>
      </c>
      <c r="AD407" s="1" t="s">
        <v>160</v>
      </c>
      <c r="AE407" s="1" t="s">
        <v>160</v>
      </c>
      <c r="AF407" s="1" t="s">
        <v>160</v>
      </c>
      <c r="AG407" s="1" t="s">
        <v>160</v>
      </c>
      <c r="AI407" s="1" t="s">
        <v>160</v>
      </c>
      <c r="AJ407" s="1" t="s">
        <v>192</v>
      </c>
      <c r="AK407" s="1" t="s">
        <v>198</v>
      </c>
      <c r="AL407" s="1" t="s">
        <v>198</v>
      </c>
      <c r="AM407" s="1" t="s">
        <v>192</v>
      </c>
      <c r="AN407" s="1" t="s">
        <v>164</v>
      </c>
      <c r="AO407" s="1" t="s">
        <v>179</v>
      </c>
      <c r="AP407" s="1" t="s">
        <v>239</v>
      </c>
      <c r="AR407" s="1" t="s">
        <v>160</v>
      </c>
      <c r="AS407" s="1" t="s">
        <v>160</v>
      </c>
      <c r="AT407" s="1" t="s">
        <v>1814</v>
      </c>
      <c r="AU407" s="1" t="s">
        <v>159</v>
      </c>
      <c r="AV407" s="1" t="s">
        <v>160</v>
      </c>
      <c r="AW407" s="1" t="s">
        <v>160</v>
      </c>
      <c r="AX407" s="1" t="s">
        <v>159</v>
      </c>
      <c r="AY407" s="1" t="s">
        <v>160</v>
      </c>
      <c r="AZ407" s="1" t="s">
        <v>159</v>
      </c>
      <c r="BA407" s="1" t="s">
        <v>159</v>
      </c>
      <c r="BB407" s="1" t="s">
        <v>181</v>
      </c>
      <c r="BC407" s="1" t="s">
        <v>160</v>
      </c>
      <c r="BD407" s="1" t="s">
        <v>1815</v>
      </c>
      <c r="BE407" s="1" t="s">
        <v>1816</v>
      </c>
      <c r="BF407" s="1" t="s">
        <v>160</v>
      </c>
    </row>
    <row r="408" spans="1:59" ht="13" x14ac:dyDescent="0.15">
      <c r="A408" s="2">
        <v>44175.926388888889</v>
      </c>
      <c r="B408" s="2">
        <v>44175.927777777775</v>
      </c>
      <c r="C408" s="1" t="s">
        <v>39</v>
      </c>
      <c r="D408" s="1" t="s">
        <v>234</v>
      </c>
      <c r="E408" s="1">
        <v>100</v>
      </c>
      <c r="F408" s="1">
        <v>121</v>
      </c>
      <c r="G408" s="1" t="b">
        <v>1</v>
      </c>
      <c r="H408" s="2">
        <v>44175.927777777775</v>
      </c>
      <c r="I408" s="1" t="s">
        <v>1817</v>
      </c>
      <c r="N408" s="1">
        <v>34.048492430000003</v>
      </c>
      <c r="O408" s="1">
        <v>-118.2528992</v>
      </c>
      <c r="P408" s="1" t="s">
        <v>153</v>
      </c>
      <c r="Q408" s="1" t="s">
        <v>154</v>
      </c>
      <c r="R408" s="1" t="s">
        <v>155</v>
      </c>
      <c r="S408" s="1" t="s">
        <v>208</v>
      </c>
      <c r="T408" s="1" t="s">
        <v>176</v>
      </c>
      <c r="U408" s="1" t="s">
        <v>900</v>
      </c>
      <c r="V408" s="1" t="s">
        <v>160</v>
      </c>
      <c r="W408" s="1" t="s">
        <v>160</v>
      </c>
      <c r="X408" s="1" t="s">
        <v>160</v>
      </c>
      <c r="Y408" s="1" t="s">
        <v>160</v>
      </c>
      <c r="Z408" s="1" t="s">
        <v>160</v>
      </c>
      <c r="AA408" s="1" t="s">
        <v>160</v>
      </c>
      <c r="AB408" s="1" t="s">
        <v>160</v>
      </c>
      <c r="AC408" s="1" t="s">
        <v>160</v>
      </c>
      <c r="AD408" s="1" t="s">
        <v>160</v>
      </c>
      <c r="AE408" s="1" t="s">
        <v>160</v>
      </c>
      <c r="AF408" s="1" t="s">
        <v>160</v>
      </c>
      <c r="AG408" s="1" t="s">
        <v>160</v>
      </c>
      <c r="AI408" s="1" t="s">
        <v>160</v>
      </c>
      <c r="AJ408" s="1" t="s">
        <v>192</v>
      </c>
      <c r="AK408" s="1" t="s">
        <v>164</v>
      </c>
      <c r="AL408" s="1" t="s">
        <v>192</v>
      </c>
      <c r="AM408" s="1" t="s">
        <v>198</v>
      </c>
      <c r="AN408" s="1" t="s">
        <v>192</v>
      </c>
      <c r="AO408" s="1" t="s">
        <v>179</v>
      </c>
      <c r="AP408" s="1" t="s">
        <v>179</v>
      </c>
      <c r="AR408" s="1" t="s">
        <v>160</v>
      </c>
      <c r="AS408" s="1" t="s">
        <v>160</v>
      </c>
      <c r="AT408" s="1" t="s">
        <v>257</v>
      </c>
      <c r="AU408" s="1" t="s">
        <v>160</v>
      </c>
      <c r="AV408" s="1" t="s">
        <v>159</v>
      </c>
      <c r="AW408" s="1" t="s">
        <v>159</v>
      </c>
      <c r="AX408" s="1" t="s">
        <v>159</v>
      </c>
      <c r="AY408" s="1" t="s">
        <v>160</v>
      </c>
      <c r="AZ408" s="1" t="s">
        <v>159</v>
      </c>
      <c r="BA408" s="1" t="s">
        <v>159</v>
      </c>
      <c r="BB408" s="1" t="s">
        <v>167</v>
      </c>
      <c r="BC408" s="1" t="s">
        <v>160</v>
      </c>
      <c r="BD408" s="1" t="s">
        <v>428</v>
      </c>
      <c r="BE408" s="1" t="s">
        <v>1818</v>
      </c>
      <c r="BF408" s="1" t="s">
        <v>160</v>
      </c>
    </row>
    <row r="409" spans="1:59" ht="13" x14ac:dyDescent="0.15">
      <c r="A409" s="2">
        <v>44175.928472222222</v>
      </c>
      <c r="B409" s="2">
        <v>44175.929861111108</v>
      </c>
      <c r="C409" s="1" t="s">
        <v>39</v>
      </c>
      <c r="D409" s="1" t="s">
        <v>234</v>
      </c>
      <c r="E409" s="1">
        <v>100</v>
      </c>
      <c r="F409" s="1">
        <v>120</v>
      </c>
      <c r="G409" s="1" t="b">
        <v>1</v>
      </c>
      <c r="H409" s="2">
        <v>44175.929861111108</v>
      </c>
      <c r="I409" s="1" t="s">
        <v>1819</v>
      </c>
      <c r="N409" s="1">
        <v>34.048492430000003</v>
      </c>
      <c r="O409" s="1">
        <v>-118.2528992</v>
      </c>
      <c r="P409" s="1" t="s">
        <v>153</v>
      </c>
      <c r="Q409" s="1" t="s">
        <v>154</v>
      </c>
      <c r="R409" s="1" t="s">
        <v>174</v>
      </c>
      <c r="S409" s="1" t="s">
        <v>226</v>
      </c>
      <c r="T409" s="1" t="s">
        <v>263</v>
      </c>
      <c r="U409" s="1" t="s">
        <v>716</v>
      </c>
      <c r="V409" s="1" t="s">
        <v>160</v>
      </c>
      <c r="W409" s="1" t="s">
        <v>160</v>
      </c>
      <c r="X409" s="1" t="s">
        <v>160</v>
      </c>
      <c r="Y409" s="1" t="s">
        <v>160</v>
      </c>
      <c r="Z409" s="1" t="s">
        <v>160</v>
      </c>
      <c r="AA409" s="1" t="s">
        <v>160</v>
      </c>
      <c r="AB409" s="1" t="s">
        <v>160</v>
      </c>
      <c r="AC409" s="1" t="s">
        <v>160</v>
      </c>
      <c r="AD409" s="1" t="s">
        <v>160</v>
      </c>
      <c r="AE409" s="1" t="s">
        <v>160</v>
      </c>
      <c r="AF409" s="1" t="s">
        <v>160</v>
      </c>
      <c r="AG409" s="1" t="s">
        <v>160</v>
      </c>
      <c r="AI409" s="1" t="s">
        <v>160</v>
      </c>
      <c r="AJ409" s="1" t="s">
        <v>164</v>
      </c>
      <c r="AK409" s="1" t="s">
        <v>192</v>
      </c>
      <c r="AL409" s="1" t="s">
        <v>192</v>
      </c>
      <c r="AM409" s="1" t="s">
        <v>164</v>
      </c>
      <c r="AN409" s="1" t="s">
        <v>192</v>
      </c>
      <c r="AO409" s="1" t="s">
        <v>179</v>
      </c>
      <c r="AP409" s="1" t="s">
        <v>239</v>
      </c>
      <c r="AR409" s="1" t="s">
        <v>160</v>
      </c>
      <c r="AS409" s="1" t="s">
        <v>160</v>
      </c>
      <c r="AT409" s="1" t="s">
        <v>614</v>
      </c>
      <c r="AU409" s="1" t="s">
        <v>160</v>
      </c>
      <c r="AV409" s="1" t="s">
        <v>160</v>
      </c>
      <c r="AW409" s="1" t="s">
        <v>159</v>
      </c>
      <c r="AX409" s="1" t="s">
        <v>160</v>
      </c>
      <c r="AY409" s="1" t="s">
        <v>159</v>
      </c>
      <c r="AZ409" s="1" t="s">
        <v>160</v>
      </c>
      <c r="BA409" s="1" t="s">
        <v>159</v>
      </c>
      <c r="BB409" s="1" t="s">
        <v>181</v>
      </c>
      <c r="BC409" s="1" t="s">
        <v>160</v>
      </c>
      <c r="BD409" s="1" t="s">
        <v>1820</v>
      </c>
      <c r="BE409" s="1" t="s">
        <v>1821</v>
      </c>
      <c r="BF409" s="1" t="s">
        <v>160</v>
      </c>
    </row>
    <row r="410" spans="1:59" ht="13" x14ac:dyDescent="0.15">
      <c r="A410" s="2">
        <v>44175.929861111108</v>
      </c>
      <c r="B410" s="2">
        <v>44175.931250000001</v>
      </c>
      <c r="C410" s="1" t="s">
        <v>39</v>
      </c>
      <c r="D410" s="1" t="s">
        <v>234</v>
      </c>
      <c r="E410" s="1">
        <v>100</v>
      </c>
      <c r="F410" s="1">
        <v>121</v>
      </c>
      <c r="G410" s="1" t="b">
        <v>1</v>
      </c>
      <c r="H410" s="2">
        <v>44175.931250000001</v>
      </c>
      <c r="I410" s="1" t="s">
        <v>1822</v>
      </c>
      <c r="N410" s="1">
        <v>34.048492430000003</v>
      </c>
      <c r="O410" s="1">
        <v>-118.2528992</v>
      </c>
      <c r="P410" s="1" t="s">
        <v>153</v>
      </c>
      <c r="Q410" s="1" t="s">
        <v>154</v>
      </c>
      <c r="R410" s="1" t="s">
        <v>174</v>
      </c>
      <c r="S410" s="1" t="s">
        <v>175</v>
      </c>
      <c r="T410" s="1" t="s">
        <v>263</v>
      </c>
      <c r="U410" s="1" t="s">
        <v>1823</v>
      </c>
      <c r="V410" s="1" t="s">
        <v>160</v>
      </c>
      <c r="W410" s="1" t="s">
        <v>160</v>
      </c>
      <c r="X410" s="1" t="s">
        <v>160</v>
      </c>
      <c r="Y410" s="1" t="s">
        <v>160</v>
      </c>
      <c r="Z410" s="1" t="s">
        <v>160</v>
      </c>
      <c r="AA410" s="1" t="s">
        <v>160</v>
      </c>
      <c r="AB410" s="1" t="s">
        <v>160</v>
      </c>
      <c r="AC410" s="1" t="s">
        <v>160</v>
      </c>
      <c r="AD410" s="1" t="s">
        <v>160</v>
      </c>
      <c r="AE410" s="1" t="s">
        <v>160</v>
      </c>
      <c r="AF410" s="1" t="s">
        <v>160</v>
      </c>
      <c r="AG410" s="1" t="s">
        <v>160</v>
      </c>
      <c r="AI410" s="1" t="s">
        <v>160</v>
      </c>
      <c r="AJ410" s="1" t="s">
        <v>164</v>
      </c>
      <c r="AK410" s="1" t="s">
        <v>164</v>
      </c>
      <c r="AL410" s="1" t="s">
        <v>192</v>
      </c>
      <c r="AM410" s="1" t="s">
        <v>192</v>
      </c>
      <c r="AN410" s="1" t="s">
        <v>163</v>
      </c>
      <c r="AO410" s="1" t="s">
        <v>179</v>
      </c>
      <c r="AP410" s="1" t="s">
        <v>165</v>
      </c>
      <c r="AR410" s="1" t="s">
        <v>160</v>
      </c>
      <c r="AS410" s="1" t="s">
        <v>160</v>
      </c>
      <c r="AT410" s="1" t="s">
        <v>614</v>
      </c>
      <c r="AU410" s="1" t="s">
        <v>159</v>
      </c>
      <c r="AV410" s="1" t="s">
        <v>159</v>
      </c>
      <c r="AW410" s="1" t="s">
        <v>159</v>
      </c>
      <c r="AX410" s="1" t="s">
        <v>159</v>
      </c>
      <c r="AY410" s="1" t="s">
        <v>160</v>
      </c>
      <c r="AZ410" s="1" t="s">
        <v>160</v>
      </c>
      <c r="BA410" s="1" t="s">
        <v>160</v>
      </c>
      <c r="BB410" s="1" t="s">
        <v>181</v>
      </c>
      <c r="BC410" s="1" t="s">
        <v>160</v>
      </c>
      <c r="BD410" s="1" t="s">
        <v>1824</v>
      </c>
      <c r="BE410" s="1" t="s">
        <v>1825</v>
      </c>
      <c r="BF410" s="1" t="s">
        <v>160</v>
      </c>
    </row>
    <row r="411" spans="1:59" ht="13" x14ac:dyDescent="0.15">
      <c r="A411" s="2">
        <v>44175.931944444441</v>
      </c>
      <c r="B411" s="2">
        <v>44175.933333333334</v>
      </c>
      <c r="C411" s="1" t="s">
        <v>39</v>
      </c>
      <c r="D411" s="1" t="s">
        <v>234</v>
      </c>
      <c r="E411" s="1">
        <v>100</v>
      </c>
      <c r="F411" s="1">
        <v>111</v>
      </c>
      <c r="G411" s="1" t="b">
        <v>1</v>
      </c>
      <c r="H411" s="2">
        <v>44175.933333333334</v>
      </c>
      <c r="I411" s="1" t="s">
        <v>1826</v>
      </c>
      <c r="N411" s="1">
        <v>34.048492430000003</v>
      </c>
      <c r="O411" s="1">
        <v>-118.2528992</v>
      </c>
      <c r="P411" s="1" t="s">
        <v>153</v>
      </c>
      <c r="Q411" s="1" t="s">
        <v>154</v>
      </c>
      <c r="R411" s="1" t="s">
        <v>155</v>
      </c>
      <c r="S411" s="1" t="s">
        <v>310</v>
      </c>
      <c r="T411" s="1" t="s">
        <v>237</v>
      </c>
      <c r="U411" s="1" t="s">
        <v>1827</v>
      </c>
      <c r="V411" s="1" t="s">
        <v>160</v>
      </c>
      <c r="W411" s="1" t="s">
        <v>160</v>
      </c>
      <c r="X411" s="1" t="s">
        <v>160</v>
      </c>
      <c r="Y411" s="1" t="s">
        <v>160</v>
      </c>
      <c r="Z411" s="1" t="s">
        <v>160</v>
      </c>
      <c r="AA411" s="1" t="s">
        <v>160</v>
      </c>
      <c r="AB411" s="1" t="s">
        <v>160</v>
      </c>
      <c r="AC411" s="1" t="s">
        <v>160</v>
      </c>
      <c r="AD411" s="1" t="s">
        <v>160</v>
      </c>
      <c r="AE411" s="1" t="s">
        <v>160</v>
      </c>
      <c r="AF411" s="1" t="s">
        <v>160</v>
      </c>
      <c r="AG411" s="1" t="s">
        <v>160</v>
      </c>
      <c r="AI411" s="1" t="s">
        <v>160</v>
      </c>
      <c r="AJ411" s="1" t="s">
        <v>163</v>
      </c>
      <c r="AK411" s="1" t="s">
        <v>198</v>
      </c>
      <c r="AL411" s="1" t="s">
        <v>163</v>
      </c>
      <c r="AM411" s="1" t="s">
        <v>192</v>
      </c>
      <c r="AN411" s="1" t="s">
        <v>192</v>
      </c>
      <c r="AO411" s="1" t="s">
        <v>179</v>
      </c>
      <c r="AP411" s="1" t="s">
        <v>165</v>
      </c>
      <c r="AR411" s="1" t="s">
        <v>160</v>
      </c>
      <c r="AS411" s="1" t="s">
        <v>160</v>
      </c>
      <c r="AT411" s="1" t="s">
        <v>240</v>
      </c>
      <c r="AU411" s="1" t="s">
        <v>160</v>
      </c>
      <c r="AV411" s="1" t="s">
        <v>160</v>
      </c>
      <c r="AW411" s="1" t="s">
        <v>159</v>
      </c>
      <c r="AX411" s="1" t="s">
        <v>160</v>
      </c>
      <c r="AY411" s="1" t="s">
        <v>159</v>
      </c>
      <c r="AZ411" s="1" t="s">
        <v>160</v>
      </c>
      <c r="BA411" s="1" t="s">
        <v>160</v>
      </c>
      <c r="BB411" s="1" t="s">
        <v>222</v>
      </c>
      <c r="BC411" s="1" t="s">
        <v>160</v>
      </c>
      <c r="BD411" s="1" t="s">
        <v>1828</v>
      </c>
      <c r="BE411" s="1" t="s">
        <v>1829</v>
      </c>
      <c r="BF411" s="1" t="s">
        <v>160</v>
      </c>
    </row>
    <row r="412" spans="1:59" ht="13" x14ac:dyDescent="0.15">
      <c r="A412" s="2">
        <v>44175.933333333334</v>
      </c>
      <c r="B412" s="2">
        <v>44175.93472222222</v>
      </c>
      <c r="C412" s="1" t="s">
        <v>39</v>
      </c>
      <c r="D412" s="1" t="s">
        <v>234</v>
      </c>
      <c r="E412" s="1">
        <v>100</v>
      </c>
      <c r="F412" s="1">
        <v>119</v>
      </c>
      <c r="G412" s="1" t="b">
        <v>1</v>
      </c>
      <c r="H412" s="2">
        <v>44175.93472222222</v>
      </c>
      <c r="I412" s="1" t="s">
        <v>1830</v>
      </c>
      <c r="N412" s="1">
        <v>34.048492430000003</v>
      </c>
      <c r="O412" s="1">
        <v>-118.2528992</v>
      </c>
      <c r="P412" s="1" t="s">
        <v>153</v>
      </c>
      <c r="Q412" s="1" t="s">
        <v>154</v>
      </c>
      <c r="R412" s="1" t="s">
        <v>155</v>
      </c>
      <c r="S412" s="1" t="s">
        <v>208</v>
      </c>
      <c r="T412" s="1" t="s">
        <v>263</v>
      </c>
      <c r="U412" s="1" t="s">
        <v>1689</v>
      </c>
      <c r="V412" s="1" t="s">
        <v>160</v>
      </c>
      <c r="W412" s="1" t="s">
        <v>160</v>
      </c>
      <c r="X412" s="1" t="s">
        <v>160</v>
      </c>
      <c r="Y412" s="1" t="s">
        <v>160</v>
      </c>
      <c r="Z412" s="1" t="s">
        <v>160</v>
      </c>
      <c r="AA412" s="1" t="s">
        <v>160</v>
      </c>
      <c r="AB412" s="1" t="s">
        <v>160</v>
      </c>
      <c r="AC412" s="1" t="s">
        <v>160</v>
      </c>
      <c r="AD412" s="1" t="s">
        <v>160</v>
      </c>
      <c r="AE412" s="1" t="s">
        <v>160</v>
      </c>
      <c r="AF412" s="1" t="s">
        <v>160</v>
      </c>
      <c r="AG412" s="1" t="s">
        <v>160</v>
      </c>
      <c r="AI412" s="1" t="s">
        <v>160</v>
      </c>
      <c r="AJ412" s="1" t="s">
        <v>163</v>
      </c>
      <c r="AK412" s="1" t="s">
        <v>163</v>
      </c>
      <c r="AL412" s="1" t="s">
        <v>198</v>
      </c>
      <c r="AM412" s="1" t="s">
        <v>192</v>
      </c>
      <c r="AN412" s="1" t="s">
        <v>198</v>
      </c>
      <c r="AO412" s="1" t="s">
        <v>179</v>
      </c>
      <c r="AP412" s="1" t="s">
        <v>165</v>
      </c>
      <c r="AR412" s="1" t="s">
        <v>160</v>
      </c>
      <c r="AS412" s="1" t="s">
        <v>160</v>
      </c>
      <c r="AT412" s="1" t="s">
        <v>1180</v>
      </c>
      <c r="AU412" s="1" t="s">
        <v>159</v>
      </c>
      <c r="AV412" s="1" t="s">
        <v>160</v>
      </c>
      <c r="AW412" s="1" t="s">
        <v>160</v>
      </c>
      <c r="AX412" s="1" t="s">
        <v>160</v>
      </c>
      <c r="AY412" s="1" t="s">
        <v>160</v>
      </c>
      <c r="AZ412" s="1" t="s">
        <v>159</v>
      </c>
      <c r="BA412" s="1" t="s">
        <v>160</v>
      </c>
      <c r="BB412" s="1" t="s">
        <v>181</v>
      </c>
      <c r="BC412" s="1" t="s">
        <v>160</v>
      </c>
      <c r="BD412" s="1" t="s">
        <v>1831</v>
      </c>
      <c r="BE412" s="1" t="s">
        <v>1832</v>
      </c>
      <c r="BF412" s="1" t="s">
        <v>160</v>
      </c>
    </row>
    <row r="413" spans="1:59" ht="13" x14ac:dyDescent="0.15">
      <c r="A413" s="2">
        <v>44175.933333333334</v>
      </c>
      <c r="B413" s="2">
        <v>44175.935416666667</v>
      </c>
      <c r="C413" s="1" t="s">
        <v>39</v>
      </c>
      <c r="D413" s="1" t="s">
        <v>1833</v>
      </c>
      <c r="E413" s="1">
        <v>100</v>
      </c>
      <c r="F413" s="1">
        <v>169</v>
      </c>
      <c r="G413" s="1" t="b">
        <v>1</v>
      </c>
      <c r="H413" s="2">
        <v>44175.935416666667</v>
      </c>
      <c r="I413" s="1" t="s">
        <v>1834</v>
      </c>
      <c r="N413" s="1">
        <v>30.132003780000002</v>
      </c>
      <c r="O413" s="1">
        <v>-81.772598270000003</v>
      </c>
      <c r="P413" s="1" t="s">
        <v>153</v>
      </c>
      <c r="Q413" s="1" t="s">
        <v>154</v>
      </c>
      <c r="R413" s="1" t="s">
        <v>174</v>
      </c>
      <c r="S413" s="1" t="s">
        <v>274</v>
      </c>
      <c r="T413" s="1" t="s">
        <v>176</v>
      </c>
      <c r="U413" s="1" t="s">
        <v>976</v>
      </c>
      <c r="V413" s="1" t="s">
        <v>160</v>
      </c>
      <c r="W413" s="1" t="s">
        <v>160</v>
      </c>
      <c r="X413" s="1" t="s">
        <v>160</v>
      </c>
      <c r="Y413" s="1" t="s">
        <v>160</v>
      </c>
      <c r="Z413" s="1" t="s">
        <v>159</v>
      </c>
      <c r="AA413" s="1" t="s">
        <v>159</v>
      </c>
      <c r="AB413" s="1" t="s">
        <v>160</v>
      </c>
      <c r="AC413" s="1" t="s">
        <v>159</v>
      </c>
      <c r="AD413" s="1" t="s">
        <v>159</v>
      </c>
      <c r="AE413" s="1" t="s">
        <v>160</v>
      </c>
      <c r="AF413" s="1" t="s">
        <v>160</v>
      </c>
      <c r="AG413" s="1" t="s">
        <v>160</v>
      </c>
      <c r="AH413" s="1">
        <v>3</v>
      </c>
      <c r="AI413" s="1" t="s">
        <v>160</v>
      </c>
      <c r="AJ413" s="1" t="s">
        <v>192</v>
      </c>
      <c r="AK413" s="1" t="s">
        <v>192</v>
      </c>
      <c r="AL413" s="1" t="s">
        <v>163</v>
      </c>
      <c r="AM413" s="1" t="s">
        <v>162</v>
      </c>
      <c r="AN413" s="1" t="s">
        <v>163</v>
      </c>
      <c r="AO413" s="1" t="s">
        <v>165</v>
      </c>
      <c r="AP413" s="1" t="s">
        <v>165</v>
      </c>
      <c r="AQ413" s="1">
        <v>1996</v>
      </c>
      <c r="AR413" s="1" t="s">
        <v>160</v>
      </c>
      <c r="AS413" s="1" t="s">
        <v>159</v>
      </c>
      <c r="AT413" s="1" t="s">
        <v>322</v>
      </c>
      <c r="AU413" s="1" t="s">
        <v>159</v>
      </c>
      <c r="AV413" s="1" t="s">
        <v>160</v>
      </c>
      <c r="AW413" s="1" t="s">
        <v>160</v>
      </c>
      <c r="AX413" s="1" t="s">
        <v>159</v>
      </c>
      <c r="AY413" s="1" t="s">
        <v>159</v>
      </c>
      <c r="AZ413" s="1" t="s">
        <v>159</v>
      </c>
      <c r="BA413" s="1" t="s">
        <v>159</v>
      </c>
      <c r="BB413" s="1" t="s">
        <v>167</v>
      </c>
      <c r="BC413" s="1" t="s">
        <v>159</v>
      </c>
      <c r="BE413" s="1" t="s">
        <v>1835</v>
      </c>
      <c r="BF413" s="1" t="s">
        <v>160</v>
      </c>
      <c r="BG413" s="1" t="s">
        <v>1836</v>
      </c>
    </row>
    <row r="414" spans="1:59" ht="13" x14ac:dyDescent="0.15">
      <c r="A414" s="2">
        <v>44175.93472222222</v>
      </c>
      <c r="B414" s="2">
        <v>44175.936111111114</v>
      </c>
      <c r="C414" s="1" t="s">
        <v>39</v>
      </c>
      <c r="D414" s="1" t="s">
        <v>234</v>
      </c>
      <c r="E414" s="1">
        <v>100</v>
      </c>
      <c r="F414" s="1">
        <v>121</v>
      </c>
      <c r="G414" s="1" t="b">
        <v>1</v>
      </c>
      <c r="H414" s="2">
        <v>44175.936111111114</v>
      </c>
      <c r="I414" s="1" t="s">
        <v>1837</v>
      </c>
      <c r="N414" s="1">
        <v>34.048492430000003</v>
      </c>
      <c r="O414" s="1">
        <v>-118.2528992</v>
      </c>
      <c r="P414" s="1" t="s">
        <v>153</v>
      </c>
      <c r="Q414" s="1" t="s">
        <v>154</v>
      </c>
      <c r="R414" s="1" t="s">
        <v>236</v>
      </c>
      <c r="S414" s="1" t="s">
        <v>226</v>
      </c>
      <c r="T414" s="1" t="s">
        <v>245</v>
      </c>
      <c r="U414" s="1" t="s">
        <v>944</v>
      </c>
      <c r="V414" s="1" t="s">
        <v>160</v>
      </c>
      <c r="W414" s="1" t="s">
        <v>160</v>
      </c>
      <c r="X414" s="1" t="s">
        <v>160</v>
      </c>
      <c r="Y414" s="1" t="s">
        <v>160</v>
      </c>
      <c r="Z414" s="1" t="s">
        <v>160</v>
      </c>
      <c r="AA414" s="1" t="s">
        <v>160</v>
      </c>
      <c r="AB414" s="1" t="s">
        <v>160</v>
      </c>
      <c r="AC414" s="1" t="s">
        <v>160</v>
      </c>
      <c r="AD414" s="1" t="s">
        <v>160</v>
      </c>
      <c r="AE414" s="1" t="s">
        <v>160</v>
      </c>
      <c r="AF414" s="1" t="s">
        <v>160</v>
      </c>
      <c r="AG414" s="1" t="s">
        <v>160</v>
      </c>
      <c r="AI414" s="1" t="s">
        <v>160</v>
      </c>
      <c r="AJ414" s="1" t="s">
        <v>163</v>
      </c>
      <c r="AK414" s="1" t="s">
        <v>164</v>
      </c>
      <c r="AL414" s="1" t="s">
        <v>163</v>
      </c>
      <c r="AM414" s="1" t="s">
        <v>198</v>
      </c>
      <c r="AN414" s="1" t="s">
        <v>163</v>
      </c>
      <c r="AO414" s="1" t="s">
        <v>179</v>
      </c>
      <c r="AP414" s="1" t="s">
        <v>239</v>
      </c>
      <c r="AR414" s="1" t="s">
        <v>160</v>
      </c>
      <c r="AS414" s="1" t="s">
        <v>160</v>
      </c>
      <c r="AT414" s="1" t="s">
        <v>257</v>
      </c>
      <c r="AU414" s="1" t="s">
        <v>160</v>
      </c>
      <c r="AV414" s="1" t="s">
        <v>159</v>
      </c>
      <c r="AW414" s="1" t="s">
        <v>159</v>
      </c>
      <c r="AX414" s="1" t="s">
        <v>160</v>
      </c>
      <c r="AY414" s="1" t="s">
        <v>159</v>
      </c>
      <c r="AZ414" s="1" t="s">
        <v>159</v>
      </c>
      <c r="BA414" s="1" t="s">
        <v>159</v>
      </c>
      <c r="BB414" s="1" t="s">
        <v>222</v>
      </c>
      <c r="BC414" s="1" t="s">
        <v>160</v>
      </c>
      <c r="BD414" s="1" t="s">
        <v>1838</v>
      </c>
      <c r="BE414" s="1" t="s">
        <v>1839</v>
      </c>
      <c r="BF414" s="1" t="s">
        <v>160</v>
      </c>
    </row>
    <row r="415" spans="1:59" ht="13" x14ac:dyDescent="0.15">
      <c r="A415" s="2">
        <v>44175.936805555553</v>
      </c>
      <c r="B415" s="2">
        <v>44175.938194444447</v>
      </c>
      <c r="C415" s="1" t="s">
        <v>39</v>
      </c>
      <c r="D415" s="1" t="s">
        <v>234</v>
      </c>
      <c r="E415" s="1">
        <v>100</v>
      </c>
      <c r="F415" s="1">
        <v>115</v>
      </c>
      <c r="G415" s="1" t="b">
        <v>1</v>
      </c>
      <c r="H415" s="2">
        <v>44175.938194444447</v>
      </c>
      <c r="I415" s="1" t="s">
        <v>1840</v>
      </c>
      <c r="N415" s="1">
        <v>34.048492430000003</v>
      </c>
      <c r="O415" s="1">
        <v>-118.2528992</v>
      </c>
      <c r="P415" s="1" t="s">
        <v>153</v>
      </c>
      <c r="Q415" s="1" t="s">
        <v>154</v>
      </c>
      <c r="R415" s="1" t="s">
        <v>174</v>
      </c>
      <c r="S415" s="1" t="s">
        <v>208</v>
      </c>
      <c r="T415" s="1" t="s">
        <v>176</v>
      </c>
      <c r="U415" s="1" t="s">
        <v>1841</v>
      </c>
      <c r="V415" s="1" t="s">
        <v>160</v>
      </c>
      <c r="W415" s="1" t="s">
        <v>160</v>
      </c>
      <c r="X415" s="1" t="s">
        <v>160</v>
      </c>
      <c r="Y415" s="1" t="s">
        <v>160</v>
      </c>
      <c r="Z415" s="1" t="s">
        <v>160</v>
      </c>
      <c r="AA415" s="1" t="s">
        <v>160</v>
      </c>
      <c r="AB415" s="1" t="s">
        <v>160</v>
      </c>
      <c r="AC415" s="1" t="s">
        <v>160</v>
      </c>
      <c r="AD415" s="1" t="s">
        <v>160</v>
      </c>
      <c r="AE415" s="1" t="s">
        <v>160</v>
      </c>
      <c r="AF415" s="1" t="s">
        <v>160</v>
      </c>
      <c r="AG415" s="1" t="s">
        <v>160</v>
      </c>
      <c r="AI415" s="1" t="s">
        <v>160</v>
      </c>
      <c r="AJ415" s="1" t="s">
        <v>192</v>
      </c>
      <c r="AK415" s="1" t="s">
        <v>164</v>
      </c>
      <c r="AL415" s="1" t="s">
        <v>192</v>
      </c>
      <c r="AM415" s="1" t="s">
        <v>164</v>
      </c>
      <c r="AN415" s="1" t="s">
        <v>163</v>
      </c>
      <c r="AO415" s="1" t="s">
        <v>179</v>
      </c>
      <c r="AP415" s="1" t="s">
        <v>179</v>
      </c>
      <c r="AR415" s="1" t="s">
        <v>160</v>
      </c>
      <c r="AS415" s="1" t="s">
        <v>160</v>
      </c>
      <c r="AT415" s="1" t="s">
        <v>1842</v>
      </c>
      <c r="AU415" s="1" t="s">
        <v>159</v>
      </c>
      <c r="AV415" s="1" t="s">
        <v>160</v>
      </c>
      <c r="AW415" s="1" t="s">
        <v>160</v>
      </c>
      <c r="AX415" s="1" t="s">
        <v>160</v>
      </c>
      <c r="AY415" s="1" t="s">
        <v>160</v>
      </c>
      <c r="AZ415" s="1" t="s">
        <v>159</v>
      </c>
      <c r="BA415" s="1" t="s">
        <v>159</v>
      </c>
      <c r="BB415" s="1" t="s">
        <v>241</v>
      </c>
      <c r="BC415" s="1" t="s">
        <v>160</v>
      </c>
      <c r="BD415" s="1" t="s">
        <v>521</v>
      </c>
      <c r="BE415" s="1" t="s">
        <v>1843</v>
      </c>
      <c r="BF415" s="1" t="s">
        <v>160</v>
      </c>
    </row>
    <row r="416" spans="1:59" ht="13" x14ac:dyDescent="0.15">
      <c r="A416" s="2">
        <v>44175.938194444447</v>
      </c>
      <c r="B416" s="2">
        <v>44175.939583333333</v>
      </c>
      <c r="C416" s="1" t="s">
        <v>39</v>
      </c>
      <c r="D416" s="1" t="s">
        <v>234</v>
      </c>
      <c r="E416" s="1">
        <v>100</v>
      </c>
      <c r="F416" s="1">
        <v>120</v>
      </c>
      <c r="G416" s="1" t="b">
        <v>1</v>
      </c>
      <c r="H416" s="2">
        <v>44175.939583333333</v>
      </c>
      <c r="I416" s="1" t="s">
        <v>1844</v>
      </c>
      <c r="N416" s="1">
        <v>34.048492430000003</v>
      </c>
      <c r="O416" s="1">
        <v>-118.2528992</v>
      </c>
      <c r="P416" s="1" t="s">
        <v>153</v>
      </c>
      <c r="Q416" s="1" t="s">
        <v>154</v>
      </c>
      <c r="R416" s="1" t="s">
        <v>155</v>
      </c>
      <c r="S416" s="1" t="s">
        <v>175</v>
      </c>
      <c r="T416" s="1" t="s">
        <v>245</v>
      </c>
      <c r="U416" s="1" t="s">
        <v>1845</v>
      </c>
      <c r="V416" s="1" t="s">
        <v>160</v>
      </c>
      <c r="W416" s="1" t="s">
        <v>160</v>
      </c>
      <c r="X416" s="1" t="s">
        <v>160</v>
      </c>
      <c r="Y416" s="1" t="s">
        <v>160</v>
      </c>
      <c r="Z416" s="1" t="s">
        <v>160</v>
      </c>
      <c r="AA416" s="1" t="s">
        <v>160</v>
      </c>
      <c r="AB416" s="1" t="s">
        <v>160</v>
      </c>
      <c r="AC416" s="1" t="s">
        <v>160</v>
      </c>
      <c r="AD416" s="1" t="s">
        <v>160</v>
      </c>
      <c r="AE416" s="1" t="s">
        <v>160</v>
      </c>
      <c r="AF416" s="1" t="s">
        <v>160</v>
      </c>
      <c r="AG416" s="1" t="s">
        <v>160</v>
      </c>
      <c r="AI416" s="1" t="s">
        <v>160</v>
      </c>
      <c r="AJ416" s="1" t="s">
        <v>192</v>
      </c>
      <c r="AK416" s="1" t="s">
        <v>198</v>
      </c>
      <c r="AL416" s="1" t="s">
        <v>198</v>
      </c>
      <c r="AM416" s="1" t="s">
        <v>198</v>
      </c>
      <c r="AN416" s="1" t="s">
        <v>198</v>
      </c>
      <c r="AO416" s="1" t="s">
        <v>179</v>
      </c>
      <c r="AP416" s="1" t="s">
        <v>239</v>
      </c>
      <c r="AR416" s="1" t="s">
        <v>160</v>
      </c>
      <c r="AS416" s="1" t="s">
        <v>160</v>
      </c>
      <c r="AT416" s="1" t="s">
        <v>1530</v>
      </c>
      <c r="AU416" s="1" t="s">
        <v>159</v>
      </c>
      <c r="AV416" s="1" t="s">
        <v>160</v>
      </c>
      <c r="AW416" s="1" t="s">
        <v>159</v>
      </c>
      <c r="AX416" s="1" t="s">
        <v>159</v>
      </c>
      <c r="AY416" s="1" t="s">
        <v>160</v>
      </c>
      <c r="AZ416" s="1" t="s">
        <v>160</v>
      </c>
      <c r="BA416" s="1" t="s">
        <v>160</v>
      </c>
      <c r="BB416" s="1" t="s">
        <v>241</v>
      </c>
      <c r="BC416" s="1" t="s">
        <v>160</v>
      </c>
      <c r="BD416" s="1" t="s">
        <v>1846</v>
      </c>
      <c r="BE416" s="1" t="s">
        <v>1847</v>
      </c>
      <c r="BF416" s="1" t="s">
        <v>160</v>
      </c>
    </row>
    <row r="417" spans="1:58" ht="13" x14ac:dyDescent="0.15">
      <c r="A417" s="2">
        <v>44175.939583333333</v>
      </c>
      <c r="B417" s="2">
        <v>44175.940972222219</v>
      </c>
      <c r="C417" s="1" t="s">
        <v>39</v>
      </c>
      <c r="D417" s="1" t="s">
        <v>234</v>
      </c>
      <c r="E417" s="1">
        <v>100</v>
      </c>
      <c r="F417" s="1">
        <v>121</v>
      </c>
      <c r="G417" s="1" t="b">
        <v>1</v>
      </c>
      <c r="H417" s="2">
        <v>44175.940972222219</v>
      </c>
      <c r="I417" s="1" t="s">
        <v>1848</v>
      </c>
      <c r="N417" s="1">
        <v>34.048492430000003</v>
      </c>
      <c r="O417" s="1">
        <v>-118.2528992</v>
      </c>
      <c r="P417" s="1" t="s">
        <v>153</v>
      </c>
      <c r="Q417" s="1" t="s">
        <v>154</v>
      </c>
      <c r="R417" s="1" t="s">
        <v>174</v>
      </c>
      <c r="S417" s="1" t="s">
        <v>208</v>
      </c>
      <c r="T417" s="1" t="s">
        <v>245</v>
      </c>
      <c r="U417" s="1" t="s">
        <v>1849</v>
      </c>
      <c r="V417" s="1" t="s">
        <v>160</v>
      </c>
      <c r="W417" s="1" t="s">
        <v>160</v>
      </c>
      <c r="X417" s="1" t="s">
        <v>160</v>
      </c>
      <c r="Y417" s="1" t="s">
        <v>160</v>
      </c>
      <c r="Z417" s="1" t="s">
        <v>160</v>
      </c>
      <c r="AA417" s="1" t="s">
        <v>160</v>
      </c>
      <c r="AB417" s="1" t="s">
        <v>160</v>
      </c>
      <c r="AC417" s="1" t="s">
        <v>160</v>
      </c>
      <c r="AD417" s="1" t="s">
        <v>160</v>
      </c>
      <c r="AE417" s="1" t="s">
        <v>160</v>
      </c>
      <c r="AF417" s="1" t="s">
        <v>160</v>
      </c>
      <c r="AG417" s="1" t="s">
        <v>160</v>
      </c>
      <c r="AI417" s="1" t="s">
        <v>160</v>
      </c>
      <c r="AJ417" s="1" t="s">
        <v>198</v>
      </c>
      <c r="AK417" s="1" t="s">
        <v>198</v>
      </c>
      <c r="AL417" s="1" t="s">
        <v>198</v>
      </c>
      <c r="AM417" s="1" t="s">
        <v>192</v>
      </c>
      <c r="AN417" s="1" t="s">
        <v>163</v>
      </c>
      <c r="AO417" s="1" t="s">
        <v>179</v>
      </c>
      <c r="AP417" s="1" t="s">
        <v>239</v>
      </c>
      <c r="AR417" s="1" t="s">
        <v>160</v>
      </c>
      <c r="AS417" s="1" t="s">
        <v>160</v>
      </c>
      <c r="AT417" s="1" t="s">
        <v>468</v>
      </c>
      <c r="AU417" s="1" t="s">
        <v>159</v>
      </c>
      <c r="AV417" s="1" t="s">
        <v>159</v>
      </c>
      <c r="AW417" s="1" t="s">
        <v>160</v>
      </c>
      <c r="AX417" s="1" t="s">
        <v>159</v>
      </c>
      <c r="AY417" s="1" t="s">
        <v>160</v>
      </c>
      <c r="AZ417" s="1" t="s">
        <v>159</v>
      </c>
      <c r="BA417" s="1" t="s">
        <v>160</v>
      </c>
      <c r="BB417" s="1" t="s">
        <v>241</v>
      </c>
      <c r="BC417" s="1" t="s">
        <v>160</v>
      </c>
      <c r="BD417" s="1" t="s">
        <v>1850</v>
      </c>
      <c r="BE417" s="1" t="s">
        <v>1851</v>
      </c>
      <c r="BF417" s="1" t="s">
        <v>160</v>
      </c>
    </row>
    <row r="418" spans="1:58" ht="13" x14ac:dyDescent="0.15">
      <c r="A418" s="2">
        <v>44175.941666666666</v>
      </c>
      <c r="B418" s="2">
        <v>44175.943055555559</v>
      </c>
      <c r="C418" s="1" t="s">
        <v>39</v>
      </c>
      <c r="D418" s="1" t="s">
        <v>234</v>
      </c>
      <c r="E418" s="1">
        <v>100</v>
      </c>
      <c r="F418" s="1">
        <v>119</v>
      </c>
      <c r="G418" s="1" t="b">
        <v>1</v>
      </c>
      <c r="H418" s="2">
        <v>44175.943055555559</v>
      </c>
      <c r="I418" s="1" t="s">
        <v>1852</v>
      </c>
      <c r="N418" s="1">
        <v>34.048492430000003</v>
      </c>
      <c r="O418" s="1">
        <v>-118.2528992</v>
      </c>
      <c r="P418" s="1" t="s">
        <v>153</v>
      </c>
      <c r="Q418" s="1" t="s">
        <v>154</v>
      </c>
      <c r="R418" s="1" t="s">
        <v>236</v>
      </c>
      <c r="S418" s="1" t="s">
        <v>208</v>
      </c>
      <c r="T418" s="1" t="s">
        <v>157</v>
      </c>
      <c r="U418" s="1" t="s">
        <v>1853</v>
      </c>
      <c r="V418" s="1" t="s">
        <v>160</v>
      </c>
      <c r="W418" s="1" t="s">
        <v>160</v>
      </c>
      <c r="X418" s="1" t="s">
        <v>160</v>
      </c>
      <c r="Y418" s="1" t="s">
        <v>160</v>
      </c>
      <c r="Z418" s="1" t="s">
        <v>160</v>
      </c>
      <c r="AA418" s="1" t="s">
        <v>160</v>
      </c>
      <c r="AB418" s="1" t="s">
        <v>160</v>
      </c>
      <c r="AC418" s="1" t="s">
        <v>160</v>
      </c>
      <c r="AD418" s="1" t="s">
        <v>160</v>
      </c>
      <c r="AE418" s="1" t="s">
        <v>160</v>
      </c>
      <c r="AF418" s="1" t="s">
        <v>160</v>
      </c>
      <c r="AG418" s="1" t="s">
        <v>160</v>
      </c>
      <c r="AI418" s="1" t="s">
        <v>160</v>
      </c>
      <c r="AJ418" s="1" t="s">
        <v>163</v>
      </c>
      <c r="AK418" s="1" t="s">
        <v>164</v>
      </c>
      <c r="AL418" s="1" t="s">
        <v>192</v>
      </c>
      <c r="AM418" s="1" t="s">
        <v>164</v>
      </c>
      <c r="AN418" s="1" t="s">
        <v>163</v>
      </c>
      <c r="AO418" s="1" t="s">
        <v>179</v>
      </c>
      <c r="AP418" s="1" t="s">
        <v>165</v>
      </c>
      <c r="AR418" s="1" t="s">
        <v>160</v>
      </c>
      <c r="AS418" s="1" t="s">
        <v>160</v>
      </c>
      <c r="AT418" s="1" t="s">
        <v>1854</v>
      </c>
      <c r="AU418" s="1" t="s">
        <v>160</v>
      </c>
      <c r="AV418" s="1" t="s">
        <v>159</v>
      </c>
      <c r="AW418" s="1" t="s">
        <v>160</v>
      </c>
      <c r="AX418" s="1" t="s">
        <v>159</v>
      </c>
      <c r="AY418" s="1" t="s">
        <v>159</v>
      </c>
      <c r="AZ418" s="1" t="s">
        <v>159</v>
      </c>
      <c r="BA418" s="1" t="s">
        <v>160</v>
      </c>
      <c r="BB418" s="1" t="s">
        <v>181</v>
      </c>
      <c r="BC418" s="1" t="s">
        <v>160</v>
      </c>
      <c r="BD418" s="1" t="s">
        <v>282</v>
      </c>
      <c r="BE418" s="1" t="s">
        <v>1855</v>
      </c>
      <c r="BF418" s="1" t="s">
        <v>160</v>
      </c>
    </row>
    <row r="419" spans="1:58" ht="13" x14ac:dyDescent="0.15">
      <c r="A419" s="2">
        <v>44175.943055555559</v>
      </c>
      <c r="B419" s="2">
        <v>44175.944444444445</v>
      </c>
      <c r="C419" s="1" t="s">
        <v>39</v>
      </c>
      <c r="D419" s="1" t="s">
        <v>234</v>
      </c>
      <c r="E419" s="1">
        <v>100</v>
      </c>
      <c r="F419" s="1">
        <v>107</v>
      </c>
      <c r="G419" s="1" t="b">
        <v>1</v>
      </c>
      <c r="H419" s="2">
        <v>44175.944444444445</v>
      </c>
      <c r="I419" s="1" t="s">
        <v>1856</v>
      </c>
      <c r="N419" s="1">
        <v>34.048492430000003</v>
      </c>
      <c r="O419" s="1">
        <v>-118.2528992</v>
      </c>
      <c r="P419" s="1" t="s">
        <v>153</v>
      </c>
      <c r="Q419" s="1" t="s">
        <v>154</v>
      </c>
      <c r="R419" s="1" t="s">
        <v>174</v>
      </c>
      <c r="S419" s="1" t="s">
        <v>310</v>
      </c>
      <c r="T419" s="1" t="s">
        <v>245</v>
      </c>
      <c r="U419" s="1" t="s">
        <v>1857</v>
      </c>
      <c r="V419" s="1" t="s">
        <v>160</v>
      </c>
      <c r="W419" s="1" t="s">
        <v>160</v>
      </c>
      <c r="X419" s="1" t="s">
        <v>160</v>
      </c>
      <c r="Y419" s="1" t="s">
        <v>160</v>
      </c>
      <c r="Z419" s="1" t="s">
        <v>160</v>
      </c>
      <c r="AA419" s="1" t="s">
        <v>160</v>
      </c>
      <c r="AB419" s="1" t="s">
        <v>160</v>
      </c>
      <c r="AC419" s="1" t="s">
        <v>160</v>
      </c>
      <c r="AD419" s="1" t="s">
        <v>160</v>
      </c>
      <c r="AE419" s="1" t="s">
        <v>160</v>
      </c>
      <c r="AF419" s="1" t="s">
        <v>160</v>
      </c>
      <c r="AG419" s="1" t="s">
        <v>160</v>
      </c>
      <c r="AI419" s="1" t="s">
        <v>160</v>
      </c>
      <c r="AJ419" s="1" t="s">
        <v>163</v>
      </c>
      <c r="AK419" s="1" t="s">
        <v>198</v>
      </c>
      <c r="AL419" s="1" t="s">
        <v>164</v>
      </c>
      <c r="AM419" s="1" t="s">
        <v>192</v>
      </c>
      <c r="AN419" s="1" t="s">
        <v>192</v>
      </c>
      <c r="AO419" s="1" t="s">
        <v>179</v>
      </c>
      <c r="AP419" s="1" t="s">
        <v>239</v>
      </c>
      <c r="AR419" s="1" t="s">
        <v>160</v>
      </c>
      <c r="AS419" s="1" t="s">
        <v>160</v>
      </c>
      <c r="AT419" s="1" t="s">
        <v>736</v>
      </c>
      <c r="AU419" s="1" t="s">
        <v>159</v>
      </c>
      <c r="AV419" s="1" t="s">
        <v>159</v>
      </c>
      <c r="AW419" s="1" t="s">
        <v>160</v>
      </c>
      <c r="AX419" s="1" t="s">
        <v>160</v>
      </c>
      <c r="AY419" s="1" t="s">
        <v>159</v>
      </c>
      <c r="AZ419" s="1" t="s">
        <v>160</v>
      </c>
      <c r="BA419" s="1" t="s">
        <v>160</v>
      </c>
      <c r="BB419" s="1" t="s">
        <v>241</v>
      </c>
      <c r="BC419" s="1" t="s">
        <v>160</v>
      </c>
      <c r="BD419" s="1" t="s">
        <v>1858</v>
      </c>
      <c r="BE419" s="1" t="s">
        <v>1859</v>
      </c>
      <c r="BF419" s="1" t="s">
        <v>160</v>
      </c>
    </row>
    <row r="420" spans="1:58" ht="13" x14ac:dyDescent="0.15">
      <c r="A420" s="2">
        <v>44175.945138888892</v>
      </c>
      <c r="B420" s="2">
        <v>44175.946527777778</v>
      </c>
      <c r="C420" s="1" t="s">
        <v>39</v>
      </c>
      <c r="D420" s="1" t="s">
        <v>234</v>
      </c>
      <c r="E420" s="1">
        <v>100</v>
      </c>
      <c r="F420" s="1">
        <v>118</v>
      </c>
      <c r="G420" s="1" t="b">
        <v>1</v>
      </c>
      <c r="H420" s="2">
        <v>44175.946527777778</v>
      </c>
      <c r="I420" s="1" t="s">
        <v>1860</v>
      </c>
      <c r="N420" s="1">
        <v>34.048492430000003</v>
      </c>
      <c r="O420" s="1">
        <v>-118.2528992</v>
      </c>
      <c r="P420" s="1" t="s">
        <v>153</v>
      </c>
      <c r="Q420" s="1" t="s">
        <v>154</v>
      </c>
      <c r="R420" s="1" t="s">
        <v>236</v>
      </c>
      <c r="S420" s="1" t="s">
        <v>310</v>
      </c>
      <c r="T420" s="1" t="s">
        <v>245</v>
      </c>
      <c r="U420" s="1" t="s">
        <v>1509</v>
      </c>
      <c r="V420" s="1" t="s">
        <v>160</v>
      </c>
      <c r="W420" s="1" t="s">
        <v>160</v>
      </c>
      <c r="X420" s="1" t="s">
        <v>160</v>
      </c>
      <c r="Y420" s="1" t="s">
        <v>160</v>
      </c>
      <c r="Z420" s="1" t="s">
        <v>160</v>
      </c>
      <c r="AA420" s="1" t="s">
        <v>160</v>
      </c>
      <c r="AB420" s="1" t="s">
        <v>160</v>
      </c>
      <c r="AC420" s="1" t="s">
        <v>160</v>
      </c>
      <c r="AD420" s="1" t="s">
        <v>160</v>
      </c>
      <c r="AE420" s="1" t="s">
        <v>160</v>
      </c>
      <c r="AF420" s="1" t="s">
        <v>160</v>
      </c>
      <c r="AG420" s="1" t="s">
        <v>160</v>
      </c>
      <c r="AI420" s="1" t="s">
        <v>160</v>
      </c>
      <c r="AJ420" s="1" t="s">
        <v>198</v>
      </c>
      <c r="AK420" s="1" t="s">
        <v>198</v>
      </c>
      <c r="AL420" s="1" t="s">
        <v>164</v>
      </c>
      <c r="AM420" s="1" t="s">
        <v>198</v>
      </c>
      <c r="AN420" s="1" t="s">
        <v>163</v>
      </c>
      <c r="AO420" s="1" t="s">
        <v>179</v>
      </c>
      <c r="AP420" s="1" t="s">
        <v>165</v>
      </c>
      <c r="AR420" s="1" t="s">
        <v>160</v>
      </c>
      <c r="AS420" s="1" t="s">
        <v>160</v>
      </c>
      <c r="AT420" s="1" t="s">
        <v>1699</v>
      </c>
      <c r="AU420" s="1" t="s">
        <v>160</v>
      </c>
      <c r="AV420" s="1" t="s">
        <v>159</v>
      </c>
      <c r="AW420" s="1" t="s">
        <v>159</v>
      </c>
      <c r="AX420" s="1" t="s">
        <v>159</v>
      </c>
      <c r="AY420" s="1" t="s">
        <v>159</v>
      </c>
      <c r="AZ420" s="1" t="s">
        <v>159</v>
      </c>
      <c r="BA420" s="1" t="s">
        <v>159</v>
      </c>
      <c r="BB420" s="1" t="s">
        <v>167</v>
      </c>
      <c r="BC420" s="1" t="s">
        <v>160</v>
      </c>
      <c r="BD420" s="1" t="s">
        <v>1861</v>
      </c>
      <c r="BE420" s="1" t="s">
        <v>1862</v>
      </c>
      <c r="BF420" s="1" t="s">
        <v>160</v>
      </c>
    </row>
    <row r="421" spans="1:58" ht="13" x14ac:dyDescent="0.15">
      <c r="A421" s="2">
        <v>44175.946527777778</v>
      </c>
      <c r="B421" s="2">
        <v>44175.947916666664</v>
      </c>
      <c r="C421" s="1" t="s">
        <v>39</v>
      </c>
      <c r="D421" s="1" t="s">
        <v>234</v>
      </c>
      <c r="E421" s="1">
        <v>100</v>
      </c>
      <c r="F421" s="1">
        <v>124</v>
      </c>
      <c r="G421" s="1" t="b">
        <v>1</v>
      </c>
      <c r="H421" s="2">
        <v>44175.947916666664</v>
      </c>
      <c r="I421" s="1" t="s">
        <v>1863</v>
      </c>
      <c r="N421" s="1">
        <v>34.048492430000003</v>
      </c>
      <c r="O421" s="1">
        <v>-118.2528992</v>
      </c>
      <c r="P421" s="1" t="s">
        <v>153</v>
      </c>
      <c r="Q421" s="1" t="s">
        <v>154</v>
      </c>
      <c r="R421" s="1" t="s">
        <v>155</v>
      </c>
      <c r="S421" s="1" t="s">
        <v>226</v>
      </c>
      <c r="T421" s="1" t="s">
        <v>176</v>
      </c>
      <c r="U421" s="1" t="s">
        <v>202</v>
      </c>
      <c r="V421" s="1" t="s">
        <v>160</v>
      </c>
      <c r="W421" s="1" t="s">
        <v>160</v>
      </c>
      <c r="X421" s="1" t="s">
        <v>160</v>
      </c>
      <c r="Y421" s="1" t="s">
        <v>160</v>
      </c>
      <c r="Z421" s="1" t="s">
        <v>160</v>
      </c>
      <c r="AA421" s="1" t="s">
        <v>160</v>
      </c>
      <c r="AB421" s="1" t="s">
        <v>160</v>
      </c>
      <c r="AC421" s="1" t="s">
        <v>160</v>
      </c>
      <c r="AD421" s="1" t="s">
        <v>160</v>
      </c>
      <c r="AE421" s="1" t="s">
        <v>160</v>
      </c>
      <c r="AF421" s="1" t="s">
        <v>160</v>
      </c>
      <c r="AG421" s="1" t="s">
        <v>160</v>
      </c>
      <c r="AI421" s="1" t="s">
        <v>160</v>
      </c>
      <c r="AJ421" s="1" t="s">
        <v>198</v>
      </c>
      <c r="AK421" s="1" t="s">
        <v>192</v>
      </c>
      <c r="AL421" s="1" t="s">
        <v>163</v>
      </c>
      <c r="AM421" s="1" t="s">
        <v>198</v>
      </c>
      <c r="AN421" s="1" t="s">
        <v>192</v>
      </c>
      <c r="AO421" s="1" t="s">
        <v>179</v>
      </c>
      <c r="AP421" s="1" t="s">
        <v>165</v>
      </c>
      <c r="AR421" s="1" t="s">
        <v>160</v>
      </c>
      <c r="AS421" s="1" t="s">
        <v>160</v>
      </c>
      <c r="AT421" s="1" t="s">
        <v>1864</v>
      </c>
      <c r="AU421" s="1" t="s">
        <v>160</v>
      </c>
      <c r="AV421" s="1" t="s">
        <v>160</v>
      </c>
      <c r="AW421" s="1" t="s">
        <v>160</v>
      </c>
      <c r="AX421" s="1" t="s">
        <v>159</v>
      </c>
      <c r="AY421" s="1" t="s">
        <v>160</v>
      </c>
      <c r="AZ421" s="1" t="s">
        <v>159</v>
      </c>
      <c r="BA421" s="1" t="s">
        <v>159</v>
      </c>
      <c r="BB421" s="1" t="s">
        <v>222</v>
      </c>
      <c r="BC421" s="1" t="s">
        <v>160</v>
      </c>
      <c r="BD421" s="1" t="s">
        <v>1865</v>
      </c>
      <c r="BE421" s="1" t="s">
        <v>1866</v>
      </c>
      <c r="BF421" s="1" t="s">
        <v>160</v>
      </c>
    </row>
    <row r="422" spans="1:58" ht="13" x14ac:dyDescent="0.15">
      <c r="A422" s="2">
        <v>44175.947916666664</v>
      </c>
      <c r="B422" s="2">
        <v>44175.949305555558</v>
      </c>
      <c r="C422" s="1" t="s">
        <v>39</v>
      </c>
      <c r="D422" s="1" t="s">
        <v>234</v>
      </c>
      <c r="E422" s="1">
        <v>100</v>
      </c>
      <c r="F422" s="1">
        <v>116</v>
      </c>
      <c r="G422" s="1" t="b">
        <v>1</v>
      </c>
      <c r="H422" s="2">
        <v>44175.949305555558</v>
      </c>
      <c r="I422" s="1" t="s">
        <v>1867</v>
      </c>
      <c r="N422" s="1">
        <v>34.048492430000003</v>
      </c>
      <c r="O422" s="1">
        <v>-118.2528992</v>
      </c>
      <c r="P422" s="1" t="s">
        <v>153</v>
      </c>
      <c r="Q422" s="1" t="s">
        <v>154</v>
      </c>
      <c r="R422" s="1" t="s">
        <v>155</v>
      </c>
      <c r="S422" s="1" t="s">
        <v>310</v>
      </c>
      <c r="T422" s="1" t="s">
        <v>237</v>
      </c>
      <c r="U422" s="1" t="s">
        <v>1868</v>
      </c>
      <c r="V422" s="1" t="s">
        <v>160</v>
      </c>
      <c r="W422" s="1" t="s">
        <v>160</v>
      </c>
      <c r="X422" s="1" t="s">
        <v>160</v>
      </c>
      <c r="Y422" s="1" t="s">
        <v>160</v>
      </c>
      <c r="Z422" s="1" t="s">
        <v>160</v>
      </c>
      <c r="AA422" s="1" t="s">
        <v>160</v>
      </c>
      <c r="AB422" s="1" t="s">
        <v>160</v>
      </c>
      <c r="AC422" s="1" t="s">
        <v>160</v>
      </c>
      <c r="AD422" s="1" t="s">
        <v>160</v>
      </c>
      <c r="AE422" s="1" t="s">
        <v>160</v>
      </c>
      <c r="AF422" s="1" t="s">
        <v>160</v>
      </c>
      <c r="AG422" s="1" t="s">
        <v>160</v>
      </c>
      <c r="AI422" s="1" t="s">
        <v>160</v>
      </c>
      <c r="AJ422" s="1" t="s">
        <v>192</v>
      </c>
      <c r="AK422" s="1" t="s">
        <v>164</v>
      </c>
      <c r="AL422" s="1" t="s">
        <v>192</v>
      </c>
      <c r="AM422" s="1" t="s">
        <v>164</v>
      </c>
      <c r="AN422" s="1" t="s">
        <v>192</v>
      </c>
      <c r="AO422" s="1" t="s">
        <v>179</v>
      </c>
      <c r="AP422" s="1" t="s">
        <v>179</v>
      </c>
      <c r="AR422" s="1" t="s">
        <v>160</v>
      </c>
      <c r="AS422" s="1" t="s">
        <v>160</v>
      </c>
      <c r="AT422" s="1" t="s">
        <v>707</v>
      </c>
      <c r="AU422" s="1" t="s">
        <v>160</v>
      </c>
      <c r="AV422" s="1" t="s">
        <v>159</v>
      </c>
      <c r="AW422" s="1" t="s">
        <v>159</v>
      </c>
      <c r="AX422" s="1" t="s">
        <v>160</v>
      </c>
      <c r="AY422" s="1" t="s">
        <v>159</v>
      </c>
      <c r="AZ422" s="1" t="s">
        <v>160</v>
      </c>
      <c r="BA422" s="1" t="s">
        <v>160</v>
      </c>
      <c r="BB422" s="1" t="s">
        <v>181</v>
      </c>
      <c r="BC422" s="1" t="s">
        <v>160</v>
      </c>
      <c r="BD422" s="1" t="s">
        <v>1869</v>
      </c>
      <c r="BE422" s="1" t="s">
        <v>1870</v>
      </c>
      <c r="BF422" s="1" t="s">
        <v>160</v>
      </c>
    </row>
    <row r="423" spans="1:58" ht="13" x14ac:dyDescent="0.15">
      <c r="A423" s="2">
        <v>44175.95</v>
      </c>
      <c r="B423" s="2">
        <v>44175.951388888891</v>
      </c>
      <c r="C423" s="1" t="s">
        <v>39</v>
      </c>
      <c r="D423" s="1" t="s">
        <v>234</v>
      </c>
      <c r="E423" s="1">
        <v>100</v>
      </c>
      <c r="F423" s="1">
        <v>121</v>
      </c>
      <c r="G423" s="1" t="b">
        <v>1</v>
      </c>
      <c r="H423" s="2">
        <v>44175.951388888891</v>
      </c>
      <c r="I423" s="1" t="s">
        <v>1871</v>
      </c>
      <c r="N423" s="1">
        <v>34.048492430000003</v>
      </c>
      <c r="O423" s="1">
        <v>-118.2528992</v>
      </c>
      <c r="P423" s="1" t="s">
        <v>153</v>
      </c>
      <c r="Q423" s="1" t="s">
        <v>154</v>
      </c>
      <c r="R423" s="1" t="s">
        <v>155</v>
      </c>
      <c r="S423" s="1" t="s">
        <v>310</v>
      </c>
      <c r="T423" s="1" t="s">
        <v>263</v>
      </c>
      <c r="U423" s="1" t="s">
        <v>919</v>
      </c>
      <c r="V423" s="1" t="s">
        <v>160</v>
      </c>
      <c r="W423" s="1" t="s">
        <v>160</v>
      </c>
      <c r="X423" s="1" t="s">
        <v>160</v>
      </c>
      <c r="Y423" s="1" t="s">
        <v>160</v>
      </c>
      <c r="Z423" s="1" t="s">
        <v>160</v>
      </c>
      <c r="AA423" s="1" t="s">
        <v>160</v>
      </c>
      <c r="AB423" s="1" t="s">
        <v>160</v>
      </c>
      <c r="AC423" s="1" t="s">
        <v>160</v>
      </c>
      <c r="AD423" s="1" t="s">
        <v>160</v>
      </c>
      <c r="AE423" s="1" t="s">
        <v>160</v>
      </c>
      <c r="AF423" s="1" t="s">
        <v>160</v>
      </c>
      <c r="AG423" s="1" t="s">
        <v>160</v>
      </c>
      <c r="AI423" s="1" t="s">
        <v>160</v>
      </c>
      <c r="AJ423" s="1" t="s">
        <v>164</v>
      </c>
      <c r="AK423" s="1" t="s">
        <v>164</v>
      </c>
      <c r="AL423" s="1" t="s">
        <v>198</v>
      </c>
      <c r="AM423" s="1" t="s">
        <v>192</v>
      </c>
      <c r="AN423" s="1" t="s">
        <v>164</v>
      </c>
      <c r="AO423" s="1" t="s">
        <v>179</v>
      </c>
      <c r="AP423" s="1" t="s">
        <v>179</v>
      </c>
      <c r="AR423" s="1" t="s">
        <v>160</v>
      </c>
      <c r="AS423" s="1" t="s">
        <v>160</v>
      </c>
      <c r="AT423" s="1" t="s">
        <v>166</v>
      </c>
      <c r="AU423" s="1" t="s">
        <v>159</v>
      </c>
      <c r="AV423" s="1" t="s">
        <v>160</v>
      </c>
      <c r="AW423" s="1" t="s">
        <v>160</v>
      </c>
      <c r="AX423" s="1" t="s">
        <v>159</v>
      </c>
      <c r="AY423" s="1" t="s">
        <v>160</v>
      </c>
      <c r="AZ423" s="1" t="s">
        <v>160</v>
      </c>
      <c r="BA423" s="1" t="s">
        <v>160</v>
      </c>
      <c r="BB423" s="1" t="s">
        <v>222</v>
      </c>
      <c r="BC423" s="1" t="s">
        <v>160</v>
      </c>
      <c r="BD423" s="1" t="s">
        <v>1872</v>
      </c>
      <c r="BE423" s="1" t="s">
        <v>1873</v>
      </c>
      <c r="BF423" s="1" t="s">
        <v>160</v>
      </c>
    </row>
    <row r="424" spans="1:58" ht="13" x14ac:dyDescent="0.15">
      <c r="A424" s="2">
        <v>44175.951388888891</v>
      </c>
      <c r="B424" s="2">
        <v>44175.952777777777</v>
      </c>
      <c r="C424" s="1" t="s">
        <v>39</v>
      </c>
      <c r="D424" s="1" t="s">
        <v>234</v>
      </c>
      <c r="E424" s="1">
        <v>100</v>
      </c>
      <c r="F424" s="1">
        <v>120</v>
      </c>
      <c r="G424" s="1" t="b">
        <v>1</v>
      </c>
      <c r="H424" s="2">
        <v>44175.952777777777</v>
      </c>
      <c r="I424" s="1" t="s">
        <v>1874</v>
      </c>
      <c r="N424" s="1">
        <v>34.048492430000003</v>
      </c>
      <c r="O424" s="1">
        <v>-118.2528992</v>
      </c>
      <c r="P424" s="1" t="s">
        <v>153</v>
      </c>
      <c r="Q424" s="1" t="s">
        <v>154</v>
      </c>
      <c r="R424" s="1" t="s">
        <v>155</v>
      </c>
      <c r="S424" s="1" t="s">
        <v>310</v>
      </c>
      <c r="T424" s="1" t="s">
        <v>176</v>
      </c>
      <c r="U424" s="1" t="s">
        <v>1875</v>
      </c>
      <c r="V424" s="1" t="s">
        <v>160</v>
      </c>
      <c r="W424" s="1" t="s">
        <v>160</v>
      </c>
      <c r="X424" s="1" t="s">
        <v>160</v>
      </c>
      <c r="Y424" s="1" t="s">
        <v>160</v>
      </c>
      <c r="Z424" s="1" t="s">
        <v>160</v>
      </c>
      <c r="AA424" s="1" t="s">
        <v>160</v>
      </c>
      <c r="AB424" s="1" t="s">
        <v>160</v>
      </c>
      <c r="AC424" s="1" t="s">
        <v>160</v>
      </c>
      <c r="AD424" s="1" t="s">
        <v>160</v>
      </c>
      <c r="AE424" s="1" t="s">
        <v>160</v>
      </c>
      <c r="AF424" s="1" t="s">
        <v>160</v>
      </c>
      <c r="AG424" s="1" t="s">
        <v>160</v>
      </c>
      <c r="AI424" s="1" t="s">
        <v>160</v>
      </c>
      <c r="AJ424" s="1" t="s">
        <v>164</v>
      </c>
      <c r="AK424" s="1" t="s">
        <v>164</v>
      </c>
      <c r="AL424" s="1" t="s">
        <v>192</v>
      </c>
      <c r="AM424" s="1" t="s">
        <v>163</v>
      </c>
      <c r="AN424" s="1" t="s">
        <v>164</v>
      </c>
      <c r="AO424" s="1" t="s">
        <v>179</v>
      </c>
      <c r="AP424" s="1" t="s">
        <v>165</v>
      </c>
      <c r="AR424" s="1" t="s">
        <v>160</v>
      </c>
      <c r="AS424" s="1" t="s">
        <v>160</v>
      </c>
      <c r="AT424" s="1" t="s">
        <v>1876</v>
      </c>
      <c r="AU424" s="1" t="s">
        <v>160</v>
      </c>
      <c r="AV424" s="1" t="s">
        <v>159</v>
      </c>
      <c r="AW424" s="1" t="s">
        <v>159</v>
      </c>
      <c r="AX424" s="1" t="s">
        <v>159</v>
      </c>
      <c r="AY424" s="1" t="s">
        <v>160</v>
      </c>
      <c r="AZ424" s="1" t="s">
        <v>159</v>
      </c>
      <c r="BA424" s="1" t="s">
        <v>160</v>
      </c>
      <c r="BB424" s="1" t="s">
        <v>181</v>
      </c>
      <c r="BC424" s="1" t="s">
        <v>160</v>
      </c>
      <c r="BD424" s="1" t="s">
        <v>1877</v>
      </c>
      <c r="BE424" s="1" t="s">
        <v>1878</v>
      </c>
      <c r="BF424" s="1" t="s">
        <v>160</v>
      </c>
    </row>
    <row r="425" spans="1:58" ht="13" x14ac:dyDescent="0.15">
      <c r="A425" s="2">
        <v>44175.953472222223</v>
      </c>
      <c r="B425" s="2">
        <v>44175.954861111109</v>
      </c>
      <c r="C425" s="1" t="s">
        <v>39</v>
      </c>
      <c r="D425" s="1" t="s">
        <v>234</v>
      </c>
      <c r="E425" s="1">
        <v>100</v>
      </c>
      <c r="F425" s="1">
        <v>120</v>
      </c>
      <c r="G425" s="1" t="b">
        <v>1</v>
      </c>
      <c r="H425" s="2">
        <v>44175.954861111109</v>
      </c>
      <c r="I425" s="1" t="s">
        <v>1879</v>
      </c>
      <c r="N425" s="1">
        <v>34.048492430000003</v>
      </c>
      <c r="O425" s="1">
        <v>-118.2528992</v>
      </c>
      <c r="P425" s="1" t="s">
        <v>153</v>
      </c>
      <c r="Q425" s="1" t="s">
        <v>154</v>
      </c>
      <c r="R425" s="1" t="s">
        <v>236</v>
      </c>
      <c r="S425" s="1" t="s">
        <v>208</v>
      </c>
      <c r="T425" s="1" t="s">
        <v>176</v>
      </c>
      <c r="U425" s="1" t="s">
        <v>1880</v>
      </c>
      <c r="V425" s="1" t="s">
        <v>160</v>
      </c>
      <c r="W425" s="1" t="s">
        <v>160</v>
      </c>
      <c r="X425" s="1" t="s">
        <v>160</v>
      </c>
      <c r="Y425" s="1" t="s">
        <v>160</v>
      </c>
      <c r="Z425" s="1" t="s">
        <v>160</v>
      </c>
      <c r="AA425" s="1" t="s">
        <v>160</v>
      </c>
      <c r="AB425" s="1" t="s">
        <v>160</v>
      </c>
      <c r="AC425" s="1" t="s">
        <v>160</v>
      </c>
      <c r="AD425" s="1" t="s">
        <v>160</v>
      </c>
      <c r="AE425" s="1" t="s">
        <v>160</v>
      </c>
      <c r="AF425" s="1" t="s">
        <v>160</v>
      </c>
      <c r="AG425" s="1" t="s">
        <v>160</v>
      </c>
      <c r="AI425" s="1" t="s">
        <v>160</v>
      </c>
      <c r="AJ425" s="1" t="s">
        <v>164</v>
      </c>
      <c r="AK425" s="1" t="s">
        <v>163</v>
      </c>
      <c r="AL425" s="1" t="s">
        <v>164</v>
      </c>
      <c r="AM425" s="1" t="s">
        <v>192</v>
      </c>
      <c r="AN425" s="1" t="s">
        <v>192</v>
      </c>
      <c r="AO425" s="1" t="s">
        <v>179</v>
      </c>
      <c r="AP425" s="1" t="s">
        <v>239</v>
      </c>
      <c r="AR425" s="1" t="s">
        <v>160</v>
      </c>
      <c r="AS425" s="1" t="s">
        <v>160</v>
      </c>
      <c r="AT425" s="1" t="s">
        <v>1881</v>
      </c>
      <c r="AU425" s="1" t="s">
        <v>159</v>
      </c>
      <c r="AV425" s="1" t="s">
        <v>160</v>
      </c>
      <c r="AW425" s="1" t="s">
        <v>159</v>
      </c>
      <c r="AX425" s="1" t="s">
        <v>160</v>
      </c>
      <c r="AY425" s="1" t="s">
        <v>159</v>
      </c>
      <c r="AZ425" s="1" t="s">
        <v>160</v>
      </c>
      <c r="BA425" s="1" t="s">
        <v>160</v>
      </c>
      <c r="BB425" s="1" t="s">
        <v>222</v>
      </c>
      <c r="BC425" s="1" t="s">
        <v>160</v>
      </c>
      <c r="BD425" s="1" t="s">
        <v>1882</v>
      </c>
      <c r="BE425" s="1" t="s">
        <v>1883</v>
      </c>
      <c r="BF425" s="1" t="s">
        <v>160</v>
      </c>
    </row>
    <row r="426" spans="1:58" ht="13" x14ac:dyDescent="0.15">
      <c r="A426" s="2">
        <v>44175.954861111109</v>
      </c>
      <c r="B426" s="2">
        <v>44175.956250000003</v>
      </c>
      <c r="C426" s="1" t="s">
        <v>39</v>
      </c>
      <c r="D426" s="1" t="s">
        <v>234</v>
      </c>
      <c r="E426" s="1">
        <v>100</v>
      </c>
      <c r="F426" s="1">
        <v>122</v>
      </c>
      <c r="G426" s="1" t="b">
        <v>1</v>
      </c>
      <c r="H426" s="2">
        <v>44175.956250000003</v>
      </c>
      <c r="I426" s="1" t="s">
        <v>1884</v>
      </c>
      <c r="N426" s="1">
        <v>34.048492430000003</v>
      </c>
      <c r="O426" s="1">
        <v>-118.2528992</v>
      </c>
      <c r="P426" s="1" t="s">
        <v>153</v>
      </c>
      <c r="Q426" s="1" t="s">
        <v>154</v>
      </c>
      <c r="R426" s="1" t="s">
        <v>174</v>
      </c>
      <c r="S426" s="1" t="s">
        <v>226</v>
      </c>
      <c r="T426" s="1" t="s">
        <v>176</v>
      </c>
      <c r="U426" s="1" t="s">
        <v>1885</v>
      </c>
      <c r="V426" s="1" t="s">
        <v>160</v>
      </c>
      <c r="W426" s="1" t="s">
        <v>160</v>
      </c>
      <c r="X426" s="1" t="s">
        <v>160</v>
      </c>
      <c r="Y426" s="1" t="s">
        <v>160</v>
      </c>
      <c r="Z426" s="1" t="s">
        <v>160</v>
      </c>
      <c r="AA426" s="1" t="s">
        <v>160</v>
      </c>
      <c r="AB426" s="1" t="s">
        <v>160</v>
      </c>
      <c r="AC426" s="1" t="s">
        <v>160</v>
      </c>
      <c r="AD426" s="1" t="s">
        <v>160</v>
      </c>
      <c r="AE426" s="1" t="s">
        <v>160</v>
      </c>
      <c r="AF426" s="1" t="s">
        <v>160</v>
      </c>
      <c r="AG426" s="1" t="s">
        <v>160</v>
      </c>
      <c r="AI426" s="1" t="s">
        <v>160</v>
      </c>
      <c r="AJ426" s="1" t="s">
        <v>163</v>
      </c>
      <c r="AK426" s="1" t="s">
        <v>198</v>
      </c>
      <c r="AL426" s="1" t="s">
        <v>164</v>
      </c>
      <c r="AM426" s="1" t="s">
        <v>164</v>
      </c>
      <c r="AN426" s="1" t="s">
        <v>163</v>
      </c>
      <c r="AO426" s="1" t="s">
        <v>179</v>
      </c>
      <c r="AP426" s="1" t="s">
        <v>165</v>
      </c>
      <c r="AR426" s="1" t="s">
        <v>160</v>
      </c>
      <c r="AS426" s="1" t="s">
        <v>160</v>
      </c>
      <c r="AT426" s="1" t="s">
        <v>374</v>
      </c>
      <c r="AU426" s="1" t="s">
        <v>159</v>
      </c>
      <c r="AV426" s="1" t="s">
        <v>159</v>
      </c>
      <c r="AW426" s="1" t="s">
        <v>159</v>
      </c>
      <c r="AX426" s="1" t="s">
        <v>160</v>
      </c>
      <c r="AY426" s="1" t="s">
        <v>159</v>
      </c>
      <c r="AZ426" s="1" t="s">
        <v>159</v>
      </c>
      <c r="BA426" s="1" t="s">
        <v>160</v>
      </c>
      <c r="BB426" s="1" t="s">
        <v>241</v>
      </c>
      <c r="BC426" s="1" t="s">
        <v>160</v>
      </c>
      <c r="BD426" s="1" t="s">
        <v>1886</v>
      </c>
      <c r="BE426" s="1" t="s">
        <v>1887</v>
      </c>
      <c r="BF426" s="1" t="s">
        <v>160</v>
      </c>
    </row>
    <row r="427" spans="1:58" ht="13" x14ac:dyDescent="0.15">
      <c r="A427" s="2">
        <v>44175.956944444442</v>
      </c>
      <c r="B427" s="2">
        <v>44175.958333333336</v>
      </c>
      <c r="C427" s="1" t="s">
        <v>39</v>
      </c>
      <c r="D427" s="1" t="s">
        <v>234</v>
      </c>
      <c r="E427" s="1">
        <v>100</v>
      </c>
      <c r="F427" s="1">
        <v>121</v>
      </c>
      <c r="G427" s="1" t="b">
        <v>1</v>
      </c>
      <c r="H427" s="2">
        <v>44175.958333333336</v>
      </c>
      <c r="I427" s="1" t="s">
        <v>1888</v>
      </c>
      <c r="N427" s="1">
        <v>34.048492430000003</v>
      </c>
      <c r="O427" s="1">
        <v>-118.2528992</v>
      </c>
      <c r="P427" s="1" t="s">
        <v>153</v>
      </c>
      <c r="Q427" s="1" t="s">
        <v>154</v>
      </c>
      <c r="R427" s="1" t="s">
        <v>236</v>
      </c>
      <c r="S427" s="1" t="s">
        <v>274</v>
      </c>
      <c r="T427" s="1" t="s">
        <v>157</v>
      </c>
      <c r="U427" s="1" t="s">
        <v>1889</v>
      </c>
      <c r="V427" s="1" t="s">
        <v>160</v>
      </c>
      <c r="W427" s="1" t="s">
        <v>160</v>
      </c>
      <c r="X427" s="1" t="s">
        <v>160</v>
      </c>
      <c r="Y427" s="1" t="s">
        <v>160</v>
      </c>
      <c r="Z427" s="1" t="s">
        <v>160</v>
      </c>
      <c r="AA427" s="1" t="s">
        <v>160</v>
      </c>
      <c r="AB427" s="1" t="s">
        <v>160</v>
      </c>
      <c r="AC427" s="1" t="s">
        <v>160</v>
      </c>
      <c r="AD427" s="1" t="s">
        <v>160</v>
      </c>
      <c r="AE427" s="1" t="s">
        <v>160</v>
      </c>
      <c r="AF427" s="1" t="s">
        <v>160</v>
      </c>
      <c r="AG427" s="1" t="s">
        <v>160</v>
      </c>
      <c r="AI427" s="1" t="s">
        <v>160</v>
      </c>
      <c r="AJ427" s="1" t="s">
        <v>164</v>
      </c>
      <c r="AK427" s="1" t="s">
        <v>163</v>
      </c>
      <c r="AL427" s="1" t="s">
        <v>163</v>
      </c>
      <c r="AM427" s="1" t="s">
        <v>192</v>
      </c>
      <c r="AN427" s="1" t="s">
        <v>163</v>
      </c>
      <c r="AO427" s="1" t="s">
        <v>179</v>
      </c>
      <c r="AP427" s="1" t="s">
        <v>179</v>
      </c>
      <c r="AR427" s="1" t="s">
        <v>160</v>
      </c>
      <c r="AS427" s="1" t="s">
        <v>160</v>
      </c>
      <c r="AT427" s="1" t="s">
        <v>1482</v>
      </c>
      <c r="AU427" s="1" t="s">
        <v>160</v>
      </c>
      <c r="AV427" s="1" t="s">
        <v>160</v>
      </c>
      <c r="AW427" s="1" t="s">
        <v>159</v>
      </c>
      <c r="AX427" s="1" t="s">
        <v>160</v>
      </c>
      <c r="AY427" s="1" t="s">
        <v>159</v>
      </c>
      <c r="AZ427" s="1" t="s">
        <v>160</v>
      </c>
      <c r="BA427" s="1" t="s">
        <v>159</v>
      </c>
      <c r="BB427" s="1" t="s">
        <v>167</v>
      </c>
      <c r="BC427" s="1" t="s">
        <v>160</v>
      </c>
      <c r="BD427" s="1" t="s">
        <v>1890</v>
      </c>
      <c r="BE427" s="1" t="s">
        <v>1891</v>
      </c>
      <c r="BF427" s="1" t="s">
        <v>160</v>
      </c>
    </row>
    <row r="428" spans="1:58" ht="13" x14ac:dyDescent="0.15">
      <c r="A428" s="2">
        <v>44175.958333333336</v>
      </c>
      <c r="B428" s="2">
        <v>44175.959722222222</v>
      </c>
      <c r="C428" s="1" t="s">
        <v>39</v>
      </c>
      <c r="D428" s="1" t="s">
        <v>234</v>
      </c>
      <c r="E428" s="1">
        <v>100</v>
      </c>
      <c r="F428" s="1">
        <v>116</v>
      </c>
      <c r="G428" s="1" t="b">
        <v>1</v>
      </c>
      <c r="H428" s="2">
        <v>44175.959722222222</v>
      </c>
      <c r="I428" s="1" t="s">
        <v>1892</v>
      </c>
      <c r="N428" s="1">
        <v>34.048492430000003</v>
      </c>
      <c r="O428" s="1">
        <v>-118.2528992</v>
      </c>
      <c r="P428" s="1" t="s">
        <v>153</v>
      </c>
      <c r="Q428" s="1" t="s">
        <v>154</v>
      </c>
      <c r="R428" s="1" t="s">
        <v>236</v>
      </c>
      <c r="S428" s="1" t="s">
        <v>175</v>
      </c>
      <c r="T428" s="1" t="s">
        <v>157</v>
      </c>
      <c r="U428" s="1" t="s">
        <v>1893</v>
      </c>
      <c r="V428" s="1" t="s">
        <v>160</v>
      </c>
      <c r="W428" s="1" t="s">
        <v>160</v>
      </c>
      <c r="X428" s="1" t="s">
        <v>160</v>
      </c>
      <c r="Y428" s="1" t="s">
        <v>160</v>
      </c>
      <c r="Z428" s="1" t="s">
        <v>160</v>
      </c>
      <c r="AA428" s="1" t="s">
        <v>160</v>
      </c>
      <c r="AB428" s="1" t="s">
        <v>160</v>
      </c>
      <c r="AC428" s="1" t="s">
        <v>160</v>
      </c>
      <c r="AD428" s="1" t="s">
        <v>160</v>
      </c>
      <c r="AE428" s="1" t="s">
        <v>160</v>
      </c>
      <c r="AF428" s="1" t="s">
        <v>160</v>
      </c>
      <c r="AG428" s="1" t="s">
        <v>160</v>
      </c>
      <c r="AI428" s="1" t="s">
        <v>160</v>
      </c>
      <c r="AJ428" s="1" t="s">
        <v>198</v>
      </c>
      <c r="AK428" s="1" t="s">
        <v>164</v>
      </c>
      <c r="AL428" s="1" t="s">
        <v>164</v>
      </c>
      <c r="AM428" s="1" t="s">
        <v>163</v>
      </c>
      <c r="AN428" s="1" t="s">
        <v>164</v>
      </c>
      <c r="AO428" s="1" t="s">
        <v>179</v>
      </c>
      <c r="AP428" s="1" t="s">
        <v>179</v>
      </c>
      <c r="AR428" s="1" t="s">
        <v>160</v>
      </c>
      <c r="AS428" s="1" t="s">
        <v>160</v>
      </c>
      <c r="AT428" s="1" t="s">
        <v>1894</v>
      </c>
      <c r="AU428" s="1" t="s">
        <v>159</v>
      </c>
      <c r="AV428" s="1" t="s">
        <v>159</v>
      </c>
      <c r="AW428" s="1" t="s">
        <v>160</v>
      </c>
      <c r="AX428" s="1" t="s">
        <v>159</v>
      </c>
      <c r="AY428" s="1" t="s">
        <v>159</v>
      </c>
      <c r="AZ428" s="1" t="s">
        <v>160</v>
      </c>
      <c r="BA428" s="1" t="s">
        <v>159</v>
      </c>
      <c r="BB428" s="1" t="s">
        <v>222</v>
      </c>
      <c r="BC428" s="1" t="s">
        <v>160</v>
      </c>
      <c r="BD428" s="1" t="s">
        <v>1895</v>
      </c>
      <c r="BE428" s="1" t="s">
        <v>1896</v>
      </c>
      <c r="BF428" s="1" t="s">
        <v>160</v>
      </c>
    </row>
    <row r="429" spans="1:58" ht="13" x14ac:dyDescent="0.15">
      <c r="A429" s="2">
        <v>44175.959722222222</v>
      </c>
      <c r="B429" s="2">
        <v>44175.961111111108</v>
      </c>
      <c r="C429" s="1" t="s">
        <v>39</v>
      </c>
      <c r="D429" s="1" t="s">
        <v>234</v>
      </c>
      <c r="E429" s="1">
        <v>100</v>
      </c>
      <c r="F429" s="1">
        <v>120</v>
      </c>
      <c r="G429" s="1" t="b">
        <v>1</v>
      </c>
      <c r="H429" s="2">
        <v>44175.961111111108</v>
      </c>
      <c r="I429" s="1" t="s">
        <v>1897</v>
      </c>
      <c r="N429" s="1">
        <v>34.048492430000003</v>
      </c>
      <c r="O429" s="1">
        <v>-118.2528992</v>
      </c>
      <c r="P429" s="1" t="s">
        <v>153</v>
      </c>
      <c r="Q429" s="1" t="s">
        <v>154</v>
      </c>
      <c r="R429" s="1" t="s">
        <v>236</v>
      </c>
      <c r="S429" s="1" t="s">
        <v>208</v>
      </c>
      <c r="T429" s="1" t="s">
        <v>237</v>
      </c>
      <c r="U429" s="1" t="s">
        <v>496</v>
      </c>
      <c r="V429" s="1" t="s">
        <v>160</v>
      </c>
      <c r="W429" s="1" t="s">
        <v>160</v>
      </c>
      <c r="X429" s="1" t="s">
        <v>160</v>
      </c>
      <c r="Y429" s="1" t="s">
        <v>160</v>
      </c>
      <c r="Z429" s="1" t="s">
        <v>160</v>
      </c>
      <c r="AA429" s="1" t="s">
        <v>160</v>
      </c>
      <c r="AB429" s="1" t="s">
        <v>160</v>
      </c>
      <c r="AC429" s="1" t="s">
        <v>160</v>
      </c>
      <c r="AD429" s="1" t="s">
        <v>160</v>
      </c>
      <c r="AE429" s="1" t="s">
        <v>160</v>
      </c>
      <c r="AF429" s="1" t="s">
        <v>160</v>
      </c>
      <c r="AG429" s="1" t="s">
        <v>160</v>
      </c>
      <c r="AI429" s="1" t="s">
        <v>160</v>
      </c>
      <c r="AJ429" s="1" t="s">
        <v>198</v>
      </c>
      <c r="AK429" s="1" t="s">
        <v>198</v>
      </c>
      <c r="AL429" s="1" t="s">
        <v>192</v>
      </c>
      <c r="AM429" s="1" t="s">
        <v>164</v>
      </c>
      <c r="AN429" s="1" t="s">
        <v>163</v>
      </c>
      <c r="AO429" s="1" t="s">
        <v>179</v>
      </c>
      <c r="AP429" s="1" t="s">
        <v>179</v>
      </c>
      <c r="AR429" s="1" t="s">
        <v>160</v>
      </c>
      <c r="AS429" s="1" t="s">
        <v>160</v>
      </c>
      <c r="AT429" s="1" t="s">
        <v>633</v>
      </c>
      <c r="AU429" s="1" t="s">
        <v>159</v>
      </c>
      <c r="AV429" s="1" t="s">
        <v>159</v>
      </c>
      <c r="AW429" s="1" t="s">
        <v>160</v>
      </c>
      <c r="AX429" s="1" t="s">
        <v>159</v>
      </c>
      <c r="AY429" s="1" t="s">
        <v>159</v>
      </c>
      <c r="AZ429" s="1" t="s">
        <v>160</v>
      </c>
      <c r="BA429" s="1" t="s">
        <v>160</v>
      </c>
      <c r="BB429" s="1" t="s">
        <v>241</v>
      </c>
      <c r="BC429" s="1" t="s">
        <v>160</v>
      </c>
      <c r="BD429" s="1" t="s">
        <v>1898</v>
      </c>
      <c r="BE429" s="1" t="s">
        <v>1899</v>
      </c>
      <c r="BF429" s="1" t="s">
        <v>160</v>
      </c>
    </row>
    <row r="430" spans="1:58" ht="13" x14ac:dyDescent="0.15">
      <c r="A430" s="2">
        <v>44175.961805555555</v>
      </c>
      <c r="B430" s="2">
        <v>44175.963194444441</v>
      </c>
      <c r="C430" s="1" t="s">
        <v>39</v>
      </c>
      <c r="D430" s="1" t="s">
        <v>234</v>
      </c>
      <c r="E430" s="1">
        <v>100</v>
      </c>
      <c r="F430" s="1">
        <v>121</v>
      </c>
      <c r="G430" s="1" t="b">
        <v>1</v>
      </c>
      <c r="H430" s="2">
        <v>44175.963194444441</v>
      </c>
      <c r="I430" s="1" t="s">
        <v>1900</v>
      </c>
      <c r="N430" s="1">
        <v>34.048492430000003</v>
      </c>
      <c r="O430" s="1">
        <v>-118.2528992</v>
      </c>
      <c r="P430" s="1" t="s">
        <v>153</v>
      </c>
      <c r="Q430" s="1" t="s">
        <v>154</v>
      </c>
      <c r="R430" s="1" t="s">
        <v>174</v>
      </c>
      <c r="S430" s="1" t="s">
        <v>310</v>
      </c>
      <c r="T430" s="1" t="s">
        <v>245</v>
      </c>
      <c r="U430" s="1" t="s">
        <v>1901</v>
      </c>
      <c r="V430" s="1" t="s">
        <v>160</v>
      </c>
      <c r="W430" s="1" t="s">
        <v>160</v>
      </c>
      <c r="X430" s="1" t="s">
        <v>160</v>
      </c>
      <c r="Y430" s="1" t="s">
        <v>160</v>
      </c>
      <c r="Z430" s="1" t="s">
        <v>160</v>
      </c>
      <c r="AA430" s="1" t="s">
        <v>160</v>
      </c>
      <c r="AB430" s="1" t="s">
        <v>160</v>
      </c>
      <c r="AC430" s="1" t="s">
        <v>160</v>
      </c>
      <c r="AD430" s="1" t="s">
        <v>160</v>
      </c>
      <c r="AE430" s="1" t="s">
        <v>160</v>
      </c>
      <c r="AF430" s="1" t="s">
        <v>160</v>
      </c>
      <c r="AG430" s="1" t="s">
        <v>160</v>
      </c>
      <c r="AI430" s="1" t="s">
        <v>160</v>
      </c>
      <c r="AJ430" s="1" t="s">
        <v>163</v>
      </c>
      <c r="AK430" s="1" t="s">
        <v>163</v>
      </c>
      <c r="AL430" s="1" t="s">
        <v>192</v>
      </c>
      <c r="AM430" s="1" t="s">
        <v>198</v>
      </c>
      <c r="AN430" s="1" t="s">
        <v>163</v>
      </c>
      <c r="AO430" s="1" t="s">
        <v>179</v>
      </c>
      <c r="AP430" s="1" t="s">
        <v>179</v>
      </c>
      <c r="AR430" s="1" t="s">
        <v>160</v>
      </c>
      <c r="AS430" s="1" t="s">
        <v>160</v>
      </c>
      <c r="AT430" s="1" t="s">
        <v>1902</v>
      </c>
      <c r="AU430" s="1" t="s">
        <v>160</v>
      </c>
      <c r="AV430" s="1" t="s">
        <v>160</v>
      </c>
      <c r="AW430" s="1" t="s">
        <v>159</v>
      </c>
      <c r="AX430" s="1" t="s">
        <v>159</v>
      </c>
      <c r="AY430" s="1" t="s">
        <v>160</v>
      </c>
      <c r="AZ430" s="1" t="s">
        <v>160</v>
      </c>
      <c r="BA430" s="1" t="s">
        <v>160</v>
      </c>
      <c r="BB430" s="1" t="s">
        <v>222</v>
      </c>
      <c r="BC430" s="1" t="s">
        <v>160</v>
      </c>
      <c r="BD430" s="1" t="s">
        <v>1903</v>
      </c>
      <c r="BE430" s="1" t="s">
        <v>1904</v>
      </c>
      <c r="BF430" s="1" t="s">
        <v>160</v>
      </c>
    </row>
    <row r="431" spans="1:58" ht="13" x14ac:dyDescent="0.15">
      <c r="A431" s="2">
        <v>44175.963194444441</v>
      </c>
      <c r="B431" s="2">
        <v>44175.964583333334</v>
      </c>
      <c r="C431" s="1" t="s">
        <v>39</v>
      </c>
      <c r="D431" s="1" t="s">
        <v>234</v>
      </c>
      <c r="E431" s="1">
        <v>100</v>
      </c>
      <c r="F431" s="1">
        <v>129</v>
      </c>
      <c r="G431" s="1" t="b">
        <v>1</v>
      </c>
      <c r="H431" s="2">
        <v>44175.964583333334</v>
      </c>
      <c r="I431" s="1" t="s">
        <v>1905</v>
      </c>
      <c r="N431" s="1">
        <v>34.048492430000003</v>
      </c>
      <c r="O431" s="1">
        <v>-118.2528992</v>
      </c>
      <c r="P431" s="1" t="s">
        <v>153</v>
      </c>
      <c r="Q431" s="1" t="s">
        <v>154</v>
      </c>
      <c r="R431" s="1" t="s">
        <v>155</v>
      </c>
      <c r="S431" s="1" t="s">
        <v>310</v>
      </c>
      <c r="T431" s="1" t="s">
        <v>237</v>
      </c>
      <c r="U431" s="1" t="s">
        <v>1906</v>
      </c>
      <c r="V431" s="1" t="s">
        <v>160</v>
      </c>
      <c r="W431" s="1" t="s">
        <v>160</v>
      </c>
      <c r="X431" s="1" t="s">
        <v>160</v>
      </c>
      <c r="Y431" s="1" t="s">
        <v>160</v>
      </c>
      <c r="Z431" s="1" t="s">
        <v>160</v>
      </c>
      <c r="AA431" s="1" t="s">
        <v>160</v>
      </c>
      <c r="AB431" s="1" t="s">
        <v>160</v>
      </c>
      <c r="AC431" s="1" t="s">
        <v>160</v>
      </c>
      <c r="AD431" s="1" t="s">
        <v>160</v>
      </c>
      <c r="AE431" s="1" t="s">
        <v>160</v>
      </c>
      <c r="AF431" s="1" t="s">
        <v>160</v>
      </c>
      <c r="AG431" s="1" t="s">
        <v>160</v>
      </c>
      <c r="AI431" s="1" t="s">
        <v>160</v>
      </c>
      <c r="AJ431" s="1" t="s">
        <v>198</v>
      </c>
      <c r="AK431" s="1" t="s">
        <v>198</v>
      </c>
      <c r="AL431" s="1" t="s">
        <v>192</v>
      </c>
      <c r="AM431" s="1" t="s">
        <v>198</v>
      </c>
      <c r="AN431" s="1" t="s">
        <v>192</v>
      </c>
      <c r="AO431" s="1" t="s">
        <v>179</v>
      </c>
      <c r="AP431" s="1" t="s">
        <v>179</v>
      </c>
      <c r="AR431" s="1" t="s">
        <v>160</v>
      </c>
      <c r="AS431" s="1" t="s">
        <v>160</v>
      </c>
      <c r="AT431" s="1" t="s">
        <v>702</v>
      </c>
      <c r="AU431" s="1" t="s">
        <v>159</v>
      </c>
      <c r="AV431" s="1" t="s">
        <v>159</v>
      </c>
      <c r="AW431" s="1" t="s">
        <v>159</v>
      </c>
      <c r="AX431" s="1" t="s">
        <v>160</v>
      </c>
      <c r="AY431" s="1" t="s">
        <v>160</v>
      </c>
      <c r="AZ431" s="1" t="s">
        <v>159</v>
      </c>
      <c r="BA431" s="1" t="s">
        <v>159</v>
      </c>
      <c r="BB431" s="1" t="s">
        <v>167</v>
      </c>
      <c r="BC431" s="1" t="s">
        <v>160</v>
      </c>
      <c r="BD431" s="1" t="s">
        <v>1907</v>
      </c>
      <c r="BE431" s="1" t="s">
        <v>1908</v>
      </c>
      <c r="BF431" s="1" t="s">
        <v>160</v>
      </c>
    </row>
    <row r="432" spans="1:58" ht="13" x14ac:dyDescent="0.15">
      <c r="A432" s="2">
        <v>44175.965277777781</v>
      </c>
      <c r="B432" s="2">
        <v>44175.966666666667</v>
      </c>
      <c r="C432" s="1" t="s">
        <v>39</v>
      </c>
      <c r="D432" s="1" t="s">
        <v>234</v>
      </c>
      <c r="E432" s="1">
        <v>100</v>
      </c>
      <c r="F432" s="1">
        <v>121</v>
      </c>
      <c r="G432" s="1" t="b">
        <v>1</v>
      </c>
      <c r="H432" s="2">
        <v>44175.966666666667</v>
      </c>
      <c r="I432" s="1" t="s">
        <v>1909</v>
      </c>
      <c r="N432" s="1">
        <v>34.048492430000003</v>
      </c>
      <c r="O432" s="1">
        <v>-118.2528992</v>
      </c>
      <c r="P432" s="1" t="s">
        <v>153</v>
      </c>
      <c r="Q432" s="1" t="s">
        <v>154</v>
      </c>
      <c r="R432" s="1" t="s">
        <v>155</v>
      </c>
      <c r="S432" s="1" t="s">
        <v>175</v>
      </c>
      <c r="T432" s="1" t="s">
        <v>245</v>
      </c>
      <c r="U432" s="1" t="s">
        <v>1910</v>
      </c>
      <c r="V432" s="1" t="s">
        <v>160</v>
      </c>
      <c r="W432" s="1" t="s">
        <v>160</v>
      </c>
      <c r="X432" s="1" t="s">
        <v>160</v>
      </c>
      <c r="Y432" s="1" t="s">
        <v>160</v>
      </c>
      <c r="Z432" s="1" t="s">
        <v>160</v>
      </c>
      <c r="AA432" s="1" t="s">
        <v>160</v>
      </c>
      <c r="AB432" s="1" t="s">
        <v>160</v>
      </c>
      <c r="AC432" s="1" t="s">
        <v>160</v>
      </c>
      <c r="AD432" s="1" t="s">
        <v>160</v>
      </c>
      <c r="AE432" s="1" t="s">
        <v>160</v>
      </c>
      <c r="AF432" s="1" t="s">
        <v>160</v>
      </c>
      <c r="AG432" s="1" t="s">
        <v>160</v>
      </c>
      <c r="AI432" s="1" t="s">
        <v>160</v>
      </c>
      <c r="AJ432" s="1" t="s">
        <v>198</v>
      </c>
      <c r="AK432" s="1" t="s">
        <v>192</v>
      </c>
      <c r="AL432" s="1" t="s">
        <v>198</v>
      </c>
      <c r="AM432" s="1" t="s">
        <v>163</v>
      </c>
      <c r="AN432" s="1" t="s">
        <v>192</v>
      </c>
      <c r="AO432" s="1" t="s">
        <v>179</v>
      </c>
      <c r="AP432" s="1" t="s">
        <v>239</v>
      </c>
      <c r="AR432" s="1" t="s">
        <v>160</v>
      </c>
      <c r="AS432" s="1" t="s">
        <v>160</v>
      </c>
      <c r="AT432" s="1" t="s">
        <v>203</v>
      </c>
      <c r="AU432" s="1" t="s">
        <v>160</v>
      </c>
      <c r="AV432" s="1" t="s">
        <v>160</v>
      </c>
      <c r="AW432" s="1" t="s">
        <v>159</v>
      </c>
      <c r="AX432" s="1" t="s">
        <v>159</v>
      </c>
      <c r="AY432" s="1" t="s">
        <v>160</v>
      </c>
      <c r="AZ432" s="1" t="s">
        <v>160</v>
      </c>
      <c r="BA432" s="1" t="s">
        <v>160</v>
      </c>
      <c r="BB432" s="1" t="s">
        <v>167</v>
      </c>
      <c r="BC432" s="1" t="s">
        <v>160</v>
      </c>
      <c r="BD432" s="1" t="s">
        <v>1911</v>
      </c>
      <c r="BE432" s="1" t="s">
        <v>1912</v>
      </c>
      <c r="BF432" s="1" t="s">
        <v>160</v>
      </c>
    </row>
    <row r="433" spans="1:58" ht="13" x14ac:dyDescent="0.15">
      <c r="A433" s="2">
        <v>44175.966666666667</v>
      </c>
      <c r="B433" s="2">
        <v>44175.968055555553</v>
      </c>
      <c r="C433" s="1" t="s">
        <v>39</v>
      </c>
      <c r="D433" s="1" t="s">
        <v>234</v>
      </c>
      <c r="E433" s="1">
        <v>100</v>
      </c>
      <c r="F433" s="1">
        <v>116</v>
      </c>
      <c r="G433" s="1" t="b">
        <v>1</v>
      </c>
      <c r="H433" s="2">
        <v>44175.968055555553</v>
      </c>
      <c r="I433" s="1" t="s">
        <v>1913</v>
      </c>
      <c r="N433" s="1">
        <v>34.048492430000003</v>
      </c>
      <c r="O433" s="1">
        <v>-118.2528992</v>
      </c>
      <c r="P433" s="1" t="s">
        <v>153</v>
      </c>
      <c r="Q433" s="1" t="s">
        <v>154</v>
      </c>
      <c r="R433" s="1" t="s">
        <v>155</v>
      </c>
      <c r="S433" s="1" t="s">
        <v>208</v>
      </c>
      <c r="T433" s="1" t="s">
        <v>176</v>
      </c>
      <c r="U433" s="1" t="s">
        <v>1246</v>
      </c>
      <c r="V433" s="1" t="s">
        <v>160</v>
      </c>
      <c r="W433" s="1" t="s">
        <v>160</v>
      </c>
      <c r="X433" s="1" t="s">
        <v>160</v>
      </c>
      <c r="Y433" s="1" t="s">
        <v>160</v>
      </c>
      <c r="Z433" s="1" t="s">
        <v>160</v>
      </c>
      <c r="AA433" s="1" t="s">
        <v>160</v>
      </c>
      <c r="AB433" s="1" t="s">
        <v>160</v>
      </c>
      <c r="AC433" s="1" t="s">
        <v>160</v>
      </c>
      <c r="AD433" s="1" t="s">
        <v>160</v>
      </c>
      <c r="AE433" s="1" t="s">
        <v>160</v>
      </c>
      <c r="AF433" s="1" t="s">
        <v>160</v>
      </c>
      <c r="AG433" s="1" t="s">
        <v>160</v>
      </c>
      <c r="AI433" s="1" t="s">
        <v>160</v>
      </c>
      <c r="AJ433" s="1" t="s">
        <v>192</v>
      </c>
      <c r="AK433" s="1" t="s">
        <v>198</v>
      </c>
      <c r="AL433" s="1" t="s">
        <v>164</v>
      </c>
      <c r="AM433" s="1" t="s">
        <v>164</v>
      </c>
      <c r="AN433" s="1" t="s">
        <v>164</v>
      </c>
      <c r="AO433" s="1" t="s">
        <v>179</v>
      </c>
      <c r="AP433" s="1" t="s">
        <v>179</v>
      </c>
      <c r="AR433" s="1" t="s">
        <v>160</v>
      </c>
      <c r="AS433" s="1" t="s">
        <v>160</v>
      </c>
      <c r="AT433" s="1" t="s">
        <v>657</v>
      </c>
      <c r="AU433" s="1" t="s">
        <v>159</v>
      </c>
      <c r="AV433" s="1" t="s">
        <v>160</v>
      </c>
      <c r="AW433" s="1" t="s">
        <v>159</v>
      </c>
      <c r="AX433" s="1" t="s">
        <v>159</v>
      </c>
      <c r="AY433" s="1" t="s">
        <v>159</v>
      </c>
      <c r="AZ433" s="1" t="s">
        <v>159</v>
      </c>
      <c r="BA433" s="1" t="s">
        <v>160</v>
      </c>
      <c r="BB433" s="1" t="s">
        <v>241</v>
      </c>
      <c r="BC433" s="1" t="s">
        <v>160</v>
      </c>
      <c r="BD433" s="1" t="s">
        <v>1914</v>
      </c>
      <c r="BE433" s="1" t="s">
        <v>1915</v>
      </c>
      <c r="BF433" s="1" t="s">
        <v>160</v>
      </c>
    </row>
    <row r="434" spans="1:58" ht="13" x14ac:dyDescent="0.15">
      <c r="A434" s="2">
        <v>44175.968055555553</v>
      </c>
      <c r="B434" s="2">
        <v>44175.969444444447</v>
      </c>
      <c r="C434" s="1" t="s">
        <v>39</v>
      </c>
      <c r="D434" s="1" t="s">
        <v>234</v>
      </c>
      <c r="E434" s="1">
        <v>100</v>
      </c>
      <c r="F434" s="1">
        <v>121</v>
      </c>
      <c r="G434" s="1" t="b">
        <v>1</v>
      </c>
      <c r="H434" s="2">
        <v>44175.969444444447</v>
      </c>
      <c r="I434" s="1" t="s">
        <v>1916</v>
      </c>
      <c r="N434" s="1">
        <v>34.048492430000003</v>
      </c>
      <c r="O434" s="1">
        <v>-118.2528992</v>
      </c>
      <c r="P434" s="1" t="s">
        <v>153</v>
      </c>
      <c r="Q434" s="1" t="s">
        <v>154</v>
      </c>
      <c r="R434" s="1" t="s">
        <v>174</v>
      </c>
      <c r="S434" s="1" t="s">
        <v>226</v>
      </c>
      <c r="T434" s="1" t="s">
        <v>237</v>
      </c>
      <c r="U434" s="1" t="s">
        <v>427</v>
      </c>
      <c r="V434" s="1" t="s">
        <v>160</v>
      </c>
      <c r="W434" s="1" t="s">
        <v>160</v>
      </c>
      <c r="X434" s="1" t="s">
        <v>160</v>
      </c>
      <c r="Y434" s="1" t="s">
        <v>160</v>
      </c>
      <c r="Z434" s="1" t="s">
        <v>160</v>
      </c>
      <c r="AA434" s="1" t="s">
        <v>160</v>
      </c>
      <c r="AB434" s="1" t="s">
        <v>160</v>
      </c>
      <c r="AC434" s="1" t="s">
        <v>160</v>
      </c>
      <c r="AD434" s="1" t="s">
        <v>160</v>
      </c>
      <c r="AE434" s="1" t="s">
        <v>160</v>
      </c>
      <c r="AF434" s="1" t="s">
        <v>160</v>
      </c>
      <c r="AG434" s="1" t="s">
        <v>160</v>
      </c>
      <c r="AI434" s="1" t="s">
        <v>160</v>
      </c>
      <c r="AJ434" s="1" t="s">
        <v>192</v>
      </c>
      <c r="AK434" s="1" t="s">
        <v>163</v>
      </c>
      <c r="AL434" s="1" t="s">
        <v>192</v>
      </c>
      <c r="AM434" s="1" t="s">
        <v>192</v>
      </c>
      <c r="AN434" s="1" t="s">
        <v>198</v>
      </c>
      <c r="AO434" s="1" t="s">
        <v>179</v>
      </c>
      <c r="AP434" s="1" t="s">
        <v>179</v>
      </c>
      <c r="AR434" s="1" t="s">
        <v>160</v>
      </c>
      <c r="AS434" s="1" t="s">
        <v>160</v>
      </c>
      <c r="AT434" s="1" t="s">
        <v>1917</v>
      </c>
      <c r="AU434" s="1" t="s">
        <v>159</v>
      </c>
      <c r="AV434" s="1" t="s">
        <v>159</v>
      </c>
      <c r="AW434" s="1" t="s">
        <v>159</v>
      </c>
      <c r="AX434" s="1" t="s">
        <v>160</v>
      </c>
      <c r="AY434" s="1" t="s">
        <v>159</v>
      </c>
      <c r="AZ434" s="1" t="s">
        <v>159</v>
      </c>
      <c r="BA434" s="1" t="s">
        <v>160</v>
      </c>
      <c r="BB434" s="1" t="s">
        <v>167</v>
      </c>
      <c r="BC434" s="1" t="s">
        <v>160</v>
      </c>
      <c r="BD434" s="1" t="s">
        <v>1918</v>
      </c>
      <c r="BE434" s="1" t="s">
        <v>1919</v>
      </c>
      <c r="BF434" s="1" t="s">
        <v>160</v>
      </c>
    </row>
    <row r="435" spans="1:58" ht="13" x14ac:dyDescent="0.15">
      <c r="A435" s="2">
        <v>44175.970138888886</v>
      </c>
      <c r="B435" s="2">
        <v>44175.97152777778</v>
      </c>
      <c r="C435" s="1" t="s">
        <v>39</v>
      </c>
      <c r="D435" s="1" t="s">
        <v>234</v>
      </c>
      <c r="E435" s="1">
        <v>100</v>
      </c>
      <c r="F435" s="1">
        <v>120</v>
      </c>
      <c r="G435" s="1" t="b">
        <v>1</v>
      </c>
      <c r="H435" s="2">
        <v>44175.97152777778</v>
      </c>
      <c r="I435" s="1" t="s">
        <v>1920</v>
      </c>
      <c r="N435" s="1">
        <v>34.048492430000003</v>
      </c>
      <c r="O435" s="1">
        <v>-118.2528992</v>
      </c>
      <c r="P435" s="1" t="s">
        <v>153</v>
      </c>
      <c r="Q435" s="1" t="s">
        <v>154</v>
      </c>
      <c r="R435" s="1" t="s">
        <v>174</v>
      </c>
      <c r="S435" s="1" t="s">
        <v>226</v>
      </c>
      <c r="T435" s="1" t="s">
        <v>176</v>
      </c>
      <c r="U435" s="1" t="s">
        <v>1921</v>
      </c>
      <c r="V435" s="1" t="s">
        <v>160</v>
      </c>
      <c r="W435" s="1" t="s">
        <v>160</v>
      </c>
      <c r="X435" s="1" t="s">
        <v>160</v>
      </c>
      <c r="Y435" s="1" t="s">
        <v>160</v>
      </c>
      <c r="Z435" s="1" t="s">
        <v>160</v>
      </c>
      <c r="AA435" s="1" t="s">
        <v>160</v>
      </c>
      <c r="AB435" s="1" t="s">
        <v>160</v>
      </c>
      <c r="AC435" s="1" t="s">
        <v>160</v>
      </c>
      <c r="AD435" s="1" t="s">
        <v>160</v>
      </c>
      <c r="AE435" s="1" t="s">
        <v>160</v>
      </c>
      <c r="AF435" s="1" t="s">
        <v>160</v>
      </c>
      <c r="AG435" s="1" t="s">
        <v>160</v>
      </c>
      <c r="AI435" s="1" t="s">
        <v>160</v>
      </c>
      <c r="AJ435" s="1" t="s">
        <v>198</v>
      </c>
      <c r="AK435" s="1" t="s">
        <v>163</v>
      </c>
      <c r="AL435" s="1" t="s">
        <v>198</v>
      </c>
      <c r="AM435" s="1" t="s">
        <v>198</v>
      </c>
      <c r="AN435" s="1" t="s">
        <v>164</v>
      </c>
      <c r="AO435" s="1" t="s">
        <v>179</v>
      </c>
      <c r="AP435" s="1" t="s">
        <v>165</v>
      </c>
      <c r="AR435" s="1" t="s">
        <v>160</v>
      </c>
      <c r="AS435" s="1" t="s">
        <v>160</v>
      </c>
      <c r="AT435" s="1" t="s">
        <v>464</v>
      </c>
      <c r="AU435" s="1" t="s">
        <v>160</v>
      </c>
      <c r="AV435" s="1" t="s">
        <v>159</v>
      </c>
      <c r="AW435" s="1" t="s">
        <v>160</v>
      </c>
      <c r="AX435" s="1" t="s">
        <v>160</v>
      </c>
      <c r="AY435" s="1" t="s">
        <v>160</v>
      </c>
      <c r="AZ435" s="1" t="s">
        <v>159</v>
      </c>
      <c r="BA435" s="1" t="s">
        <v>160</v>
      </c>
      <c r="BB435" s="1" t="s">
        <v>167</v>
      </c>
      <c r="BC435" s="1" t="s">
        <v>160</v>
      </c>
      <c r="BD435" s="1" t="s">
        <v>1922</v>
      </c>
      <c r="BE435" s="1" t="s">
        <v>1923</v>
      </c>
      <c r="BF435" s="1" t="s">
        <v>160</v>
      </c>
    </row>
    <row r="436" spans="1:58" ht="13" x14ac:dyDescent="0.15">
      <c r="A436" s="2">
        <v>44175.97152777778</v>
      </c>
      <c r="B436" s="2">
        <v>44175.972916666666</v>
      </c>
      <c r="C436" s="1" t="s">
        <v>39</v>
      </c>
      <c r="D436" s="1" t="s">
        <v>234</v>
      </c>
      <c r="E436" s="1">
        <v>100</v>
      </c>
      <c r="F436" s="1">
        <v>120</v>
      </c>
      <c r="G436" s="1" t="b">
        <v>1</v>
      </c>
      <c r="H436" s="2">
        <v>44175.972916666666</v>
      </c>
      <c r="I436" s="1" t="s">
        <v>1924</v>
      </c>
      <c r="N436" s="1">
        <v>34.048492430000003</v>
      </c>
      <c r="O436" s="1">
        <v>-118.2528992</v>
      </c>
      <c r="P436" s="1" t="s">
        <v>153</v>
      </c>
      <c r="Q436" s="1" t="s">
        <v>154</v>
      </c>
      <c r="R436" s="1" t="s">
        <v>236</v>
      </c>
      <c r="S436" s="1" t="s">
        <v>226</v>
      </c>
      <c r="T436" s="1" t="s">
        <v>176</v>
      </c>
      <c r="U436" s="1" t="s">
        <v>1925</v>
      </c>
      <c r="V436" s="1" t="s">
        <v>160</v>
      </c>
      <c r="W436" s="1" t="s">
        <v>160</v>
      </c>
      <c r="X436" s="1" t="s">
        <v>160</v>
      </c>
      <c r="Y436" s="1" t="s">
        <v>160</v>
      </c>
      <c r="Z436" s="1" t="s">
        <v>160</v>
      </c>
      <c r="AA436" s="1" t="s">
        <v>160</v>
      </c>
      <c r="AB436" s="1" t="s">
        <v>160</v>
      </c>
      <c r="AC436" s="1" t="s">
        <v>160</v>
      </c>
      <c r="AD436" s="1" t="s">
        <v>160</v>
      </c>
      <c r="AE436" s="1" t="s">
        <v>160</v>
      </c>
      <c r="AF436" s="1" t="s">
        <v>160</v>
      </c>
      <c r="AG436" s="1" t="s">
        <v>160</v>
      </c>
      <c r="AI436" s="1" t="s">
        <v>160</v>
      </c>
      <c r="AJ436" s="1" t="s">
        <v>192</v>
      </c>
      <c r="AK436" s="1" t="s">
        <v>192</v>
      </c>
      <c r="AL436" s="1" t="s">
        <v>164</v>
      </c>
      <c r="AM436" s="1" t="s">
        <v>192</v>
      </c>
      <c r="AN436" s="1" t="s">
        <v>192</v>
      </c>
      <c r="AO436" s="1" t="s">
        <v>179</v>
      </c>
      <c r="AP436" s="1" t="s">
        <v>165</v>
      </c>
      <c r="AR436" s="1" t="s">
        <v>160</v>
      </c>
      <c r="AS436" s="1" t="s">
        <v>160</v>
      </c>
      <c r="AT436" s="1" t="s">
        <v>638</v>
      </c>
      <c r="AU436" s="1" t="s">
        <v>159</v>
      </c>
      <c r="AV436" s="1" t="s">
        <v>159</v>
      </c>
      <c r="AW436" s="1" t="s">
        <v>159</v>
      </c>
      <c r="AX436" s="1" t="s">
        <v>160</v>
      </c>
      <c r="AY436" s="1" t="s">
        <v>159</v>
      </c>
      <c r="AZ436" s="1" t="s">
        <v>160</v>
      </c>
      <c r="BA436" s="1" t="s">
        <v>160</v>
      </c>
      <c r="BB436" s="1" t="s">
        <v>167</v>
      </c>
      <c r="BC436" s="1" t="s">
        <v>160</v>
      </c>
      <c r="BD436" s="1" t="s">
        <v>502</v>
      </c>
      <c r="BE436" s="1" t="s">
        <v>1926</v>
      </c>
      <c r="BF436" s="1" t="s">
        <v>160</v>
      </c>
    </row>
    <row r="437" spans="1:58" ht="13" x14ac:dyDescent="0.15">
      <c r="A437" s="2">
        <v>44175.973611111112</v>
      </c>
      <c r="B437" s="2">
        <v>44175.974999999999</v>
      </c>
      <c r="C437" s="1" t="s">
        <v>39</v>
      </c>
      <c r="D437" s="1" t="s">
        <v>234</v>
      </c>
      <c r="E437" s="1">
        <v>100</v>
      </c>
      <c r="F437" s="1">
        <v>119</v>
      </c>
      <c r="G437" s="1" t="b">
        <v>1</v>
      </c>
      <c r="H437" s="2">
        <v>44175.974999999999</v>
      </c>
      <c r="I437" s="1" t="s">
        <v>1927</v>
      </c>
      <c r="N437" s="1">
        <v>34.048492430000003</v>
      </c>
      <c r="O437" s="1">
        <v>-118.2528992</v>
      </c>
      <c r="P437" s="1" t="s">
        <v>153</v>
      </c>
      <c r="Q437" s="1" t="s">
        <v>154</v>
      </c>
      <c r="R437" s="1" t="s">
        <v>155</v>
      </c>
      <c r="S437" s="1" t="s">
        <v>226</v>
      </c>
      <c r="T437" s="1" t="s">
        <v>176</v>
      </c>
      <c r="U437" s="1" t="s">
        <v>496</v>
      </c>
      <c r="V437" s="1" t="s">
        <v>160</v>
      </c>
      <c r="W437" s="1" t="s">
        <v>160</v>
      </c>
      <c r="X437" s="1" t="s">
        <v>160</v>
      </c>
      <c r="Y437" s="1" t="s">
        <v>160</v>
      </c>
      <c r="Z437" s="1" t="s">
        <v>160</v>
      </c>
      <c r="AA437" s="1" t="s">
        <v>160</v>
      </c>
      <c r="AB437" s="1" t="s">
        <v>160</v>
      </c>
      <c r="AC437" s="1" t="s">
        <v>160</v>
      </c>
      <c r="AD437" s="1" t="s">
        <v>160</v>
      </c>
      <c r="AE437" s="1" t="s">
        <v>160</v>
      </c>
      <c r="AF437" s="1" t="s">
        <v>160</v>
      </c>
      <c r="AG437" s="1" t="s">
        <v>160</v>
      </c>
      <c r="AI437" s="1" t="s">
        <v>160</v>
      </c>
      <c r="AJ437" s="1" t="s">
        <v>164</v>
      </c>
      <c r="AK437" s="1" t="s">
        <v>192</v>
      </c>
      <c r="AL437" s="1" t="s">
        <v>164</v>
      </c>
      <c r="AM437" s="1" t="s">
        <v>163</v>
      </c>
      <c r="AN437" s="1" t="s">
        <v>198</v>
      </c>
      <c r="AO437" s="1" t="s">
        <v>179</v>
      </c>
      <c r="AP437" s="1" t="s">
        <v>179</v>
      </c>
      <c r="AR437" s="1" t="s">
        <v>160</v>
      </c>
      <c r="AS437" s="1" t="s">
        <v>160</v>
      </c>
      <c r="AT437" s="1" t="s">
        <v>1928</v>
      </c>
      <c r="AU437" s="1" t="s">
        <v>160</v>
      </c>
      <c r="AV437" s="1" t="s">
        <v>160</v>
      </c>
      <c r="AW437" s="1" t="s">
        <v>159</v>
      </c>
      <c r="AX437" s="1" t="s">
        <v>159</v>
      </c>
      <c r="AY437" s="1" t="s">
        <v>159</v>
      </c>
      <c r="AZ437" s="1" t="s">
        <v>160</v>
      </c>
      <c r="BA437" s="1" t="s">
        <v>160</v>
      </c>
      <c r="BB437" s="1" t="s">
        <v>181</v>
      </c>
      <c r="BC437" s="1" t="s">
        <v>160</v>
      </c>
      <c r="BD437" s="1" t="s">
        <v>488</v>
      </c>
      <c r="BE437" s="1" t="s">
        <v>1929</v>
      </c>
      <c r="BF437" s="1" t="s">
        <v>160</v>
      </c>
    </row>
    <row r="438" spans="1:58" ht="13" x14ac:dyDescent="0.15">
      <c r="A438" s="2">
        <v>44175.974999999999</v>
      </c>
      <c r="B438" s="2">
        <v>44175.976388888892</v>
      </c>
      <c r="C438" s="1" t="s">
        <v>39</v>
      </c>
      <c r="D438" s="1" t="s">
        <v>234</v>
      </c>
      <c r="E438" s="1">
        <v>100</v>
      </c>
      <c r="F438" s="1">
        <v>120</v>
      </c>
      <c r="G438" s="1" t="b">
        <v>1</v>
      </c>
      <c r="H438" s="2">
        <v>44175.976388888892</v>
      </c>
      <c r="I438" s="1" t="s">
        <v>1930</v>
      </c>
      <c r="N438" s="1">
        <v>34.048492430000003</v>
      </c>
      <c r="O438" s="1">
        <v>-118.2528992</v>
      </c>
      <c r="P438" s="1" t="s">
        <v>153</v>
      </c>
      <c r="Q438" s="1" t="s">
        <v>154</v>
      </c>
      <c r="R438" s="1" t="s">
        <v>155</v>
      </c>
      <c r="S438" s="1" t="s">
        <v>226</v>
      </c>
      <c r="T438" s="1" t="s">
        <v>176</v>
      </c>
      <c r="U438" s="1" t="s">
        <v>1931</v>
      </c>
      <c r="V438" s="1" t="s">
        <v>160</v>
      </c>
      <c r="W438" s="1" t="s">
        <v>160</v>
      </c>
      <c r="X438" s="1" t="s">
        <v>160</v>
      </c>
      <c r="Y438" s="1" t="s">
        <v>160</v>
      </c>
      <c r="Z438" s="1" t="s">
        <v>160</v>
      </c>
      <c r="AA438" s="1" t="s">
        <v>160</v>
      </c>
      <c r="AB438" s="1" t="s">
        <v>160</v>
      </c>
      <c r="AC438" s="1" t="s">
        <v>160</v>
      </c>
      <c r="AD438" s="1" t="s">
        <v>160</v>
      </c>
      <c r="AE438" s="1" t="s">
        <v>160</v>
      </c>
      <c r="AF438" s="1" t="s">
        <v>160</v>
      </c>
      <c r="AG438" s="1" t="s">
        <v>160</v>
      </c>
      <c r="AI438" s="1" t="s">
        <v>160</v>
      </c>
      <c r="AJ438" s="1" t="s">
        <v>192</v>
      </c>
      <c r="AK438" s="1" t="s">
        <v>163</v>
      </c>
      <c r="AL438" s="1" t="s">
        <v>192</v>
      </c>
      <c r="AM438" s="1" t="s">
        <v>192</v>
      </c>
      <c r="AN438" s="1" t="s">
        <v>198</v>
      </c>
      <c r="AO438" s="1" t="s">
        <v>179</v>
      </c>
      <c r="AP438" s="1" t="s">
        <v>239</v>
      </c>
      <c r="AR438" s="1" t="s">
        <v>160</v>
      </c>
      <c r="AS438" s="1" t="s">
        <v>160</v>
      </c>
      <c r="AT438" s="1" t="s">
        <v>166</v>
      </c>
      <c r="AU438" s="1" t="s">
        <v>160</v>
      </c>
      <c r="AV438" s="1" t="s">
        <v>160</v>
      </c>
      <c r="AW438" s="1" t="s">
        <v>160</v>
      </c>
      <c r="AX438" s="1" t="s">
        <v>159</v>
      </c>
      <c r="AY438" s="1" t="s">
        <v>159</v>
      </c>
      <c r="AZ438" s="1" t="s">
        <v>160</v>
      </c>
      <c r="BA438" s="1" t="s">
        <v>160</v>
      </c>
      <c r="BB438" s="1" t="s">
        <v>167</v>
      </c>
      <c r="BC438" s="1" t="s">
        <v>160</v>
      </c>
      <c r="BD438" s="1" t="s">
        <v>493</v>
      </c>
      <c r="BE438" s="1" t="s">
        <v>1932</v>
      </c>
      <c r="BF438" s="1" t="s">
        <v>160</v>
      </c>
    </row>
    <row r="439" spans="1:58" ht="13" x14ac:dyDescent="0.15">
      <c r="A439" s="2">
        <v>44175.977083333331</v>
      </c>
      <c r="B439" s="2">
        <v>44175.978472222225</v>
      </c>
      <c r="C439" s="1" t="s">
        <v>39</v>
      </c>
      <c r="D439" s="1" t="s">
        <v>234</v>
      </c>
      <c r="E439" s="1">
        <v>100</v>
      </c>
      <c r="F439" s="1">
        <v>119</v>
      </c>
      <c r="G439" s="1" t="b">
        <v>1</v>
      </c>
      <c r="H439" s="2">
        <v>44175.978472222225</v>
      </c>
      <c r="I439" s="1" t="s">
        <v>1933</v>
      </c>
      <c r="N439" s="1">
        <v>34.048492430000003</v>
      </c>
      <c r="O439" s="1">
        <v>-118.2528992</v>
      </c>
      <c r="P439" s="1" t="s">
        <v>153</v>
      </c>
      <c r="Q439" s="1" t="s">
        <v>154</v>
      </c>
      <c r="R439" s="1" t="s">
        <v>174</v>
      </c>
      <c r="S439" s="1" t="s">
        <v>274</v>
      </c>
      <c r="T439" s="1" t="s">
        <v>237</v>
      </c>
      <c r="U439" s="1" t="s">
        <v>1934</v>
      </c>
      <c r="V439" s="1" t="s">
        <v>160</v>
      </c>
      <c r="W439" s="1" t="s">
        <v>160</v>
      </c>
      <c r="X439" s="1" t="s">
        <v>160</v>
      </c>
      <c r="Y439" s="1" t="s">
        <v>160</v>
      </c>
      <c r="Z439" s="1" t="s">
        <v>160</v>
      </c>
      <c r="AA439" s="1" t="s">
        <v>160</v>
      </c>
      <c r="AB439" s="1" t="s">
        <v>160</v>
      </c>
      <c r="AC439" s="1" t="s">
        <v>160</v>
      </c>
      <c r="AD439" s="1" t="s">
        <v>160</v>
      </c>
      <c r="AE439" s="1" t="s">
        <v>160</v>
      </c>
      <c r="AF439" s="1" t="s">
        <v>160</v>
      </c>
      <c r="AG439" s="1" t="s">
        <v>160</v>
      </c>
      <c r="AI439" s="1" t="s">
        <v>160</v>
      </c>
      <c r="AJ439" s="1" t="s">
        <v>198</v>
      </c>
      <c r="AK439" s="1" t="s">
        <v>164</v>
      </c>
      <c r="AL439" s="1" t="s">
        <v>164</v>
      </c>
      <c r="AM439" s="1" t="s">
        <v>192</v>
      </c>
      <c r="AN439" s="1" t="s">
        <v>164</v>
      </c>
      <c r="AO439" s="1" t="s">
        <v>179</v>
      </c>
      <c r="AP439" s="1" t="s">
        <v>179</v>
      </c>
      <c r="AR439" s="1" t="s">
        <v>160</v>
      </c>
      <c r="AS439" s="1" t="s">
        <v>160</v>
      </c>
      <c r="AT439" s="1" t="s">
        <v>539</v>
      </c>
      <c r="AU439" s="1" t="s">
        <v>159</v>
      </c>
      <c r="AV439" s="1" t="s">
        <v>159</v>
      </c>
      <c r="AW439" s="1" t="s">
        <v>160</v>
      </c>
      <c r="AX439" s="1" t="s">
        <v>159</v>
      </c>
      <c r="AY439" s="1" t="s">
        <v>160</v>
      </c>
      <c r="AZ439" s="1" t="s">
        <v>160</v>
      </c>
      <c r="BA439" s="1" t="s">
        <v>160</v>
      </c>
      <c r="BB439" s="1" t="s">
        <v>167</v>
      </c>
      <c r="BC439" s="1" t="s">
        <v>160</v>
      </c>
      <c r="BD439" s="1" t="s">
        <v>1935</v>
      </c>
      <c r="BE439" s="1" t="s">
        <v>1936</v>
      </c>
      <c r="BF439" s="1" t="s">
        <v>160</v>
      </c>
    </row>
    <row r="440" spans="1:58" ht="13" x14ac:dyDescent="0.15">
      <c r="A440" s="2">
        <v>44175.978472222225</v>
      </c>
      <c r="B440" s="2">
        <v>44175.979861111111</v>
      </c>
      <c r="C440" s="1" t="s">
        <v>39</v>
      </c>
      <c r="D440" s="1" t="s">
        <v>234</v>
      </c>
      <c r="E440" s="1">
        <v>100</v>
      </c>
      <c r="F440" s="1">
        <v>122</v>
      </c>
      <c r="G440" s="1" t="b">
        <v>1</v>
      </c>
      <c r="H440" s="2">
        <v>44175.979861111111</v>
      </c>
      <c r="I440" s="1" t="s">
        <v>1937</v>
      </c>
      <c r="N440" s="1">
        <v>34.048492430000003</v>
      </c>
      <c r="O440" s="1">
        <v>-118.2528992</v>
      </c>
      <c r="P440" s="1" t="s">
        <v>153</v>
      </c>
      <c r="Q440" s="1" t="s">
        <v>154</v>
      </c>
      <c r="R440" s="1" t="s">
        <v>236</v>
      </c>
      <c r="S440" s="1" t="s">
        <v>208</v>
      </c>
      <c r="T440" s="1" t="s">
        <v>245</v>
      </c>
      <c r="U440" s="1" t="s">
        <v>1938</v>
      </c>
      <c r="V440" s="1" t="s">
        <v>160</v>
      </c>
      <c r="W440" s="1" t="s">
        <v>160</v>
      </c>
      <c r="X440" s="1" t="s">
        <v>160</v>
      </c>
      <c r="Y440" s="1" t="s">
        <v>160</v>
      </c>
      <c r="Z440" s="1" t="s">
        <v>160</v>
      </c>
      <c r="AA440" s="1" t="s">
        <v>160</v>
      </c>
      <c r="AB440" s="1" t="s">
        <v>160</v>
      </c>
      <c r="AC440" s="1" t="s">
        <v>160</v>
      </c>
      <c r="AD440" s="1" t="s">
        <v>160</v>
      </c>
      <c r="AE440" s="1" t="s">
        <v>160</v>
      </c>
      <c r="AF440" s="1" t="s">
        <v>160</v>
      </c>
      <c r="AG440" s="1" t="s">
        <v>160</v>
      </c>
      <c r="AI440" s="1" t="s">
        <v>160</v>
      </c>
      <c r="AJ440" s="1" t="s">
        <v>198</v>
      </c>
      <c r="AK440" s="1" t="s">
        <v>163</v>
      </c>
      <c r="AL440" s="1" t="s">
        <v>164</v>
      </c>
      <c r="AM440" s="1" t="s">
        <v>198</v>
      </c>
      <c r="AN440" s="1" t="s">
        <v>192</v>
      </c>
      <c r="AO440" s="1" t="s">
        <v>179</v>
      </c>
      <c r="AP440" s="1" t="s">
        <v>165</v>
      </c>
      <c r="AR440" s="1" t="s">
        <v>160</v>
      </c>
      <c r="AS440" s="1" t="s">
        <v>160</v>
      </c>
      <c r="AT440" s="1" t="s">
        <v>1778</v>
      </c>
      <c r="AU440" s="1" t="s">
        <v>160</v>
      </c>
      <c r="AV440" s="1" t="s">
        <v>160</v>
      </c>
      <c r="AW440" s="1" t="s">
        <v>159</v>
      </c>
      <c r="AX440" s="1" t="s">
        <v>159</v>
      </c>
      <c r="AY440" s="1" t="s">
        <v>159</v>
      </c>
      <c r="AZ440" s="1" t="s">
        <v>159</v>
      </c>
      <c r="BA440" s="1" t="s">
        <v>159</v>
      </c>
      <c r="BB440" s="1" t="s">
        <v>167</v>
      </c>
      <c r="BC440" s="1" t="s">
        <v>160</v>
      </c>
      <c r="BD440" s="1" t="s">
        <v>1939</v>
      </c>
      <c r="BE440" s="1" t="s">
        <v>1940</v>
      </c>
      <c r="BF440" s="1" t="s">
        <v>160</v>
      </c>
    </row>
    <row r="441" spans="1:58" ht="13" x14ac:dyDescent="0.15">
      <c r="A441" s="2">
        <v>44175.979861111111</v>
      </c>
      <c r="B441" s="2">
        <v>44175.981249999997</v>
      </c>
      <c r="C441" s="1" t="s">
        <v>39</v>
      </c>
      <c r="D441" s="1" t="s">
        <v>234</v>
      </c>
      <c r="E441" s="1">
        <v>100</v>
      </c>
      <c r="F441" s="1">
        <v>120</v>
      </c>
      <c r="G441" s="1" t="b">
        <v>1</v>
      </c>
      <c r="H441" s="2">
        <v>44175.981249999997</v>
      </c>
      <c r="I441" s="1" t="s">
        <v>1941</v>
      </c>
      <c r="N441" s="1">
        <v>34.048492430000003</v>
      </c>
      <c r="O441" s="1">
        <v>-118.2528992</v>
      </c>
      <c r="P441" s="1" t="s">
        <v>153</v>
      </c>
      <c r="Q441" s="1" t="s">
        <v>154</v>
      </c>
      <c r="R441" s="1" t="s">
        <v>174</v>
      </c>
      <c r="S441" s="1" t="s">
        <v>208</v>
      </c>
      <c r="T441" s="1" t="s">
        <v>157</v>
      </c>
      <c r="U441" s="1" t="s">
        <v>1942</v>
      </c>
      <c r="V441" s="1" t="s">
        <v>160</v>
      </c>
      <c r="W441" s="1" t="s">
        <v>160</v>
      </c>
      <c r="X441" s="1" t="s">
        <v>160</v>
      </c>
      <c r="Y441" s="1" t="s">
        <v>160</v>
      </c>
      <c r="Z441" s="1" t="s">
        <v>160</v>
      </c>
      <c r="AA441" s="1" t="s">
        <v>160</v>
      </c>
      <c r="AB441" s="1" t="s">
        <v>160</v>
      </c>
      <c r="AC441" s="1" t="s">
        <v>160</v>
      </c>
      <c r="AD441" s="1" t="s">
        <v>160</v>
      </c>
      <c r="AE441" s="1" t="s">
        <v>160</v>
      </c>
      <c r="AF441" s="1" t="s">
        <v>160</v>
      </c>
      <c r="AG441" s="1" t="s">
        <v>160</v>
      </c>
      <c r="AI441" s="1" t="s">
        <v>160</v>
      </c>
      <c r="AJ441" s="1" t="s">
        <v>163</v>
      </c>
      <c r="AK441" s="1" t="s">
        <v>164</v>
      </c>
      <c r="AL441" s="1" t="s">
        <v>163</v>
      </c>
      <c r="AM441" s="1" t="s">
        <v>198</v>
      </c>
      <c r="AN441" s="1" t="s">
        <v>192</v>
      </c>
      <c r="AO441" s="1" t="s">
        <v>179</v>
      </c>
      <c r="AP441" s="1" t="s">
        <v>239</v>
      </c>
      <c r="AR441" s="1" t="s">
        <v>160</v>
      </c>
      <c r="AS441" s="1" t="s">
        <v>160</v>
      </c>
      <c r="AT441" s="1" t="s">
        <v>1943</v>
      </c>
      <c r="AU441" s="1" t="s">
        <v>160</v>
      </c>
      <c r="AV441" s="1" t="s">
        <v>159</v>
      </c>
      <c r="AW441" s="1" t="s">
        <v>160</v>
      </c>
      <c r="AX441" s="1" t="s">
        <v>160</v>
      </c>
      <c r="AY441" s="1" t="s">
        <v>159</v>
      </c>
      <c r="AZ441" s="1" t="s">
        <v>159</v>
      </c>
      <c r="BA441" s="1" t="s">
        <v>159</v>
      </c>
      <c r="BB441" s="1" t="s">
        <v>222</v>
      </c>
      <c r="BC441" s="1" t="s">
        <v>160</v>
      </c>
      <c r="BD441" s="1" t="s">
        <v>1944</v>
      </c>
      <c r="BE441" s="1" t="s">
        <v>1945</v>
      </c>
      <c r="BF441" s="1" t="s">
        <v>160</v>
      </c>
    </row>
    <row r="442" spans="1:58" ht="13" x14ac:dyDescent="0.15">
      <c r="A442" s="2">
        <v>44175.981944444444</v>
      </c>
      <c r="B442" s="2">
        <v>44175.98333333333</v>
      </c>
      <c r="C442" s="1" t="s">
        <v>39</v>
      </c>
      <c r="D442" s="1" t="s">
        <v>234</v>
      </c>
      <c r="E442" s="1">
        <v>100</v>
      </c>
      <c r="F442" s="1">
        <v>121</v>
      </c>
      <c r="G442" s="1" t="b">
        <v>1</v>
      </c>
      <c r="H442" s="2">
        <v>44175.98333333333</v>
      </c>
      <c r="I442" s="1" t="s">
        <v>1946</v>
      </c>
      <c r="N442" s="1">
        <v>34.048492430000003</v>
      </c>
      <c r="O442" s="1">
        <v>-118.2528992</v>
      </c>
      <c r="P442" s="1" t="s">
        <v>153</v>
      </c>
      <c r="Q442" s="1" t="s">
        <v>154</v>
      </c>
      <c r="R442" s="1" t="s">
        <v>236</v>
      </c>
      <c r="S442" s="1" t="s">
        <v>208</v>
      </c>
      <c r="T442" s="1" t="s">
        <v>157</v>
      </c>
      <c r="U442" s="1" t="s">
        <v>1947</v>
      </c>
      <c r="V442" s="1" t="s">
        <v>160</v>
      </c>
      <c r="W442" s="1" t="s">
        <v>160</v>
      </c>
      <c r="X442" s="1" t="s">
        <v>160</v>
      </c>
      <c r="Y442" s="1" t="s">
        <v>160</v>
      </c>
      <c r="Z442" s="1" t="s">
        <v>160</v>
      </c>
      <c r="AA442" s="1" t="s">
        <v>160</v>
      </c>
      <c r="AB442" s="1" t="s">
        <v>160</v>
      </c>
      <c r="AC442" s="1" t="s">
        <v>160</v>
      </c>
      <c r="AD442" s="1" t="s">
        <v>160</v>
      </c>
      <c r="AE442" s="1" t="s">
        <v>160</v>
      </c>
      <c r="AF442" s="1" t="s">
        <v>160</v>
      </c>
      <c r="AG442" s="1" t="s">
        <v>160</v>
      </c>
      <c r="AI442" s="1" t="s">
        <v>160</v>
      </c>
      <c r="AJ442" s="1" t="s">
        <v>198</v>
      </c>
      <c r="AK442" s="1" t="s">
        <v>192</v>
      </c>
      <c r="AL442" s="1" t="s">
        <v>163</v>
      </c>
      <c r="AM442" s="1" t="s">
        <v>198</v>
      </c>
      <c r="AN442" s="1" t="s">
        <v>164</v>
      </c>
      <c r="AO442" s="1" t="s">
        <v>179</v>
      </c>
      <c r="AP442" s="1" t="s">
        <v>179</v>
      </c>
      <c r="AR442" s="1" t="s">
        <v>160</v>
      </c>
      <c r="AS442" s="1" t="s">
        <v>160</v>
      </c>
      <c r="AT442" s="1" t="s">
        <v>312</v>
      </c>
      <c r="AU442" s="1" t="s">
        <v>159</v>
      </c>
      <c r="AV442" s="1" t="s">
        <v>160</v>
      </c>
      <c r="AW442" s="1" t="s">
        <v>159</v>
      </c>
      <c r="AX442" s="1" t="s">
        <v>159</v>
      </c>
      <c r="AY442" s="1" t="s">
        <v>159</v>
      </c>
      <c r="AZ442" s="1" t="s">
        <v>160</v>
      </c>
      <c r="BA442" s="1" t="s">
        <v>159</v>
      </c>
      <c r="BB442" s="1" t="s">
        <v>222</v>
      </c>
      <c r="BC442" s="1" t="s">
        <v>160</v>
      </c>
      <c r="BD442" s="1" t="s">
        <v>1948</v>
      </c>
      <c r="BE442" s="1" t="s">
        <v>1949</v>
      </c>
      <c r="BF442" s="1" t="s">
        <v>160</v>
      </c>
    </row>
    <row r="443" spans="1:58" ht="13" x14ac:dyDescent="0.15">
      <c r="A443" s="2">
        <v>44175.98333333333</v>
      </c>
      <c r="B443" s="2">
        <v>44175.984722222223</v>
      </c>
      <c r="C443" s="1" t="s">
        <v>39</v>
      </c>
      <c r="D443" s="1" t="s">
        <v>234</v>
      </c>
      <c r="E443" s="1">
        <v>100</v>
      </c>
      <c r="F443" s="1">
        <v>119</v>
      </c>
      <c r="G443" s="1" t="b">
        <v>1</v>
      </c>
      <c r="H443" s="2">
        <v>44175.984722222223</v>
      </c>
      <c r="I443" s="1" t="s">
        <v>1950</v>
      </c>
      <c r="N443" s="1">
        <v>34.048492430000003</v>
      </c>
      <c r="O443" s="1">
        <v>-118.2528992</v>
      </c>
      <c r="P443" s="1" t="s">
        <v>153</v>
      </c>
      <c r="Q443" s="1" t="s">
        <v>154</v>
      </c>
      <c r="R443" s="1" t="s">
        <v>155</v>
      </c>
      <c r="S443" s="1" t="s">
        <v>175</v>
      </c>
      <c r="T443" s="1" t="s">
        <v>263</v>
      </c>
      <c r="U443" s="1" t="s">
        <v>496</v>
      </c>
      <c r="V443" s="1" t="s">
        <v>160</v>
      </c>
      <c r="W443" s="1" t="s">
        <v>160</v>
      </c>
      <c r="X443" s="1" t="s">
        <v>160</v>
      </c>
      <c r="Y443" s="1" t="s">
        <v>160</v>
      </c>
      <c r="Z443" s="1" t="s">
        <v>160</v>
      </c>
      <c r="AA443" s="1" t="s">
        <v>160</v>
      </c>
      <c r="AB443" s="1" t="s">
        <v>160</v>
      </c>
      <c r="AC443" s="1" t="s">
        <v>160</v>
      </c>
      <c r="AD443" s="1" t="s">
        <v>160</v>
      </c>
      <c r="AE443" s="1" t="s">
        <v>160</v>
      </c>
      <c r="AF443" s="1" t="s">
        <v>160</v>
      </c>
      <c r="AG443" s="1" t="s">
        <v>160</v>
      </c>
      <c r="AI443" s="1" t="s">
        <v>160</v>
      </c>
      <c r="AJ443" s="1" t="s">
        <v>198</v>
      </c>
      <c r="AK443" s="1" t="s">
        <v>198</v>
      </c>
      <c r="AL443" s="1" t="s">
        <v>192</v>
      </c>
      <c r="AM443" s="1" t="s">
        <v>198</v>
      </c>
      <c r="AN443" s="1" t="s">
        <v>192</v>
      </c>
      <c r="AO443" s="1" t="s">
        <v>179</v>
      </c>
      <c r="AP443" s="1" t="s">
        <v>239</v>
      </c>
      <c r="AR443" s="1" t="s">
        <v>160</v>
      </c>
      <c r="AS443" s="1" t="s">
        <v>160</v>
      </c>
      <c r="AT443" s="1" t="s">
        <v>605</v>
      </c>
      <c r="AU443" s="1" t="s">
        <v>159</v>
      </c>
      <c r="AV443" s="1" t="s">
        <v>159</v>
      </c>
      <c r="AW443" s="1" t="s">
        <v>159</v>
      </c>
      <c r="AX443" s="1" t="s">
        <v>159</v>
      </c>
      <c r="AY443" s="1" t="s">
        <v>160</v>
      </c>
      <c r="AZ443" s="1" t="s">
        <v>160</v>
      </c>
      <c r="BA443" s="1" t="s">
        <v>160</v>
      </c>
      <c r="BB443" s="1" t="s">
        <v>167</v>
      </c>
      <c r="BC443" s="1" t="s">
        <v>160</v>
      </c>
      <c r="BD443" s="1" t="s">
        <v>1951</v>
      </c>
      <c r="BE443" s="1" t="s">
        <v>1952</v>
      </c>
      <c r="BF443" s="1" t="s">
        <v>160</v>
      </c>
    </row>
    <row r="444" spans="1:58" ht="13" x14ac:dyDescent="0.15">
      <c r="A444" s="2">
        <v>44175.98541666667</v>
      </c>
      <c r="B444" s="2">
        <v>44175.986805555556</v>
      </c>
      <c r="C444" s="1" t="s">
        <v>39</v>
      </c>
      <c r="D444" s="1" t="s">
        <v>234</v>
      </c>
      <c r="E444" s="1">
        <v>100</v>
      </c>
      <c r="F444" s="1">
        <v>121</v>
      </c>
      <c r="G444" s="1" t="b">
        <v>1</v>
      </c>
      <c r="H444" s="2">
        <v>44175.986805555556</v>
      </c>
      <c r="I444" s="1" t="s">
        <v>1953</v>
      </c>
      <c r="N444" s="1">
        <v>34.048492430000003</v>
      </c>
      <c r="O444" s="1">
        <v>-118.2528992</v>
      </c>
      <c r="P444" s="1" t="s">
        <v>153</v>
      </c>
      <c r="Q444" s="1" t="s">
        <v>154</v>
      </c>
      <c r="R444" s="1" t="s">
        <v>155</v>
      </c>
      <c r="S444" s="1" t="s">
        <v>175</v>
      </c>
      <c r="T444" s="1" t="s">
        <v>245</v>
      </c>
      <c r="U444" s="1" t="s">
        <v>1954</v>
      </c>
      <c r="V444" s="1" t="s">
        <v>160</v>
      </c>
      <c r="W444" s="1" t="s">
        <v>160</v>
      </c>
      <c r="X444" s="1" t="s">
        <v>160</v>
      </c>
      <c r="Y444" s="1" t="s">
        <v>160</v>
      </c>
      <c r="Z444" s="1" t="s">
        <v>160</v>
      </c>
      <c r="AA444" s="1" t="s">
        <v>160</v>
      </c>
      <c r="AB444" s="1" t="s">
        <v>160</v>
      </c>
      <c r="AC444" s="1" t="s">
        <v>160</v>
      </c>
      <c r="AD444" s="1" t="s">
        <v>160</v>
      </c>
      <c r="AE444" s="1" t="s">
        <v>160</v>
      </c>
      <c r="AF444" s="1" t="s">
        <v>160</v>
      </c>
      <c r="AG444" s="1" t="s">
        <v>160</v>
      </c>
      <c r="AI444" s="1" t="s">
        <v>160</v>
      </c>
      <c r="AJ444" s="1" t="s">
        <v>164</v>
      </c>
      <c r="AK444" s="1" t="s">
        <v>192</v>
      </c>
      <c r="AL444" s="1" t="s">
        <v>192</v>
      </c>
      <c r="AM444" s="1" t="s">
        <v>192</v>
      </c>
      <c r="AN444" s="1" t="s">
        <v>192</v>
      </c>
      <c r="AO444" s="1" t="s">
        <v>179</v>
      </c>
      <c r="AP444" s="1" t="s">
        <v>179</v>
      </c>
      <c r="AR444" s="1" t="s">
        <v>160</v>
      </c>
      <c r="AS444" s="1" t="s">
        <v>160</v>
      </c>
      <c r="AT444" s="1" t="s">
        <v>1955</v>
      </c>
      <c r="AU444" s="1" t="s">
        <v>160</v>
      </c>
      <c r="AV444" s="1" t="s">
        <v>159</v>
      </c>
      <c r="AW444" s="1" t="s">
        <v>160</v>
      </c>
      <c r="AX444" s="1" t="s">
        <v>160</v>
      </c>
      <c r="AY444" s="1" t="s">
        <v>160</v>
      </c>
      <c r="AZ444" s="1" t="s">
        <v>160</v>
      </c>
      <c r="BA444" s="1" t="s">
        <v>160</v>
      </c>
      <c r="BB444" s="1" t="s">
        <v>181</v>
      </c>
      <c r="BC444" s="1" t="s">
        <v>160</v>
      </c>
      <c r="BD444" s="1" t="s">
        <v>1956</v>
      </c>
      <c r="BE444" s="1" t="s">
        <v>1957</v>
      </c>
      <c r="BF444" s="1" t="s">
        <v>160</v>
      </c>
    </row>
    <row r="445" spans="1:58" ht="13" x14ac:dyDescent="0.15">
      <c r="A445" s="2">
        <v>44175.986805555556</v>
      </c>
      <c r="B445" s="2">
        <v>44175.988194444442</v>
      </c>
      <c r="C445" s="1" t="s">
        <v>39</v>
      </c>
      <c r="D445" s="1" t="s">
        <v>234</v>
      </c>
      <c r="E445" s="1">
        <v>100</v>
      </c>
      <c r="F445" s="1">
        <v>120</v>
      </c>
      <c r="G445" s="1" t="b">
        <v>1</v>
      </c>
      <c r="H445" s="2">
        <v>44175.988194444442</v>
      </c>
      <c r="I445" s="1" t="s">
        <v>1958</v>
      </c>
      <c r="N445" s="1">
        <v>34.048492430000003</v>
      </c>
      <c r="O445" s="1">
        <v>-118.2528992</v>
      </c>
      <c r="P445" s="1" t="s">
        <v>153</v>
      </c>
      <c r="Q445" s="1" t="s">
        <v>154</v>
      </c>
      <c r="R445" s="1" t="s">
        <v>155</v>
      </c>
      <c r="S445" s="1" t="s">
        <v>208</v>
      </c>
      <c r="T445" s="1" t="s">
        <v>245</v>
      </c>
      <c r="U445" s="1" t="s">
        <v>1959</v>
      </c>
      <c r="V445" s="1" t="s">
        <v>160</v>
      </c>
      <c r="W445" s="1" t="s">
        <v>160</v>
      </c>
      <c r="X445" s="1" t="s">
        <v>160</v>
      </c>
      <c r="Y445" s="1" t="s">
        <v>160</v>
      </c>
      <c r="Z445" s="1" t="s">
        <v>160</v>
      </c>
      <c r="AA445" s="1" t="s">
        <v>160</v>
      </c>
      <c r="AB445" s="1" t="s">
        <v>160</v>
      </c>
      <c r="AC445" s="1" t="s">
        <v>160</v>
      </c>
      <c r="AD445" s="1" t="s">
        <v>160</v>
      </c>
      <c r="AE445" s="1" t="s">
        <v>160</v>
      </c>
      <c r="AF445" s="1" t="s">
        <v>160</v>
      </c>
      <c r="AG445" s="1" t="s">
        <v>160</v>
      </c>
      <c r="AI445" s="1" t="s">
        <v>160</v>
      </c>
      <c r="AJ445" s="1" t="s">
        <v>192</v>
      </c>
      <c r="AK445" s="1" t="s">
        <v>192</v>
      </c>
      <c r="AL445" s="1" t="s">
        <v>164</v>
      </c>
      <c r="AM445" s="1" t="s">
        <v>163</v>
      </c>
      <c r="AN445" s="1" t="s">
        <v>198</v>
      </c>
      <c r="AO445" s="1" t="s">
        <v>179</v>
      </c>
      <c r="AP445" s="1" t="s">
        <v>179</v>
      </c>
      <c r="AR445" s="1" t="s">
        <v>160</v>
      </c>
      <c r="AS445" s="1" t="s">
        <v>160</v>
      </c>
      <c r="AT445" s="1" t="s">
        <v>1751</v>
      </c>
      <c r="AU445" s="1" t="s">
        <v>159</v>
      </c>
      <c r="AV445" s="1" t="s">
        <v>159</v>
      </c>
      <c r="AW445" s="1" t="s">
        <v>160</v>
      </c>
      <c r="AX445" s="1" t="s">
        <v>159</v>
      </c>
      <c r="AY445" s="1" t="s">
        <v>160</v>
      </c>
      <c r="AZ445" s="1" t="s">
        <v>160</v>
      </c>
      <c r="BA445" s="1" t="s">
        <v>160</v>
      </c>
      <c r="BB445" s="1" t="s">
        <v>181</v>
      </c>
      <c r="BC445" s="1" t="s">
        <v>160</v>
      </c>
      <c r="BD445" s="1" t="s">
        <v>1960</v>
      </c>
      <c r="BE445" s="1" t="s">
        <v>1961</v>
      </c>
      <c r="BF445" s="1" t="s">
        <v>160</v>
      </c>
    </row>
    <row r="446" spans="1:58" ht="13" x14ac:dyDescent="0.15">
      <c r="A446" s="2">
        <v>44175.988194444442</v>
      </c>
      <c r="B446" s="2">
        <v>44175.989583333336</v>
      </c>
      <c r="C446" s="1" t="s">
        <v>39</v>
      </c>
      <c r="D446" s="1" t="s">
        <v>234</v>
      </c>
      <c r="E446" s="1">
        <v>100</v>
      </c>
      <c r="F446" s="1">
        <v>120</v>
      </c>
      <c r="G446" s="1" t="b">
        <v>1</v>
      </c>
      <c r="H446" s="2">
        <v>44175.989583333336</v>
      </c>
      <c r="I446" s="1" t="s">
        <v>1962</v>
      </c>
      <c r="N446" s="1">
        <v>34.048492430000003</v>
      </c>
      <c r="O446" s="1">
        <v>-118.2528992</v>
      </c>
      <c r="P446" s="1" t="s">
        <v>153</v>
      </c>
      <c r="Q446" s="1" t="s">
        <v>154</v>
      </c>
      <c r="R446" s="1" t="s">
        <v>236</v>
      </c>
      <c r="S446" s="1" t="s">
        <v>310</v>
      </c>
      <c r="T446" s="1" t="s">
        <v>176</v>
      </c>
      <c r="U446" s="1" t="s">
        <v>463</v>
      </c>
      <c r="V446" s="1" t="s">
        <v>160</v>
      </c>
      <c r="W446" s="1" t="s">
        <v>160</v>
      </c>
      <c r="X446" s="1" t="s">
        <v>160</v>
      </c>
      <c r="Y446" s="1" t="s">
        <v>160</v>
      </c>
      <c r="Z446" s="1" t="s">
        <v>160</v>
      </c>
      <c r="AA446" s="1" t="s">
        <v>160</v>
      </c>
      <c r="AB446" s="1" t="s">
        <v>160</v>
      </c>
      <c r="AC446" s="1" t="s">
        <v>160</v>
      </c>
      <c r="AD446" s="1" t="s">
        <v>160</v>
      </c>
      <c r="AE446" s="1" t="s">
        <v>160</v>
      </c>
      <c r="AF446" s="1" t="s">
        <v>160</v>
      </c>
      <c r="AG446" s="1" t="s">
        <v>160</v>
      </c>
      <c r="AI446" s="1" t="s">
        <v>160</v>
      </c>
      <c r="AJ446" s="1" t="s">
        <v>192</v>
      </c>
      <c r="AK446" s="1" t="s">
        <v>164</v>
      </c>
      <c r="AL446" s="1" t="s">
        <v>192</v>
      </c>
      <c r="AM446" s="1" t="s">
        <v>163</v>
      </c>
      <c r="AN446" s="1" t="s">
        <v>163</v>
      </c>
      <c r="AO446" s="1" t="s">
        <v>179</v>
      </c>
      <c r="AP446" s="1" t="s">
        <v>165</v>
      </c>
      <c r="AR446" s="1" t="s">
        <v>160</v>
      </c>
      <c r="AS446" s="1" t="s">
        <v>160</v>
      </c>
      <c r="AT446" s="1" t="s">
        <v>1963</v>
      </c>
      <c r="AU446" s="1" t="s">
        <v>159</v>
      </c>
      <c r="AV446" s="1" t="s">
        <v>159</v>
      </c>
      <c r="AW446" s="1" t="s">
        <v>159</v>
      </c>
      <c r="AX446" s="1" t="s">
        <v>159</v>
      </c>
      <c r="AY446" s="1" t="s">
        <v>160</v>
      </c>
      <c r="AZ446" s="1" t="s">
        <v>159</v>
      </c>
      <c r="BA446" s="1" t="s">
        <v>159</v>
      </c>
      <c r="BB446" s="1" t="s">
        <v>181</v>
      </c>
      <c r="BC446" s="1" t="s">
        <v>160</v>
      </c>
      <c r="BD446" s="1" t="s">
        <v>412</v>
      </c>
      <c r="BE446" s="1" t="s">
        <v>1964</v>
      </c>
      <c r="BF446" s="1" t="s">
        <v>160</v>
      </c>
    </row>
    <row r="447" spans="1:58" ht="13" x14ac:dyDescent="0.15">
      <c r="A447" s="2">
        <v>44175.990277777775</v>
      </c>
      <c r="B447" s="2">
        <v>44175.991666666669</v>
      </c>
      <c r="C447" s="1" t="s">
        <v>39</v>
      </c>
      <c r="D447" s="1" t="s">
        <v>234</v>
      </c>
      <c r="E447" s="1">
        <v>100</v>
      </c>
      <c r="F447" s="1">
        <v>126</v>
      </c>
      <c r="G447" s="1" t="b">
        <v>1</v>
      </c>
      <c r="H447" s="2">
        <v>44175.991666666669</v>
      </c>
      <c r="I447" s="1" t="s">
        <v>1965</v>
      </c>
      <c r="N447" s="1">
        <v>34.048492430000003</v>
      </c>
      <c r="O447" s="1">
        <v>-118.2528992</v>
      </c>
      <c r="P447" s="1" t="s">
        <v>153</v>
      </c>
      <c r="Q447" s="1" t="s">
        <v>154</v>
      </c>
      <c r="R447" s="1" t="s">
        <v>174</v>
      </c>
      <c r="S447" s="1" t="s">
        <v>310</v>
      </c>
      <c r="T447" s="1" t="s">
        <v>237</v>
      </c>
      <c r="U447" s="1" t="s">
        <v>730</v>
      </c>
      <c r="V447" s="1" t="s">
        <v>160</v>
      </c>
      <c r="W447" s="1" t="s">
        <v>160</v>
      </c>
      <c r="X447" s="1" t="s">
        <v>160</v>
      </c>
      <c r="Y447" s="1" t="s">
        <v>160</v>
      </c>
      <c r="Z447" s="1" t="s">
        <v>160</v>
      </c>
      <c r="AA447" s="1" t="s">
        <v>160</v>
      </c>
      <c r="AB447" s="1" t="s">
        <v>160</v>
      </c>
      <c r="AC447" s="1" t="s">
        <v>160</v>
      </c>
      <c r="AD447" s="1" t="s">
        <v>160</v>
      </c>
      <c r="AE447" s="1" t="s">
        <v>160</v>
      </c>
      <c r="AF447" s="1" t="s">
        <v>160</v>
      </c>
      <c r="AG447" s="1" t="s">
        <v>160</v>
      </c>
      <c r="AI447" s="1" t="s">
        <v>160</v>
      </c>
      <c r="AJ447" s="1" t="s">
        <v>198</v>
      </c>
      <c r="AK447" s="1" t="s">
        <v>198</v>
      </c>
      <c r="AL447" s="1" t="s">
        <v>198</v>
      </c>
      <c r="AM447" s="1" t="s">
        <v>163</v>
      </c>
      <c r="AN447" s="1" t="s">
        <v>198</v>
      </c>
      <c r="AO447" s="1" t="s">
        <v>179</v>
      </c>
      <c r="AP447" s="1" t="s">
        <v>165</v>
      </c>
      <c r="AR447" s="1" t="s">
        <v>160</v>
      </c>
      <c r="AS447" s="1" t="s">
        <v>160</v>
      </c>
      <c r="AT447" s="1" t="s">
        <v>166</v>
      </c>
      <c r="AU447" s="1" t="s">
        <v>159</v>
      </c>
      <c r="AV447" s="1" t="s">
        <v>159</v>
      </c>
      <c r="AW447" s="1" t="s">
        <v>160</v>
      </c>
      <c r="AX447" s="1" t="s">
        <v>160</v>
      </c>
      <c r="AY447" s="1" t="s">
        <v>159</v>
      </c>
      <c r="AZ447" s="1" t="s">
        <v>159</v>
      </c>
      <c r="BA447" s="1" t="s">
        <v>159</v>
      </c>
      <c r="BB447" s="1" t="s">
        <v>222</v>
      </c>
      <c r="BC447" s="1" t="s">
        <v>160</v>
      </c>
      <c r="BD447" s="1" t="s">
        <v>266</v>
      </c>
      <c r="BE447" s="1" t="s">
        <v>1966</v>
      </c>
      <c r="BF447" s="1" t="s">
        <v>160</v>
      </c>
    </row>
    <row r="448" spans="1:58" ht="13" x14ac:dyDescent="0.15">
      <c r="A448" s="2">
        <v>44175.991666666669</v>
      </c>
      <c r="B448" s="2">
        <v>44175.993055555555</v>
      </c>
      <c r="C448" s="1" t="s">
        <v>39</v>
      </c>
      <c r="D448" s="1" t="s">
        <v>234</v>
      </c>
      <c r="E448" s="1">
        <v>100</v>
      </c>
      <c r="F448" s="1">
        <v>125</v>
      </c>
      <c r="G448" s="1" t="b">
        <v>1</v>
      </c>
      <c r="H448" s="2">
        <v>44175.993055555555</v>
      </c>
      <c r="I448" s="1" t="s">
        <v>1967</v>
      </c>
      <c r="N448" s="1">
        <v>34.048492430000003</v>
      </c>
      <c r="O448" s="1">
        <v>-118.2528992</v>
      </c>
      <c r="P448" s="1" t="s">
        <v>153</v>
      </c>
      <c r="Q448" s="1" t="s">
        <v>154</v>
      </c>
      <c r="R448" s="1" t="s">
        <v>236</v>
      </c>
      <c r="S448" s="1" t="s">
        <v>274</v>
      </c>
      <c r="T448" s="1" t="s">
        <v>176</v>
      </c>
      <c r="U448" s="1" t="s">
        <v>427</v>
      </c>
      <c r="V448" s="1" t="s">
        <v>160</v>
      </c>
      <c r="W448" s="1" t="s">
        <v>160</v>
      </c>
      <c r="X448" s="1" t="s">
        <v>160</v>
      </c>
      <c r="Y448" s="1" t="s">
        <v>160</v>
      </c>
      <c r="Z448" s="1" t="s">
        <v>160</v>
      </c>
      <c r="AA448" s="1" t="s">
        <v>160</v>
      </c>
      <c r="AB448" s="1" t="s">
        <v>160</v>
      </c>
      <c r="AC448" s="1" t="s">
        <v>160</v>
      </c>
      <c r="AD448" s="1" t="s">
        <v>160</v>
      </c>
      <c r="AE448" s="1" t="s">
        <v>160</v>
      </c>
      <c r="AF448" s="1" t="s">
        <v>160</v>
      </c>
      <c r="AG448" s="1" t="s">
        <v>160</v>
      </c>
      <c r="AI448" s="1" t="s">
        <v>160</v>
      </c>
      <c r="AJ448" s="1" t="s">
        <v>164</v>
      </c>
      <c r="AK448" s="1" t="s">
        <v>164</v>
      </c>
      <c r="AL448" s="1" t="s">
        <v>163</v>
      </c>
      <c r="AM448" s="1" t="s">
        <v>163</v>
      </c>
      <c r="AN448" s="1" t="s">
        <v>192</v>
      </c>
      <c r="AO448" s="1" t="s">
        <v>179</v>
      </c>
      <c r="AP448" s="1" t="s">
        <v>239</v>
      </c>
      <c r="AR448" s="1" t="s">
        <v>160</v>
      </c>
      <c r="AS448" s="1" t="s">
        <v>160</v>
      </c>
      <c r="AT448" s="1" t="s">
        <v>605</v>
      </c>
      <c r="AU448" s="1" t="s">
        <v>159</v>
      </c>
      <c r="AV448" s="1" t="s">
        <v>159</v>
      </c>
      <c r="AW448" s="1" t="s">
        <v>160</v>
      </c>
      <c r="AX448" s="1" t="s">
        <v>159</v>
      </c>
      <c r="AY448" s="1" t="s">
        <v>159</v>
      </c>
      <c r="AZ448" s="1" t="s">
        <v>160</v>
      </c>
      <c r="BA448" s="1" t="s">
        <v>159</v>
      </c>
      <c r="BB448" s="1" t="s">
        <v>167</v>
      </c>
      <c r="BC448" s="1" t="s">
        <v>160</v>
      </c>
      <c r="BD448" s="1" t="s">
        <v>1968</v>
      </c>
      <c r="BE448" s="1" t="s">
        <v>1969</v>
      </c>
      <c r="BF448" s="1" t="s">
        <v>160</v>
      </c>
    </row>
    <row r="449" spans="1:58" ht="13" x14ac:dyDescent="0.15">
      <c r="A449" s="2">
        <v>44175.993750000001</v>
      </c>
      <c r="B449" s="2">
        <v>44175.995138888888</v>
      </c>
      <c r="C449" s="1" t="s">
        <v>39</v>
      </c>
      <c r="D449" s="1" t="s">
        <v>234</v>
      </c>
      <c r="E449" s="1">
        <v>100</v>
      </c>
      <c r="F449" s="1">
        <v>120</v>
      </c>
      <c r="G449" s="1" t="b">
        <v>1</v>
      </c>
      <c r="H449" s="2">
        <v>44175.995138888888</v>
      </c>
      <c r="I449" s="1" t="s">
        <v>1970</v>
      </c>
      <c r="N449" s="1">
        <v>34.048492430000003</v>
      </c>
      <c r="O449" s="1">
        <v>-118.2528992</v>
      </c>
      <c r="P449" s="1" t="s">
        <v>153</v>
      </c>
      <c r="Q449" s="1" t="s">
        <v>154</v>
      </c>
      <c r="R449" s="1" t="s">
        <v>174</v>
      </c>
      <c r="S449" s="1" t="s">
        <v>274</v>
      </c>
      <c r="T449" s="1" t="s">
        <v>176</v>
      </c>
      <c r="U449" s="1" t="s">
        <v>1971</v>
      </c>
      <c r="V449" s="1" t="s">
        <v>160</v>
      </c>
      <c r="W449" s="1" t="s">
        <v>160</v>
      </c>
      <c r="X449" s="1" t="s">
        <v>160</v>
      </c>
      <c r="Y449" s="1" t="s">
        <v>160</v>
      </c>
      <c r="Z449" s="1" t="s">
        <v>160</v>
      </c>
      <c r="AA449" s="1" t="s">
        <v>160</v>
      </c>
      <c r="AB449" s="1" t="s">
        <v>160</v>
      </c>
      <c r="AC449" s="1" t="s">
        <v>160</v>
      </c>
      <c r="AD449" s="1" t="s">
        <v>160</v>
      </c>
      <c r="AE449" s="1" t="s">
        <v>160</v>
      </c>
      <c r="AF449" s="1" t="s">
        <v>160</v>
      </c>
      <c r="AG449" s="1" t="s">
        <v>160</v>
      </c>
      <c r="AI449" s="1" t="s">
        <v>160</v>
      </c>
      <c r="AJ449" s="1" t="s">
        <v>164</v>
      </c>
      <c r="AK449" s="1" t="s">
        <v>163</v>
      </c>
      <c r="AL449" s="1" t="s">
        <v>198</v>
      </c>
      <c r="AM449" s="1" t="s">
        <v>164</v>
      </c>
      <c r="AN449" s="1" t="s">
        <v>192</v>
      </c>
      <c r="AO449" s="1" t="s">
        <v>179</v>
      </c>
      <c r="AP449" s="1" t="s">
        <v>239</v>
      </c>
      <c r="AR449" s="1" t="s">
        <v>160</v>
      </c>
      <c r="AS449" s="1" t="s">
        <v>160</v>
      </c>
      <c r="AT449" s="1" t="s">
        <v>1530</v>
      </c>
      <c r="AU449" s="1" t="s">
        <v>159</v>
      </c>
      <c r="AV449" s="1" t="s">
        <v>160</v>
      </c>
      <c r="AW449" s="1" t="s">
        <v>160</v>
      </c>
      <c r="AX449" s="1" t="s">
        <v>159</v>
      </c>
      <c r="AY449" s="1" t="s">
        <v>160</v>
      </c>
      <c r="AZ449" s="1" t="s">
        <v>159</v>
      </c>
      <c r="BA449" s="1" t="s">
        <v>159</v>
      </c>
      <c r="BB449" s="1" t="s">
        <v>181</v>
      </c>
      <c r="BC449" s="1" t="s">
        <v>160</v>
      </c>
      <c r="BD449" s="1" t="s">
        <v>1972</v>
      </c>
      <c r="BE449" s="1" t="s">
        <v>1973</v>
      </c>
      <c r="BF449" s="1" t="s">
        <v>160</v>
      </c>
    </row>
    <row r="450" spans="1:58" ht="13" x14ac:dyDescent="0.15">
      <c r="A450" s="2">
        <v>44175.995138888888</v>
      </c>
      <c r="B450" s="2">
        <v>44175.996527777781</v>
      </c>
      <c r="C450" s="1" t="s">
        <v>39</v>
      </c>
      <c r="D450" s="1" t="s">
        <v>234</v>
      </c>
      <c r="E450" s="1">
        <v>100</v>
      </c>
      <c r="F450" s="1">
        <v>121</v>
      </c>
      <c r="G450" s="1" t="b">
        <v>1</v>
      </c>
      <c r="H450" s="2">
        <v>44175.996527777781</v>
      </c>
      <c r="I450" s="1" t="s">
        <v>1974</v>
      </c>
      <c r="N450" s="1">
        <v>34.048492430000003</v>
      </c>
      <c r="O450" s="1">
        <v>-118.2528992</v>
      </c>
      <c r="P450" s="1" t="s">
        <v>153</v>
      </c>
      <c r="Q450" s="1" t="s">
        <v>154</v>
      </c>
      <c r="R450" s="1" t="s">
        <v>155</v>
      </c>
      <c r="S450" s="1" t="s">
        <v>226</v>
      </c>
      <c r="T450" s="1" t="s">
        <v>176</v>
      </c>
      <c r="U450" s="1" t="s">
        <v>1975</v>
      </c>
      <c r="V450" s="1" t="s">
        <v>160</v>
      </c>
      <c r="W450" s="1" t="s">
        <v>160</v>
      </c>
      <c r="X450" s="1" t="s">
        <v>160</v>
      </c>
      <c r="Y450" s="1" t="s">
        <v>160</v>
      </c>
      <c r="Z450" s="1" t="s">
        <v>160</v>
      </c>
      <c r="AA450" s="1" t="s">
        <v>160</v>
      </c>
      <c r="AB450" s="1" t="s">
        <v>160</v>
      </c>
      <c r="AC450" s="1" t="s">
        <v>160</v>
      </c>
      <c r="AD450" s="1" t="s">
        <v>160</v>
      </c>
      <c r="AE450" s="1" t="s">
        <v>160</v>
      </c>
      <c r="AF450" s="1" t="s">
        <v>160</v>
      </c>
      <c r="AG450" s="1" t="s">
        <v>160</v>
      </c>
      <c r="AI450" s="1" t="s">
        <v>160</v>
      </c>
      <c r="AJ450" s="1" t="s">
        <v>163</v>
      </c>
      <c r="AK450" s="1" t="s">
        <v>164</v>
      </c>
      <c r="AL450" s="1" t="s">
        <v>198</v>
      </c>
      <c r="AM450" s="1" t="s">
        <v>163</v>
      </c>
      <c r="AN450" s="1" t="s">
        <v>163</v>
      </c>
      <c r="AO450" s="1" t="s">
        <v>179</v>
      </c>
      <c r="AP450" s="1" t="s">
        <v>239</v>
      </c>
      <c r="AR450" s="1" t="s">
        <v>160</v>
      </c>
      <c r="AS450" s="1" t="s">
        <v>160</v>
      </c>
      <c r="AT450" s="1" t="s">
        <v>1976</v>
      </c>
      <c r="AU450" s="1" t="s">
        <v>159</v>
      </c>
      <c r="AV450" s="1" t="s">
        <v>160</v>
      </c>
      <c r="AW450" s="1" t="s">
        <v>159</v>
      </c>
      <c r="AX450" s="1" t="s">
        <v>159</v>
      </c>
      <c r="AY450" s="1" t="s">
        <v>160</v>
      </c>
      <c r="AZ450" s="1" t="s">
        <v>159</v>
      </c>
      <c r="BA450" s="1" t="s">
        <v>159</v>
      </c>
      <c r="BB450" s="1" t="s">
        <v>181</v>
      </c>
      <c r="BC450" s="1" t="s">
        <v>160</v>
      </c>
      <c r="BD450" s="1" t="s">
        <v>323</v>
      </c>
      <c r="BE450" s="1" t="s">
        <v>1977</v>
      </c>
      <c r="BF450" s="1" t="s">
        <v>160</v>
      </c>
    </row>
    <row r="451" spans="1:58" ht="13" x14ac:dyDescent="0.15">
      <c r="A451" s="2">
        <v>44175.99722222222</v>
      </c>
      <c r="B451" s="2">
        <v>44175.997916666667</v>
      </c>
      <c r="C451" s="1" t="s">
        <v>39</v>
      </c>
      <c r="D451" s="1" t="s">
        <v>234</v>
      </c>
      <c r="E451" s="1">
        <v>100</v>
      </c>
      <c r="F451" s="1">
        <v>113</v>
      </c>
      <c r="G451" s="1" t="b">
        <v>1</v>
      </c>
      <c r="H451" s="2">
        <v>44175.997916666667</v>
      </c>
      <c r="I451" s="1" t="s">
        <v>1978</v>
      </c>
      <c r="N451" s="1">
        <v>34.048492430000003</v>
      </c>
      <c r="O451" s="1">
        <v>-118.2528992</v>
      </c>
      <c r="P451" s="1" t="s">
        <v>153</v>
      </c>
      <c r="Q451" s="1" t="s">
        <v>154</v>
      </c>
      <c r="R451" s="1" t="s">
        <v>174</v>
      </c>
      <c r="S451" s="1" t="s">
        <v>226</v>
      </c>
      <c r="T451" s="1" t="s">
        <v>157</v>
      </c>
      <c r="U451" s="1" t="s">
        <v>716</v>
      </c>
      <c r="V451" s="1" t="s">
        <v>160</v>
      </c>
      <c r="W451" s="1" t="s">
        <v>160</v>
      </c>
      <c r="X451" s="1" t="s">
        <v>160</v>
      </c>
      <c r="Y451" s="1" t="s">
        <v>160</v>
      </c>
      <c r="Z451" s="1" t="s">
        <v>160</v>
      </c>
      <c r="AA451" s="1" t="s">
        <v>160</v>
      </c>
      <c r="AB451" s="1" t="s">
        <v>160</v>
      </c>
      <c r="AC451" s="1" t="s">
        <v>160</v>
      </c>
      <c r="AD451" s="1" t="s">
        <v>160</v>
      </c>
      <c r="AE451" s="1" t="s">
        <v>160</v>
      </c>
      <c r="AF451" s="1" t="s">
        <v>160</v>
      </c>
      <c r="AG451" s="1" t="s">
        <v>160</v>
      </c>
      <c r="AI451" s="1" t="s">
        <v>160</v>
      </c>
      <c r="AJ451" s="1" t="s">
        <v>198</v>
      </c>
      <c r="AK451" s="1" t="s">
        <v>198</v>
      </c>
      <c r="AL451" s="1" t="s">
        <v>163</v>
      </c>
      <c r="AM451" s="1" t="s">
        <v>164</v>
      </c>
      <c r="AN451" s="1" t="s">
        <v>163</v>
      </c>
      <c r="AO451" s="1" t="s">
        <v>179</v>
      </c>
      <c r="AP451" s="1" t="s">
        <v>165</v>
      </c>
      <c r="AR451" s="1" t="s">
        <v>160</v>
      </c>
      <c r="AS451" s="1" t="s">
        <v>160</v>
      </c>
      <c r="AT451" s="1" t="s">
        <v>322</v>
      </c>
      <c r="AU451" s="1" t="s">
        <v>159</v>
      </c>
      <c r="AV451" s="1" t="s">
        <v>159</v>
      </c>
      <c r="AW451" s="1" t="s">
        <v>160</v>
      </c>
      <c r="AX451" s="1" t="s">
        <v>160</v>
      </c>
      <c r="AY451" s="1" t="s">
        <v>159</v>
      </c>
      <c r="AZ451" s="1" t="s">
        <v>160</v>
      </c>
      <c r="BA451" s="1" t="s">
        <v>159</v>
      </c>
      <c r="BB451" s="1" t="s">
        <v>167</v>
      </c>
      <c r="BC451" s="1" t="s">
        <v>160</v>
      </c>
      <c r="BD451" s="1" t="s">
        <v>442</v>
      </c>
      <c r="BE451" s="1" t="s">
        <v>1979</v>
      </c>
      <c r="BF451" s="1" t="s">
        <v>160</v>
      </c>
    </row>
    <row r="452" spans="1:58" ht="13" x14ac:dyDescent="0.15">
      <c r="A452" s="2">
        <v>44175.998611111114</v>
      </c>
      <c r="B452" s="2">
        <v>44176</v>
      </c>
      <c r="C452" s="1" t="s">
        <v>39</v>
      </c>
      <c r="D452" s="1" t="s">
        <v>234</v>
      </c>
      <c r="E452" s="1">
        <v>100</v>
      </c>
      <c r="F452" s="1">
        <v>121</v>
      </c>
      <c r="G452" s="1" t="b">
        <v>1</v>
      </c>
      <c r="H452" s="2">
        <v>44176</v>
      </c>
      <c r="I452" s="1" t="s">
        <v>1980</v>
      </c>
      <c r="N452" s="1">
        <v>34.048492430000003</v>
      </c>
      <c r="O452" s="1">
        <v>-118.2528992</v>
      </c>
      <c r="P452" s="1" t="s">
        <v>153</v>
      </c>
      <c r="Q452" s="1" t="s">
        <v>154</v>
      </c>
      <c r="R452" s="1" t="s">
        <v>155</v>
      </c>
      <c r="S452" s="1" t="s">
        <v>310</v>
      </c>
      <c r="T452" s="1" t="s">
        <v>263</v>
      </c>
      <c r="U452" s="1" t="s">
        <v>1981</v>
      </c>
      <c r="V452" s="1" t="s">
        <v>160</v>
      </c>
      <c r="W452" s="1" t="s">
        <v>160</v>
      </c>
      <c r="X452" s="1" t="s">
        <v>160</v>
      </c>
      <c r="Y452" s="1" t="s">
        <v>160</v>
      </c>
      <c r="Z452" s="1" t="s">
        <v>160</v>
      </c>
      <c r="AA452" s="1" t="s">
        <v>160</v>
      </c>
      <c r="AB452" s="1" t="s">
        <v>160</v>
      </c>
      <c r="AC452" s="1" t="s">
        <v>160</v>
      </c>
      <c r="AD452" s="1" t="s">
        <v>160</v>
      </c>
      <c r="AE452" s="1" t="s">
        <v>160</v>
      </c>
      <c r="AF452" s="1" t="s">
        <v>160</v>
      </c>
      <c r="AG452" s="1" t="s">
        <v>160</v>
      </c>
      <c r="AI452" s="1" t="s">
        <v>160</v>
      </c>
      <c r="AJ452" s="1" t="s">
        <v>198</v>
      </c>
      <c r="AK452" s="1" t="s">
        <v>192</v>
      </c>
      <c r="AL452" s="1" t="s">
        <v>198</v>
      </c>
      <c r="AM452" s="1" t="s">
        <v>164</v>
      </c>
      <c r="AN452" s="1" t="s">
        <v>198</v>
      </c>
      <c r="AO452" s="1" t="s">
        <v>179</v>
      </c>
      <c r="AP452" s="1" t="s">
        <v>239</v>
      </c>
      <c r="AR452" s="1" t="s">
        <v>160</v>
      </c>
      <c r="AS452" s="1" t="s">
        <v>160</v>
      </c>
      <c r="AT452" s="1" t="s">
        <v>881</v>
      </c>
      <c r="AU452" s="1" t="s">
        <v>160</v>
      </c>
      <c r="AV452" s="1" t="s">
        <v>159</v>
      </c>
      <c r="AW452" s="1" t="s">
        <v>159</v>
      </c>
      <c r="AX452" s="1" t="s">
        <v>159</v>
      </c>
      <c r="AY452" s="1" t="s">
        <v>160</v>
      </c>
      <c r="AZ452" s="1" t="s">
        <v>160</v>
      </c>
      <c r="BA452" s="1" t="s">
        <v>160</v>
      </c>
      <c r="BB452" s="1" t="s">
        <v>167</v>
      </c>
      <c r="BC452" s="1" t="s">
        <v>160</v>
      </c>
      <c r="BD452" s="1" t="s">
        <v>1982</v>
      </c>
      <c r="BE452" s="1" t="s">
        <v>1983</v>
      </c>
      <c r="BF452" s="1" t="s">
        <v>160</v>
      </c>
    </row>
    <row r="453" spans="1:58" ht="13" x14ac:dyDescent="0.15">
      <c r="A453" s="2">
        <v>44176</v>
      </c>
      <c r="B453" s="2">
        <v>44176.001388888886</v>
      </c>
      <c r="C453" s="1" t="s">
        <v>39</v>
      </c>
      <c r="D453" s="1" t="s">
        <v>234</v>
      </c>
      <c r="E453" s="1">
        <v>100</v>
      </c>
      <c r="F453" s="1">
        <v>119</v>
      </c>
      <c r="G453" s="1" t="b">
        <v>1</v>
      </c>
      <c r="H453" s="2">
        <v>44176.001388888886</v>
      </c>
      <c r="I453" s="1" t="s">
        <v>1984</v>
      </c>
      <c r="N453" s="1">
        <v>34.048492430000003</v>
      </c>
      <c r="O453" s="1">
        <v>-118.2528992</v>
      </c>
      <c r="P453" s="1" t="s">
        <v>153</v>
      </c>
      <c r="Q453" s="1" t="s">
        <v>154</v>
      </c>
      <c r="R453" s="1" t="s">
        <v>174</v>
      </c>
      <c r="S453" s="1" t="s">
        <v>226</v>
      </c>
      <c r="T453" s="1" t="s">
        <v>237</v>
      </c>
      <c r="U453" s="1" t="s">
        <v>976</v>
      </c>
      <c r="V453" s="1" t="s">
        <v>160</v>
      </c>
      <c r="W453" s="1" t="s">
        <v>160</v>
      </c>
      <c r="X453" s="1" t="s">
        <v>160</v>
      </c>
      <c r="Y453" s="1" t="s">
        <v>160</v>
      </c>
      <c r="Z453" s="1" t="s">
        <v>160</v>
      </c>
      <c r="AA453" s="1" t="s">
        <v>160</v>
      </c>
      <c r="AB453" s="1" t="s">
        <v>160</v>
      </c>
      <c r="AC453" s="1" t="s">
        <v>160</v>
      </c>
      <c r="AD453" s="1" t="s">
        <v>160</v>
      </c>
      <c r="AE453" s="1" t="s">
        <v>160</v>
      </c>
      <c r="AF453" s="1" t="s">
        <v>160</v>
      </c>
      <c r="AG453" s="1" t="s">
        <v>160</v>
      </c>
      <c r="AI453" s="1" t="s">
        <v>160</v>
      </c>
      <c r="AJ453" s="1" t="s">
        <v>163</v>
      </c>
      <c r="AK453" s="1" t="s">
        <v>198</v>
      </c>
      <c r="AL453" s="1" t="s">
        <v>163</v>
      </c>
      <c r="AM453" s="1" t="s">
        <v>163</v>
      </c>
      <c r="AN453" s="1" t="s">
        <v>163</v>
      </c>
      <c r="AO453" s="1" t="s">
        <v>179</v>
      </c>
      <c r="AP453" s="1" t="s">
        <v>165</v>
      </c>
      <c r="AR453" s="1" t="s">
        <v>160</v>
      </c>
      <c r="AS453" s="1" t="s">
        <v>160</v>
      </c>
      <c r="AT453" s="1" t="s">
        <v>1985</v>
      </c>
      <c r="AU453" s="1" t="s">
        <v>159</v>
      </c>
      <c r="AV453" s="1" t="s">
        <v>160</v>
      </c>
      <c r="AW453" s="1" t="s">
        <v>159</v>
      </c>
      <c r="AX453" s="1" t="s">
        <v>160</v>
      </c>
      <c r="AY453" s="1" t="s">
        <v>159</v>
      </c>
      <c r="AZ453" s="1" t="s">
        <v>160</v>
      </c>
      <c r="BA453" s="1" t="s">
        <v>159</v>
      </c>
      <c r="BB453" s="1" t="s">
        <v>241</v>
      </c>
      <c r="BC453" s="1" t="s">
        <v>160</v>
      </c>
      <c r="BD453" s="1" t="s">
        <v>1986</v>
      </c>
      <c r="BE453" s="1" t="s">
        <v>1987</v>
      </c>
      <c r="BF453" s="1" t="s">
        <v>160</v>
      </c>
    </row>
    <row r="454" spans="1:58" ht="13" x14ac:dyDescent="0.15">
      <c r="A454" s="2">
        <v>44176.002083333333</v>
      </c>
      <c r="B454" s="2">
        <v>44176.003472222219</v>
      </c>
      <c r="C454" s="1" t="s">
        <v>39</v>
      </c>
      <c r="D454" s="1" t="s">
        <v>234</v>
      </c>
      <c r="E454" s="1">
        <v>100</v>
      </c>
      <c r="F454" s="1">
        <v>120</v>
      </c>
      <c r="G454" s="1" t="b">
        <v>1</v>
      </c>
      <c r="H454" s="2">
        <v>44176.003472222219</v>
      </c>
      <c r="I454" s="1" t="s">
        <v>1988</v>
      </c>
      <c r="N454" s="1">
        <v>34.048492430000003</v>
      </c>
      <c r="O454" s="1">
        <v>-118.2528992</v>
      </c>
      <c r="P454" s="1" t="s">
        <v>153</v>
      </c>
      <c r="Q454" s="1" t="s">
        <v>154</v>
      </c>
      <c r="R454" s="1" t="s">
        <v>155</v>
      </c>
      <c r="S454" s="1" t="s">
        <v>226</v>
      </c>
      <c r="T454" s="1" t="s">
        <v>237</v>
      </c>
      <c r="U454" s="1" t="s">
        <v>1989</v>
      </c>
      <c r="V454" s="1" t="s">
        <v>160</v>
      </c>
      <c r="W454" s="1" t="s">
        <v>160</v>
      </c>
      <c r="X454" s="1" t="s">
        <v>160</v>
      </c>
      <c r="Y454" s="1" t="s">
        <v>160</v>
      </c>
      <c r="Z454" s="1" t="s">
        <v>160</v>
      </c>
      <c r="AA454" s="1" t="s">
        <v>160</v>
      </c>
      <c r="AB454" s="1" t="s">
        <v>160</v>
      </c>
      <c r="AC454" s="1" t="s">
        <v>160</v>
      </c>
      <c r="AD454" s="1" t="s">
        <v>160</v>
      </c>
      <c r="AE454" s="1" t="s">
        <v>160</v>
      </c>
      <c r="AF454" s="1" t="s">
        <v>160</v>
      </c>
      <c r="AG454" s="1" t="s">
        <v>160</v>
      </c>
      <c r="AI454" s="1" t="s">
        <v>160</v>
      </c>
      <c r="AJ454" s="1" t="s">
        <v>164</v>
      </c>
      <c r="AK454" s="1" t="s">
        <v>163</v>
      </c>
      <c r="AL454" s="1" t="s">
        <v>163</v>
      </c>
      <c r="AM454" s="1" t="s">
        <v>164</v>
      </c>
      <c r="AN454" s="1" t="s">
        <v>192</v>
      </c>
      <c r="AO454" s="1" t="s">
        <v>179</v>
      </c>
      <c r="AP454" s="1" t="s">
        <v>179</v>
      </c>
      <c r="AR454" s="1" t="s">
        <v>160</v>
      </c>
      <c r="AS454" s="1" t="s">
        <v>160</v>
      </c>
      <c r="AT454" s="1" t="s">
        <v>322</v>
      </c>
      <c r="AU454" s="1" t="s">
        <v>160</v>
      </c>
      <c r="AV454" s="1" t="s">
        <v>160</v>
      </c>
      <c r="AW454" s="1" t="s">
        <v>160</v>
      </c>
      <c r="AX454" s="1" t="s">
        <v>159</v>
      </c>
      <c r="AY454" s="1" t="s">
        <v>159</v>
      </c>
      <c r="AZ454" s="1" t="s">
        <v>159</v>
      </c>
      <c r="BA454" s="1" t="s">
        <v>159</v>
      </c>
      <c r="BB454" s="1" t="s">
        <v>241</v>
      </c>
      <c r="BC454" s="1" t="s">
        <v>160</v>
      </c>
      <c r="BD454" s="1" t="s">
        <v>1990</v>
      </c>
      <c r="BE454" s="1" t="s">
        <v>1991</v>
      </c>
      <c r="BF454" s="1" t="s">
        <v>160</v>
      </c>
    </row>
    <row r="455" spans="1:58" ht="13" x14ac:dyDescent="0.15">
      <c r="A455" s="2">
        <v>44176.003472222219</v>
      </c>
      <c r="B455" s="2">
        <v>44176.004861111112</v>
      </c>
      <c r="C455" s="1" t="s">
        <v>39</v>
      </c>
      <c r="D455" s="1" t="s">
        <v>234</v>
      </c>
      <c r="E455" s="1">
        <v>100</v>
      </c>
      <c r="F455" s="1">
        <v>119</v>
      </c>
      <c r="G455" s="1" t="b">
        <v>1</v>
      </c>
      <c r="H455" s="2">
        <v>44176.004861111112</v>
      </c>
      <c r="I455" s="1" t="s">
        <v>1992</v>
      </c>
      <c r="N455" s="1">
        <v>34.048492430000003</v>
      </c>
      <c r="O455" s="1">
        <v>-118.2528992</v>
      </c>
      <c r="P455" s="1" t="s">
        <v>153</v>
      </c>
      <c r="Q455" s="1" t="s">
        <v>154</v>
      </c>
      <c r="R455" s="1" t="s">
        <v>236</v>
      </c>
      <c r="S455" s="1" t="s">
        <v>175</v>
      </c>
      <c r="T455" s="1" t="s">
        <v>263</v>
      </c>
      <c r="U455" s="1" t="s">
        <v>1993</v>
      </c>
      <c r="V455" s="1" t="s">
        <v>160</v>
      </c>
      <c r="W455" s="1" t="s">
        <v>160</v>
      </c>
      <c r="X455" s="1" t="s">
        <v>160</v>
      </c>
      <c r="Y455" s="1" t="s">
        <v>160</v>
      </c>
      <c r="Z455" s="1" t="s">
        <v>160</v>
      </c>
      <c r="AA455" s="1" t="s">
        <v>160</v>
      </c>
      <c r="AB455" s="1" t="s">
        <v>160</v>
      </c>
      <c r="AC455" s="1" t="s">
        <v>160</v>
      </c>
      <c r="AD455" s="1" t="s">
        <v>160</v>
      </c>
      <c r="AE455" s="1" t="s">
        <v>160</v>
      </c>
      <c r="AF455" s="1" t="s">
        <v>160</v>
      </c>
      <c r="AG455" s="1" t="s">
        <v>160</v>
      </c>
      <c r="AI455" s="1" t="s">
        <v>160</v>
      </c>
      <c r="AJ455" s="1" t="s">
        <v>192</v>
      </c>
      <c r="AK455" s="1" t="s">
        <v>198</v>
      </c>
      <c r="AL455" s="1" t="s">
        <v>198</v>
      </c>
      <c r="AM455" s="1" t="s">
        <v>163</v>
      </c>
      <c r="AN455" s="1" t="s">
        <v>164</v>
      </c>
      <c r="AO455" s="1" t="s">
        <v>179</v>
      </c>
      <c r="AP455" s="1" t="s">
        <v>165</v>
      </c>
      <c r="AR455" s="1" t="s">
        <v>160</v>
      </c>
      <c r="AS455" s="1" t="s">
        <v>160</v>
      </c>
      <c r="AT455" s="1" t="s">
        <v>1994</v>
      </c>
      <c r="AU455" s="1" t="s">
        <v>159</v>
      </c>
      <c r="AV455" s="1" t="s">
        <v>159</v>
      </c>
      <c r="AW455" s="1" t="s">
        <v>159</v>
      </c>
      <c r="AX455" s="1" t="s">
        <v>159</v>
      </c>
      <c r="AY455" s="1" t="s">
        <v>160</v>
      </c>
      <c r="AZ455" s="1" t="s">
        <v>159</v>
      </c>
      <c r="BA455" s="1" t="s">
        <v>160</v>
      </c>
      <c r="BB455" s="1" t="s">
        <v>167</v>
      </c>
      <c r="BC455" s="1" t="s">
        <v>160</v>
      </c>
      <c r="BD455" s="1" t="s">
        <v>1995</v>
      </c>
      <c r="BE455" s="1" t="s">
        <v>1996</v>
      </c>
      <c r="BF455" s="1" t="s">
        <v>160</v>
      </c>
    </row>
    <row r="456" spans="1:58" ht="13" x14ac:dyDescent="0.15">
      <c r="A456" s="2">
        <v>44176.005555555559</v>
      </c>
      <c r="B456" s="2">
        <v>44176.006944444445</v>
      </c>
      <c r="C456" s="1" t="s">
        <v>39</v>
      </c>
      <c r="D456" s="1" t="s">
        <v>234</v>
      </c>
      <c r="E456" s="1">
        <v>100</v>
      </c>
      <c r="F456" s="1">
        <v>121</v>
      </c>
      <c r="G456" s="1" t="b">
        <v>1</v>
      </c>
      <c r="H456" s="2">
        <v>44176.006944444445</v>
      </c>
      <c r="I456" s="1" t="s">
        <v>1997</v>
      </c>
      <c r="N456" s="1">
        <v>34.048492430000003</v>
      </c>
      <c r="O456" s="1">
        <v>-118.2528992</v>
      </c>
      <c r="P456" s="1" t="s">
        <v>153</v>
      </c>
      <c r="Q456" s="1" t="s">
        <v>154</v>
      </c>
      <c r="R456" s="1" t="s">
        <v>155</v>
      </c>
      <c r="S456" s="1" t="s">
        <v>310</v>
      </c>
      <c r="T456" s="1" t="s">
        <v>263</v>
      </c>
      <c r="U456" s="1" t="s">
        <v>557</v>
      </c>
      <c r="V456" s="1" t="s">
        <v>160</v>
      </c>
      <c r="W456" s="1" t="s">
        <v>160</v>
      </c>
      <c r="X456" s="1" t="s">
        <v>160</v>
      </c>
      <c r="Y456" s="1" t="s">
        <v>160</v>
      </c>
      <c r="Z456" s="1" t="s">
        <v>160</v>
      </c>
      <c r="AA456" s="1" t="s">
        <v>160</v>
      </c>
      <c r="AB456" s="1" t="s">
        <v>160</v>
      </c>
      <c r="AC456" s="1" t="s">
        <v>160</v>
      </c>
      <c r="AD456" s="1" t="s">
        <v>160</v>
      </c>
      <c r="AE456" s="1" t="s">
        <v>160</v>
      </c>
      <c r="AF456" s="1" t="s">
        <v>160</v>
      </c>
      <c r="AG456" s="1" t="s">
        <v>160</v>
      </c>
      <c r="AI456" s="1" t="s">
        <v>160</v>
      </c>
      <c r="AJ456" s="1" t="s">
        <v>192</v>
      </c>
      <c r="AK456" s="1" t="s">
        <v>192</v>
      </c>
      <c r="AL456" s="1" t="s">
        <v>163</v>
      </c>
      <c r="AM456" s="1" t="s">
        <v>163</v>
      </c>
      <c r="AN456" s="1" t="s">
        <v>164</v>
      </c>
      <c r="AO456" s="1" t="s">
        <v>179</v>
      </c>
      <c r="AP456" s="1" t="s">
        <v>239</v>
      </c>
      <c r="AR456" s="1" t="s">
        <v>160</v>
      </c>
      <c r="AS456" s="1" t="s">
        <v>160</v>
      </c>
      <c r="AT456" s="1" t="s">
        <v>1998</v>
      </c>
      <c r="AU456" s="1" t="s">
        <v>160</v>
      </c>
      <c r="AV456" s="1" t="s">
        <v>159</v>
      </c>
      <c r="AW456" s="1" t="s">
        <v>160</v>
      </c>
      <c r="AX456" s="1" t="s">
        <v>159</v>
      </c>
      <c r="AY456" s="1" t="s">
        <v>159</v>
      </c>
      <c r="AZ456" s="1" t="s">
        <v>159</v>
      </c>
      <c r="BA456" s="1" t="s">
        <v>160</v>
      </c>
      <c r="BB456" s="1" t="s">
        <v>167</v>
      </c>
      <c r="BC456" s="1" t="s">
        <v>160</v>
      </c>
      <c r="BD456" s="1" t="s">
        <v>1999</v>
      </c>
      <c r="BE456" s="1" t="s">
        <v>2000</v>
      </c>
      <c r="BF456" s="1" t="s">
        <v>160</v>
      </c>
    </row>
    <row r="457" spans="1:58" ht="13" x14ac:dyDescent="0.15">
      <c r="A457" s="2">
        <v>44176.006944444445</v>
      </c>
      <c r="B457" s="2">
        <v>44176.008333333331</v>
      </c>
      <c r="C457" s="1" t="s">
        <v>39</v>
      </c>
      <c r="D457" s="1" t="s">
        <v>234</v>
      </c>
      <c r="E457" s="1">
        <v>100</v>
      </c>
      <c r="F457" s="1">
        <v>117</v>
      </c>
      <c r="G457" s="1" t="b">
        <v>1</v>
      </c>
      <c r="H457" s="2">
        <v>44176.008333333331</v>
      </c>
      <c r="I457" s="1" t="s">
        <v>2001</v>
      </c>
      <c r="N457" s="1">
        <v>34.048492430000003</v>
      </c>
      <c r="O457" s="1">
        <v>-118.2528992</v>
      </c>
      <c r="P457" s="1" t="s">
        <v>153</v>
      </c>
      <c r="Q457" s="1" t="s">
        <v>154</v>
      </c>
      <c r="R457" s="1" t="s">
        <v>155</v>
      </c>
      <c r="S457" s="1" t="s">
        <v>208</v>
      </c>
      <c r="T457" s="1" t="s">
        <v>157</v>
      </c>
      <c r="U457" s="1" t="s">
        <v>2002</v>
      </c>
      <c r="V457" s="1" t="s">
        <v>160</v>
      </c>
      <c r="W457" s="1" t="s">
        <v>160</v>
      </c>
      <c r="X457" s="1" t="s">
        <v>160</v>
      </c>
      <c r="Y457" s="1" t="s">
        <v>160</v>
      </c>
      <c r="Z457" s="1" t="s">
        <v>160</v>
      </c>
      <c r="AA457" s="1" t="s">
        <v>160</v>
      </c>
      <c r="AB457" s="1" t="s">
        <v>160</v>
      </c>
      <c r="AC457" s="1" t="s">
        <v>160</v>
      </c>
      <c r="AD457" s="1" t="s">
        <v>160</v>
      </c>
      <c r="AE457" s="1" t="s">
        <v>160</v>
      </c>
      <c r="AF457" s="1" t="s">
        <v>160</v>
      </c>
      <c r="AG457" s="1" t="s">
        <v>160</v>
      </c>
      <c r="AI457" s="1" t="s">
        <v>160</v>
      </c>
      <c r="AJ457" s="1" t="s">
        <v>192</v>
      </c>
      <c r="AK457" s="1" t="s">
        <v>192</v>
      </c>
      <c r="AL457" s="1" t="s">
        <v>164</v>
      </c>
      <c r="AM457" s="1" t="s">
        <v>164</v>
      </c>
      <c r="AN457" s="1" t="s">
        <v>163</v>
      </c>
      <c r="AO457" s="1" t="s">
        <v>179</v>
      </c>
      <c r="AP457" s="1" t="s">
        <v>239</v>
      </c>
      <c r="AR457" s="1" t="s">
        <v>160</v>
      </c>
      <c r="AS457" s="1" t="s">
        <v>160</v>
      </c>
      <c r="AT457" s="1" t="s">
        <v>2003</v>
      </c>
      <c r="AU457" s="1" t="s">
        <v>160</v>
      </c>
      <c r="AV457" s="1" t="s">
        <v>160</v>
      </c>
      <c r="AW457" s="1" t="s">
        <v>160</v>
      </c>
      <c r="AX457" s="1" t="s">
        <v>160</v>
      </c>
      <c r="AY457" s="1" t="s">
        <v>159</v>
      </c>
      <c r="AZ457" s="1" t="s">
        <v>159</v>
      </c>
      <c r="BA457" s="1" t="s">
        <v>159</v>
      </c>
      <c r="BB457" s="1" t="s">
        <v>181</v>
      </c>
      <c r="BC457" s="1" t="s">
        <v>160</v>
      </c>
      <c r="BD457" s="1" t="s">
        <v>2004</v>
      </c>
      <c r="BE457" s="1" t="s">
        <v>2005</v>
      </c>
      <c r="BF457" s="1" t="s">
        <v>160</v>
      </c>
    </row>
    <row r="458" spans="1:58" ht="13" x14ac:dyDescent="0.15">
      <c r="A458" s="2">
        <v>44176.008333333331</v>
      </c>
      <c r="B458" s="2">
        <v>44176.009722222225</v>
      </c>
      <c r="C458" s="1" t="s">
        <v>39</v>
      </c>
      <c r="D458" s="1" t="s">
        <v>234</v>
      </c>
      <c r="E458" s="1">
        <v>100</v>
      </c>
      <c r="F458" s="1">
        <v>118</v>
      </c>
      <c r="G458" s="1" t="b">
        <v>1</v>
      </c>
      <c r="H458" s="2">
        <v>44176.009722222225</v>
      </c>
      <c r="I458" s="1" t="s">
        <v>2006</v>
      </c>
      <c r="N458" s="1">
        <v>34.048492430000003</v>
      </c>
      <c r="O458" s="1">
        <v>-118.2528992</v>
      </c>
      <c r="P458" s="1" t="s">
        <v>153</v>
      </c>
      <c r="Q458" s="1" t="s">
        <v>154</v>
      </c>
      <c r="R458" s="1" t="s">
        <v>155</v>
      </c>
      <c r="S458" s="1" t="s">
        <v>175</v>
      </c>
      <c r="T458" s="1" t="s">
        <v>245</v>
      </c>
      <c r="U458" s="1" t="s">
        <v>2007</v>
      </c>
      <c r="V458" s="1" t="s">
        <v>160</v>
      </c>
      <c r="W458" s="1" t="s">
        <v>160</v>
      </c>
      <c r="X458" s="1" t="s">
        <v>160</v>
      </c>
      <c r="Y458" s="1" t="s">
        <v>160</v>
      </c>
      <c r="Z458" s="1" t="s">
        <v>160</v>
      </c>
      <c r="AA458" s="1" t="s">
        <v>160</v>
      </c>
      <c r="AB458" s="1" t="s">
        <v>160</v>
      </c>
      <c r="AC458" s="1" t="s">
        <v>160</v>
      </c>
      <c r="AD458" s="1" t="s">
        <v>160</v>
      </c>
      <c r="AE458" s="1" t="s">
        <v>160</v>
      </c>
      <c r="AF458" s="1" t="s">
        <v>160</v>
      </c>
      <c r="AG458" s="1" t="s">
        <v>160</v>
      </c>
      <c r="AI458" s="1" t="s">
        <v>160</v>
      </c>
      <c r="AJ458" s="1" t="s">
        <v>198</v>
      </c>
      <c r="AK458" s="1" t="s">
        <v>192</v>
      </c>
      <c r="AL458" s="1" t="s">
        <v>198</v>
      </c>
      <c r="AM458" s="1" t="s">
        <v>163</v>
      </c>
      <c r="AN458" s="1" t="s">
        <v>198</v>
      </c>
      <c r="AO458" s="1" t="s">
        <v>179</v>
      </c>
      <c r="AP458" s="1" t="s">
        <v>165</v>
      </c>
      <c r="AR458" s="1" t="s">
        <v>160</v>
      </c>
      <c r="AS458" s="1" t="s">
        <v>160</v>
      </c>
      <c r="AT458" s="1" t="s">
        <v>2008</v>
      </c>
      <c r="AU458" s="1" t="s">
        <v>160</v>
      </c>
      <c r="AV458" s="1" t="s">
        <v>159</v>
      </c>
      <c r="AW458" s="1" t="s">
        <v>159</v>
      </c>
      <c r="AX458" s="1" t="s">
        <v>160</v>
      </c>
      <c r="AY458" s="1" t="s">
        <v>159</v>
      </c>
      <c r="AZ458" s="1" t="s">
        <v>160</v>
      </c>
      <c r="BA458" s="1" t="s">
        <v>160</v>
      </c>
      <c r="BB458" s="1" t="s">
        <v>241</v>
      </c>
      <c r="BC458" s="1" t="s">
        <v>160</v>
      </c>
      <c r="BD458" s="1" t="s">
        <v>2009</v>
      </c>
      <c r="BE458" s="1" t="s">
        <v>2010</v>
      </c>
      <c r="BF458" s="1" t="s">
        <v>160</v>
      </c>
    </row>
    <row r="459" spans="1:58" ht="13" x14ac:dyDescent="0.15">
      <c r="A459" s="2">
        <v>44176.010416666664</v>
      </c>
      <c r="B459" s="2">
        <v>44176.011805555558</v>
      </c>
      <c r="C459" s="1" t="s">
        <v>39</v>
      </c>
      <c r="D459" s="1" t="s">
        <v>234</v>
      </c>
      <c r="E459" s="1">
        <v>100</v>
      </c>
      <c r="F459" s="1">
        <v>120</v>
      </c>
      <c r="G459" s="1" t="b">
        <v>1</v>
      </c>
      <c r="H459" s="2">
        <v>44176.011805555558</v>
      </c>
      <c r="I459" s="1" t="s">
        <v>2011</v>
      </c>
      <c r="N459" s="1">
        <v>34.048492430000003</v>
      </c>
      <c r="O459" s="1">
        <v>-118.2528992</v>
      </c>
      <c r="P459" s="1" t="s">
        <v>153</v>
      </c>
      <c r="Q459" s="1" t="s">
        <v>154</v>
      </c>
      <c r="R459" s="1" t="s">
        <v>174</v>
      </c>
      <c r="S459" s="1" t="s">
        <v>208</v>
      </c>
      <c r="T459" s="1" t="s">
        <v>157</v>
      </c>
      <c r="U459" s="1" t="s">
        <v>2012</v>
      </c>
      <c r="V459" s="1" t="s">
        <v>160</v>
      </c>
      <c r="W459" s="1" t="s">
        <v>160</v>
      </c>
      <c r="X459" s="1" t="s">
        <v>160</v>
      </c>
      <c r="Y459" s="1" t="s">
        <v>160</v>
      </c>
      <c r="Z459" s="1" t="s">
        <v>160</v>
      </c>
      <c r="AA459" s="1" t="s">
        <v>160</v>
      </c>
      <c r="AB459" s="1" t="s">
        <v>160</v>
      </c>
      <c r="AC459" s="1" t="s">
        <v>160</v>
      </c>
      <c r="AD459" s="1" t="s">
        <v>160</v>
      </c>
      <c r="AE459" s="1" t="s">
        <v>160</v>
      </c>
      <c r="AF459" s="1" t="s">
        <v>160</v>
      </c>
      <c r="AG459" s="1" t="s">
        <v>160</v>
      </c>
      <c r="AI459" s="1" t="s">
        <v>160</v>
      </c>
      <c r="AJ459" s="1" t="s">
        <v>192</v>
      </c>
      <c r="AK459" s="1" t="s">
        <v>163</v>
      </c>
      <c r="AL459" s="1" t="s">
        <v>192</v>
      </c>
      <c r="AM459" s="1" t="s">
        <v>192</v>
      </c>
      <c r="AN459" s="1" t="s">
        <v>164</v>
      </c>
      <c r="AO459" s="1" t="s">
        <v>179</v>
      </c>
      <c r="AP459" s="1" t="s">
        <v>179</v>
      </c>
      <c r="AR459" s="1" t="s">
        <v>160</v>
      </c>
      <c r="AS459" s="1" t="s">
        <v>160</v>
      </c>
      <c r="AT459" s="1" t="s">
        <v>374</v>
      </c>
      <c r="AU459" s="1" t="s">
        <v>160</v>
      </c>
      <c r="AV459" s="1" t="s">
        <v>160</v>
      </c>
      <c r="AW459" s="1" t="s">
        <v>159</v>
      </c>
      <c r="AX459" s="1" t="s">
        <v>160</v>
      </c>
      <c r="AY459" s="1" t="s">
        <v>160</v>
      </c>
      <c r="AZ459" s="1" t="s">
        <v>159</v>
      </c>
      <c r="BA459" s="1" t="s">
        <v>160</v>
      </c>
      <c r="BB459" s="1" t="s">
        <v>167</v>
      </c>
      <c r="BC459" s="1" t="s">
        <v>160</v>
      </c>
      <c r="BD459" s="1" t="s">
        <v>2013</v>
      </c>
      <c r="BE459" s="1" t="s">
        <v>2014</v>
      </c>
      <c r="BF459" s="1" t="s">
        <v>160</v>
      </c>
    </row>
    <row r="460" spans="1:58" ht="13" x14ac:dyDescent="0.15">
      <c r="A460" s="2">
        <v>44176.011805555558</v>
      </c>
      <c r="B460" s="2">
        <v>44176.013194444444</v>
      </c>
      <c r="C460" s="1" t="s">
        <v>39</v>
      </c>
      <c r="D460" s="1" t="s">
        <v>234</v>
      </c>
      <c r="E460" s="1">
        <v>100</v>
      </c>
      <c r="F460" s="1">
        <v>118</v>
      </c>
      <c r="G460" s="1" t="b">
        <v>1</v>
      </c>
      <c r="H460" s="2">
        <v>44176.013194444444</v>
      </c>
      <c r="I460" s="1" t="s">
        <v>2015</v>
      </c>
      <c r="N460" s="1">
        <v>34.048492430000003</v>
      </c>
      <c r="O460" s="1">
        <v>-118.2528992</v>
      </c>
      <c r="P460" s="1" t="s">
        <v>153</v>
      </c>
      <c r="Q460" s="1" t="s">
        <v>154</v>
      </c>
      <c r="R460" s="1" t="s">
        <v>236</v>
      </c>
      <c r="S460" s="1" t="s">
        <v>274</v>
      </c>
      <c r="T460" s="1" t="s">
        <v>176</v>
      </c>
      <c r="U460" s="1" t="s">
        <v>2016</v>
      </c>
      <c r="V460" s="1" t="s">
        <v>160</v>
      </c>
      <c r="W460" s="1" t="s">
        <v>160</v>
      </c>
      <c r="X460" s="1" t="s">
        <v>160</v>
      </c>
      <c r="Y460" s="1" t="s">
        <v>160</v>
      </c>
      <c r="Z460" s="1" t="s">
        <v>160</v>
      </c>
      <c r="AA460" s="1" t="s">
        <v>160</v>
      </c>
      <c r="AB460" s="1" t="s">
        <v>160</v>
      </c>
      <c r="AC460" s="1" t="s">
        <v>160</v>
      </c>
      <c r="AD460" s="1" t="s">
        <v>160</v>
      </c>
      <c r="AE460" s="1" t="s">
        <v>160</v>
      </c>
      <c r="AF460" s="1" t="s">
        <v>160</v>
      </c>
      <c r="AG460" s="1" t="s">
        <v>160</v>
      </c>
      <c r="AI460" s="1" t="s">
        <v>160</v>
      </c>
      <c r="AJ460" s="1" t="s">
        <v>198</v>
      </c>
      <c r="AK460" s="1" t="s">
        <v>163</v>
      </c>
      <c r="AL460" s="1" t="s">
        <v>198</v>
      </c>
      <c r="AM460" s="1" t="s">
        <v>192</v>
      </c>
      <c r="AN460" s="1" t="s">
        <v>164</v>
      </c>
      <c r="AO460" s="1" t="s">
        <v>179</v>
      </c>
      <c r="AP460" s="1" t="s">
        <v>165</v>
      </c>
      <c r="AR460" s="1" t="s">
        <v>160</v>
      </c>
      <c r="AS460" s="1" t="s">
        <v>160</v>
      </c>
      <c r="AT460" s="1" t="s">
        <v>166</v>
      </c>
      <c r="AU460" s="1" t="s">
        <v>159</v>
      </c>
      <c r="AV460" s="1" t="s">
        <v>159</v>
      </c>
      <c r="AW460" s="1" t="s">
        <v>160</v>
      </c>
      <c r="AX460" s="1" t="s">
        <v>160</v>
      </c>
      <c r="AY460" s="1" t="s">
        <v>159</v>
      </c>
      <c r="AZ460" s="1" t="s">
        <v>159</v>
      </c>
      <c r="BA460" s="1" t="s">
        <v>159</v>
      </c>
      <c r="BB460" s="1" t="s">
        <v>241</v>
      </c>
      <c r="BC460" s="1" t="s">
        <v>160</v>
      </c>
      <c r="BD460" s="1" t="s">
        <v>2017</v>
      </c>
      <c r="BE460" s="1" t="s">
        <v>2018</v>
      </c>
      <c r="BF460" s="1" t="s">
        <v>160</v>
      </c>
    </row>
    <row r="461" spans="1:58" ht="13" x14ac:dyDescent="0.15">
      <c r="A461" s="2">
        <v>44176.013888888891</v>
      </c>
      <c r="B461" s="2">
        <v>44176.015277777777</v>
      </c>
      <c r="C461" s="1" t="s">
        <v>39</v>
      </c>
      <c r="D461" s="1" t="s">
        <v>234</v>
      </c>
      <c r="E461" s="1">
        <v>100</v>
      </c>
      <c r="F461" s="1">
        <v>120</v>
      </c>
      <c r="G461" s="1" t="b">
        <v>1</v>
      </c>
      <c r="H461" s="2">
        <v>44176.015277777777</v>
      </c>
      <c r="I461" s="1" t="s">
        <v>2019</v>
      </c>
      <c r="N461" s="1">
        <v>34.048492430000003</v>
      </c>
      <c r="O461" s="1">
        <v>-118.2528992</v>
      </c>
      <c r="P461" s="1" t="s">
        <v>153</v>
      </c>
      <c r="Q461" s="1" t="s">
        <v>154</v>
      </c>
      <c r="R461" s="1" t="s">
        <v>155</v>
      </c>
      <c r="S461" s="1" t="s">
        <v>175</v>
      </c>
      <c r="T461" s="1" t="s">
        <v>176</v>
      </c>
      <c r="U461" s="1" t="s">
        <v>496</v>
      </c>
      <c r="V461" s="1" t="s">
        <v>160</v>
      </c>
      <c r="W461" s="1" t="s">
        <v>160</v>
      </c>
      <c r="X461" s="1" t="s">
        <v>160</v>
      </c>
      <c r="Y461" s="1" t="s">
        <v>160</v>
      </c>
      <c r="Z461" s="1" t="s">
        <v>160</v>
      </c>
      <c r="AA461" s="1" t="s">
        <v>160</v>
      </c>
      <c r="AB461" s="1" t="s">
        <v>160</v>
      </c>
      <c r="AC461" s="1" t="s">
        <v>160</v>
      </c>
      <c r="AD461" s="1" t="s">
        <v>160</v>
      </c>
      <c r="AE461" s="1" t="s">
        <v>160</v>
      </c>
      <c r="AF461" s="1" t="s">
        <v>160</v>
      </c>
      <c r="AG461" s="1" t="s">
        <v>160</v>
      </c>
      <c r="AI461" s="1" t="s">
        <v>160</v>
      </c>
      <c r="AJ461" s="1" t="s">
        <v>164</v>
      </c>
      <c r="AK461" s="1" t="s">
        <v>192</v>
      </c>
      <c r="AL461" s="1" t="s">
        <v>164</v>
      </c>
      <c r="AM461" s="1" t="s">
        <v>164</v>
      </c>
      <c r="AN461" s="1" t="s">
        <v>163</v>
      </c>
      <c r="AO461" s="1" t="s">
        <v>179</v>
      </c>
      <c r="AP461" s="1" t="s">
        <v>179</v>
      </c>
      <c r="AR461" s="1" t="s">
        <v>160</v>
      </c>
      <c r="AS461" s="1" t="s">
        <v>160</v>
      </c>
      <c r="AT461" s="1" t="s">
        <v>210</v>
      </c>
      <c r="AU461" s="1" t="s">
        <v>160</v>
      </c>
      <c r="AV461" s="1" t="s">
        <v>160</v>
      </c>
      <c r="AW461" s="1" t="s">
        <v>160</v>
      </c>
      <c r="AX461" s="1" t="s">
        <v>160</v>
      </c>
      <c r="AY461" s="1" t="s">
        <v>160</v>
      </c>
      <c r="AZ461" s="1" t="s">
        <v>159</v>
      </c>
      <c r="BA461" s="1" t="s">
        <v>159</v>
      </c>
      <c r="BB461" s="1" t="s">
        <v>167</v>
      </c>
      <c r="BC461" s="1" t="s">
        <v>160</v>
      </c>
      <c r="BD461" s="1" t="s">
        <v>2020</v>
      </c>
      <c r="BE461" s="1" t="s">
        <v>2021</v>
      </c>
      <c r="BF461" s="1" t="s">
        <v>160</v>
      </c>
    </row>
    <row r="462" spans="1:58" ht="13" x14ac:dyDescent="0.15">
      <c r="A462" s="2">
        <v>44176.015277777777</v>
      </c>
      <c r="B462" s="2">
        <v>44176.01666666667</v>
      </c>
      <c r="C462" s="1" t="s">
        <v>39</v>
      </c>
      <c r="D462" s="1" t="s">
        <v>234</v>
      </c>
      <c r="E462" s="1">
        <v>100</v>
      </c>
      <c r="F462" s="1">
        <v>121</v>
      </c>
      <c r="G462" s="1" t="b">
        <v>1</v>
      </c>
      <c r="H462" s="2">
        <v>44176.01666666667</v>
      </c>
      <c r="I462" s="1" t="s">
        <v>2022</v>
      </c>
      <c r="N462" s="1">
        <v>34.048492430000003</v>
      </c>
      <c r="O462" s="1">
        <v>-118.2528992</v>
      </c>
      <c r="P462" s="1" t="s">
        <v>153</v>
      </c>
      <c r="Q462" s="1" t="s">
        <v>154</v>
      </c>
      <c r="R462" s="1" t="s">
        <v>236</v>
      </c>
      <c r="S462" s="1" t="s">
        <v>208</v>
      </c>
      <c r="T462" s="1" t="s">
        <v>237</v>
      </c>
      <c r="U462" s="1" t="s">
        <v>900</v>
      </c>
      <c r="V462" s="1" t="s">
        <v>160</v>
      </c>
      <c r="W462" s="1" t="s">
        <v>160</v>
      </c>
      <c r="X462" s="1" t="s">
        <v>160</v>
      </c>
      <c r="Y462" s="1" t="s">
        <v>160</v>
      </c>
      <c r="Z462" s="1" t="s">
        <v>160</v>
      </c>
      <c r="AA462" s="1" t="s">
        <v>160</v>
      </c>
      <c r="AB462" s="1" t="s">
        <v>160</v>
      </c>
      <c r="AC462" s="1" t="s">
        <v>160</v>
      </c>
      <c r="AD462" s="1" t="s">
        <v>160</v>
      </c>
      <c r="AE462" s="1" t="s">
        <v>160</v>
      </c>
      <c r="AF462" s="1" t="s">
        <v>160</v>
      </c>
      <c r="AG462" s="1" t="s">
        <v>160</v>
      </c>
      <c r="AI462" s="1" t="s">
        <v>160</v>
      </c>
      <c r="AJ462" s="1" t="s">
        <v>198</v>
      </c>
      <c r="AK462" s="1" t="s">
        <v>192</v>
      </c>
      <c r="AL462" s="1" t="s">
        <v>164</v>
      </c>
      <c r="AM462" s="1" t="s">
        <v>163</v>
      </c>
      <c r="AN462" s="1" t="s">
        <v>164</v>
      </c>
      <c r="AO462" s="1" t="s">
        <v>179</v>
      </c>
      <c r="AP462" s="1" t="s">
        <v>165</v>
      </c>
      <c r="AR462" s="1" t="s">
        <v>160</v>
      </c>
      <c r="AS462" s="1" t="s">
        <v>160</v>
      </c>
      <c r="AT462" s="1" t="s">
        <v>2023</v>
      </c>
      <c r="AU462" s="1" t="s">
        <v>160</v>
      </c>
      <c r="AV462" s="1" t="s">
        <v>160</v>
      </c>
      <c r="AW462" s="1" t="s">
        <v>159</v>
      </c>
      <c r="AX462" s="1" t="s">
        <v>159</v>
      </c>
      <c r="AY462" s="1" t="s">
        <v>159</v>
      </c>
      <c r="AZ462" s="1" t="s">
        <v>159</v>
      </c>
      <c r="BA462" s="1" t="s">
        <v>159</v>
      </c>
      <c r="BB462" s="1" t="s">
        <v>241</v>
      </c>
      <c r="BC462" s="1" t="s">
        <v>160</v>
      </c>
      <c r="BD462" s="1" t="s">
        <v>2024</v>
      </c>
      <c r="BE462" s="1" t="s">
        <v>2025</v>
      </c>
      <c r="BF462" s="1" t="s">
        <v>160</v>
      </c>
    </row>
    <row r="463" spans="1:58" ht="13" x14ac:dyDescent="0.15">
      <c r="A463" s="2">
        <v>44176.01666666667</v>
      </c>
      <c r="B463" s="2">
        <v>44176.018055555556</v>
      </c>
      <c r="C463" s="1" t="s">
        <v>39</v>
      </c>
      <c r="D463" s="1" t="s">
        <v>234</v>
      </c>
      <c r="E463" s="1">
        <v>100</v>
      </c>
      <c r="F463" s="1">
        <v>121</v>
      </c>
      <c r="G463" s="1" t="b">
        <v>1</v>
      </c>
      <c r="H463" s="2">
        <v>44176.018055555556</v>
      </c>
      <c r="I463" s="1" t="s">
        <v>2026</v>
      </c>
      <c r="N463" s="1">
        <v>34.048492430000003</v>
      </c>
      <c r="O463" s="1">
        <v>-118.2528992</v>
      </c>
      <c r="P463" s="1" t="s">
        <v>153</v>
      </c>
      <c r="Q463" s="1" t="s">
        <v>154</v>
      </c>
      <c r="R463" s="1" t="s">
        <v>155</v>
      </c>
      <c r="S463" s="1" t="s">
        <v>226</v>
      </c>
      <c r="T463" s="1" t="s">
        <v>245</v>
      </c>
      <c r="U463" s="1" t="s">
        <v>2027</v>
      </c>
      <c r="V463" s="1" t="s">
        <v>160</v>
      </c>
      <c r="W463" s="1" t="s">
        <v>160</v>
      </c>
      <c r="X463" s="1" t="s">
        <v>160</v>
      </c>
      <c r="Y463" s="1" t="s">
        <v>160</v>
      </c>
      <c r="Z463" s="1" t="s">
        <v>160</v>
      </c>
      <c r="AA463" s="1" t="s">
        <v>160</v>
      </c>
      <c r="AB463" s="1" t="s">
        <v>160</v>
      </c>
      <c r="AC463" s="1" t="s">
        <v>160</v>
      </c>
      <c r="AD463" s="1" t="s">
        <v>160</v>
      </c>
      <c r="AE463" s="1" t="s">
        <v>160</v>
      </c>
      <c r="AF463" s="1" t="s">
        <v>160</v>
      </c>
      <c r="AG463" s="1" t="s">
        <v>160</v>
      </c>
      <c r="AI463" s="1" t="s">
        <v>160</v>
      </c>
      <c r="AJ463" s="1" t="s">
        <v>198</v>
      </c>
      <c r="AK463" s="1" t="s">
        <v>192</v>
      </c>
      <c r="AL463" s="1" t="s">
        <v>163</v>
      </c>
      <c r="AM463" s="1" t="s">
        <v>198</v>
      </c>
      <c r="AN463" s="1" t="s">
        <v>198</v>
      </c>
      <c r="AO463" s="1" t="s">
        <v>179</v>
      </c>
      <c r="AP463" s="1" t="s">
        <v>165</v>
      </c>
      <c r="AR463" s="1" t="s">
        <v>160</v>
      </c>
      <c r="AS463" s="1" t="s">
        <v>160</v>
      </c>
      <c r="AT463" s="1" t="s">
        <v>2028</v>
      </c>
      <c r="AU463" s="1" t="s">
        <v>160</v>
      </c>
      <c r="AV463" s="1" t="s">
        <v>160</v>
      </c>
      <c r="AW463" s="1" t="s">
        <v>159</v>
      </c>
      <c r="AX463" s="1" t="s">
        <v>160</v>
      </c>
      <c r="AY463" s="1" t="s">
        <v>160</v>
      </c>
      <c r="AZ463" s="1" t="s">
        <v>160</v>
      </c>
      <c r="BA463" s="1" t="s">
        <v>159</v>
      </c>
      <c r="BB463" s="1" t="s">
        <v>181</v>
      </c>
      <c r="BC463" s="1" t="s">
        <v>160</v>
      </c>
      <c r="BD463" s="1" t="s">
        <v>2029</v>
      </c>
      <c r="BE463" s="1" t="s">
        <v>2030</v>
      </c>
      <c r="BF463" s="1" t="s">
        <v>160</v>
      </c>
    </row>
    <row r="464" spans="1:58" ht="13" x14ac:dyDescent="0.15">
      <c r="A464" s="2">
        <v>44176.018750000003</v>
      </c>
      <c r="B464" s="2">
        <v>44176.020138888889</v>
      </c>
      <c r="C464" s="1" t="s">
        <v>39</v>
      </c>
      <c r="D464" s="1" t="s">
        <v>234</v>
      </c>
      <c r="E464" s="1">
        <v>100</v>
      </c>
      <c r="F464" s="1">
        <v>119</v>
      </c>
      <c r="G464" s="1" t="b">
        <v>1</v>
      </c>
      <c r="H464" s="2">
        <v>44176.020138888889</v>
      </c>
      <c r="I464" s="1" t="s">
        <v>2031</v>
      </c>
      <c r="N464" s="1">
        <v>34.048492430000003</v>
      </c>
      <c r="O464" s="1">
        <v>-118.2528992</v>
      </c>
      <c r="P464" s="1" t="s">
        <v>153</v>
      </c>
      <c r="Q464" s="1" t="s">
        <v>154</v>
      </c>
      <c r="R464" s="1" t="s">
        <v>236</v>
      </c>
      <c r="S464" s="1" t="s">
        <v>310</v>
      </c>
      <c r="T464" s="1" t="s">
        <v>157</v>
      </c>
      <c r="U464" s="1" t="s">
        <v>2032</v>
      </c>
      <c r="V464" s="1" t="s">
        <v>160</v>
      </c>
      <c r="W464" s="1" t="s">
        <v>160</v>
      </c>
      <c r="X464" s="1" t="s">
        <v>160</v>
      </c>
      <c r="Y464" s="1" t="s">
        <v>160</v>
      </c>
      <c r="Z464" s="1" t="s">
        <v>160</v>
      </c>
      <c r="AA464" s="1" t="s">
        <v>160</v>
      </c>
      <c r="AB464" s="1" t="s">
        <v>160</v>
      </c>
      <c r="AC464" s="1" t="s">
        <v>160</v>
      </c>
      <c r="AD464" s="1" t="s">
        <v>160</v>
      </c>
      <c r="AE464" s="1" t="s">
        <v>160</v>
      </c>
      <c r="AF464" s="1" t="s">
        <v>160</v>
      </c>
      <c r="AG464" s="1" t="s">
        <v>160</v>
      </c>
      <c r="AI464" s="1" t="s">
        <v>160</v>
      </c>
      <c r="AJ464" s="1" t="s">
        <v>192</v>
      </c>
      <c r="AK464" s="1" t="s">
        <v>163</v>
      </c>
      <c r="AL464" s="1" t="s">
        <v>164</v>
      </c>
      <c r="AM464" s="1" t="s">
        <v>164</v>
      </c>
      <c r="AN464" s="1" t="s">
        <v>164</v>
      </c>
      <c r="AO464" s="1" t="s">
        <v>179</v>
      </c>
      <c r="AP464" s="1" t="s">
        <v>179</v>
      </c>
      <c r="AR464" s="1" t="s">
        <v>160</v>
      </c>
      <c r="AS464" s="1" t="s">
        <v>160</v>
      </c>
      <c r="AT464" s="1" t="s">
        <v>180</v>
      </c>
      <c r="AU464" s="1" t="s">
        <v>159</v>
      </c>
      <c r="AV464" s="1" t="s">
        <v>159</v>
      </c>
      <c r="AW464" s="1" t="s">
        <v>159</v>
      </c>
      <c r="AX464" s="1" t="s">
        <v>159</v>
      </c>
      <c r="AY464" s="1" t="s">
        <v>160</v>
      </c>
      <c r="AZ464" s="1" t="s">
        <v>160</v>
      </c>
      <c r="BA464" s="1" t="s">
        <v>159</v>
      </c>
      <c r="BB464" s="1" t="s">
        <v>167</v>
      </c>
      <c r="BC464" s="1" t="s">
        <v>160</v>
      </c>
      <c r="BD464" s="1" t="s">
        <v>2033</v>
      </c>
      <c r="BE464" s="1" t="s">
        <v>2034</v>
      </c>
      <c r="BF464" s="1" t="s">
        <v>160</v>
      </c>
    </row>
    <row r="465" spans="1:58" ht="13" x14ac:dyDescent="0.15">
      <c r="A465" s="2">
        <v>44176.020138888889</v>
      </c>
      <c r="B465" s="2">
        <v>44176.021527777775</v>
      </c>
      <c r="C465" s="1" t="s">
        <v>39</v>
      </c>
      <c r="D465" s="1" t="s">
        <v>234</v>
      </c>
      <c r="E465" s="1">
        <v>100</v>
      </c>
      <c r="F465" s="1">
        <v>120</v>
      </c>
      <c r="G465" s="1" t="b">
        <v>1</v>
      </c>
      <c r="H465" s="2">
        <v>44176.021527777775</v>
      </c>
      <c r="I465" s="1" t="s">
        <v>2035</v>
      </c>
      <c r="N465" s="1">
        <v>34.048492430000003</v>
      </c>
      <c r="O465" s="1">
        <v>-118.2528992</v>
      </c>
      <c r="P465" s="1" t="s">
        <v>153</v>
      </c>
      <c r="Q465" s="1" t="s">
        <v>154</v>
      </c>
      <c r="R465" s="1" t="s">
        <v>155</v>
      </c>
      <c r="S465" s="1" t="s">
        <v>274</v>
      </c>
      <c r="T465" s="1" t="s">
        <v>157</v>
      </c>
      <c r="U465" s="1" t="s">
        <v>2036</v>
      </c>
      <c r="V465" s="1" t="s">
        <v>160</v>
      </c>
      <c r="W465" s="1" t="s">
        <v>160</v>
      </c>
      <c r="X465" s="1" t="s">
        <v>160</v>
      </c>
      <c r="Y465" s="1" t="s">
        <v>160</v>
      </c>
      <c r="Z465" s="1" t="s">
        <v>160</v>
      </c>
      <c r="AA465" s="1" t="s">
        <v>160</v>
      </c>
      <c r="AB465" s="1" t="s">
        <v>160</v>
      </c>
      <c r="AC465" s="1" t="s">
        <v>160</v>
      </c>
      <c r="AD465" s="1" t="s">
        <v>160</v>
      </c>
      <c r="AE465" s="1" t="s">
        <v>160</v>
      </c>
      <c r="AF465" s="1" t="s">
        <v>160</v>
      </c>
      <c r="AG465" s="1" t="s">
        <v>160</v>
      </c>
      <c r="AI465" s="1" t="s">
        <v>160</v>
      </c>
      <c r="AJ465" s="1" t="s">
        <v>192</v>
      </c>
      <c r="AK465" s="1" t="s">
        <v>163</v>
      </c>
      <c r="AL465" s="1" t="s">
        <v>163</v>
      </c>
      <c r="AM465" s="1" t="s">
        <v>163</v>
      </c>
      <c r="AN465" s="1" t="s">
        <v>164</v>
      </c>
      <c r="AO465" s="1" t="s">
        <v>179</v>
      </c>
      <c r="AP465" s="1" t="s">
        <v>239</v>
      </c>
      <c r="AR465" s="1" t="s">
        <v>160</v>
      </c>
      <c r="AS465" s="1" t="s">
        <v>160</v>
      </c>
      <c r="AT465" s="1" t="s">
        <v>2037</v>
      </c>
      <c r="AU465" s="1" t="s">
        <v>160</v>
      </c>
      <c r="AV465" s="1" t="s">
        <v>159</v>
      </c>
      <c r="AW465" s="1" t="s">
        <v>159</v>
      </c>
      <c r="AX465" s="1" t="s">
        <v>160</v>
      </c>
      <c r="AY465" s="1" t="s">
        <v>160</v>
      </c>
      <c r="AZ465" s="1" t="s">
        <v>160</v>
      </c>
      <c r="BA465" s="1" t="s">
        <v>159</v>
      </c>
      <c r="BB465" s="1" t="s">
        <v>241</v>
      </c>
      <c r="BC465" s="1" t="s">
        <v>160</v>
      </c>
      <c r="BD465" s="1" t="s">
        <v>2038</v>
      </c>
      <c r="BE465" s="1" t="s">
        <v>2039</v>
      </c>
      <c r="BF465" s="1" t="s">
        <v>160</v>
      </c>
    </row>
    <row r="466" spans="1:58" ht="13" x14ac:dyDescent="0.15">
      <c r="A466" s="2">
        <v>44176.022222222222</v>
      </c>
      <c r="B466" s="2">
        <v>44176.023611111108</v>
      </c>
      <c r="C466" s="1" t="s">
        <v>39</v>
      </c>
      <c r="D466" s="1" t="s">
        <v>234</v>
      </c>
      <c r="E466" s="1">
        <v>100</v>
      </c>
      <c r="F466" s="1">
        <v>121</v>
      </c>
      <c r="G466" s="1" t="b">
        <v>1</v>
      </c>
      <c r="H466" s="2">
        <v>44176.023611111108</v>
      </c>
      <c r="I466" s="1" t="s">
        <v>2040</v>
      </c>
      <c r="N466" s="1">
        <v>34.048492430000003</v>
      </c>
      <c r="O466" s="1">
        <v>-118.2528992</v>
      </c>
      <c r="P466" s="1" t="s">
        <v>153</v>
      </c>
      <c r="Q466" s="1" t="s">
        <v>154</v>
      </c>
      <c r="R466" s="1" t="s">
        <v>155</v>
      </c>
      <c r="S466" s="1" t="s">
        <v>310</v>
      </c>
      <c r="T466" s="1" t="s">
        <v>157</v>
      </c>
      <c r="U466" s="1" t="s">
        <v>2041</v>
      </c>
      <c r="V466" s="1" t="s">
        <v>160</v>
      </c>
      <c r="W466" s="1" t="s">
        <v>160</v>
      </c>
      <c r="X466" s="1" t="s">
        <v>160</v>
      </c>
      <c r="Y466" s="1" t="s">
        <v>160</v>
      </c>
      <c r="Z466" s="1" t="s">
        <v>160</v>
      </c>
      <c r="AA466" s="1" t="s">
        <v>160</v>
      </c>
      <c r="AB466" s="1" t="s">
        <v>160</v>
      </c>
      <c r="AC466" s="1" t="s">
        <v>160</v>
      </c>
      <c r="AD466" s="1" t="s">
        <v>160</v>
      </c>
      <c r="AE466" s="1" t="s">
        <v>160</v>
      </c>
      <c r="AF466" s="1" t="s">
        <v>160</v>
      </c>
      <c r="AG466" s="1" t="s">
        <v>160</v>
      </c>
      <c r="AI466" s="1" t="s">
        <v>160</v>
      </c>
      <c r="AJ466" s="1" t="s">
        <v>164</v>
      </c>
      <c r="AK466" s="1" t="s">
        <v>164</v>
      </c>
      <c r="AL466" s="1" t="s">
        <v>164</v>
      </c>
      <c r="AM466" s="1" t="s">
        <v>192</v>
      </c>
      <c r="AN466" s="1" t="s">
        <v>192</v>
      </c>
      <c r="AO466" s="1" t="s">
        <v>179</v>
      </c>
      <c r="AP466" s="1" t="s">
        <v>179</v>
      </c>
      <c r="AR466" s="1" t="s">
        <v>160</v>
      </c>
      <c r="AS466" s="1" t="s">
        <v>160</v>
      </c>
      <c r="AT466" s="1" t="s">
        <v>578</v>
      </c>
      <c r="AU466" s="1" t="s">
        <v>159</v>
      </c>
      <c r="AV466" s="1" t="s">
        <v>160</v>
      </c>
      <c r="AW466" s="1" t="s">
        <v>159</v>
      </c>
      <c r="AX466" s="1" t="s">
        <v>160</v>
      </c>
      <c r="AY466" s="1" t="s">
        <v>160</v>
      </c>
      <c r="AZ466" s="1" t="s">
        <v>160</v>
      </c>
      <c r="BA466" s="1" t="s">
        <v>160</v>
      </c>
      <c r="BB466" s="1" t="s">
        <v>222</v>
      </c>
      <c r="BC466" s="1" t="s">
        <v>160</v>
      </c>
      <c r="BD466" s="1" t="s">
        <v>2042</v>
      </c>
      <c r="BE466" s="1" t="s">
        <v>2043</v>
      </c>
      <c r="BF466" s="1" t="s">
        <v>160</v>
      </c>
    </row>
    <row r="467" spans="1:58" ht="13" x14ac:dyDescent="0.15">
      <c r="A467" s="2">
        <v>44176.023611111108</v>
      </c>
      <c r="B467" s="2">
        <v>44176.025000000001</v>
      </c>
      <c r="C467" s="1" t="s">
        <v>39</v>
      </c>
      <c r="D467" s="1" t="s">
        <v>234</v>
      </c>
      <c r="E467" s="1">
        <v>100</v>
      </c>
      <c r="F467" s="1">
        <v>123</v>
      </c>
      <c r="G467" s="1" t="b">
        <v>1</v>
      </c>
      <c r="H467" s="2">
        <v>44176.025000000001</v>
      </c>
      <c r="I467" s="1" t="s">
        <v>2044</v>
      </c>
      <c r="N467" s="1">
        <v>34.048492430000003</v>
      </c>
      <c r="O467" s="1">
        <v>-118.2528992</v>
      </c>
      <c r="P467" s="1" t="s">
        <v>153</v>
      </c>
      <c r="Q467" s="1" t="s">
        <v>154</v>
      </c>
      <c r="R467" s="1" t="s">
        <v>174</v>
      </c>
      <c r="S467" s="1" t="s">
        <v>208</v>
      </c>
      <c r="T467" s="1" t="s">
        <v>157</v>
      </c>
      <c r="U467" s="1" t="s">
        <v>2045</v>
      </c>
      <c r="V467" s="1" t="s">
        <v>160</v>
      </c>
      <c r="W467" s="1" t="s">
        <v>160</v>
      </c>
      <c r="X467" s="1" t="s">
        <v>160</v>
      </c>
      <c r="Y467" s="1" t="s">
        <v>160</v>
      </c>
      <c r="Z467" s="1" t="s">
        <v>160</v>
      </c>
      <c r="AA467" s="1" t="s">
        <v>160</v>
      </c>
      <c r="AB467" s="1" t="s">
        <v>160</v>
      </c>
      <c r="AC467" s="1" t="s">
        <v>160</v>
      </c>
      <c r="AD467" s="1" t="s">
        <v>160</v>
      </c>
      <c r="AE467" s="1" t="s">
        <v>160</v>
      </c>
      <c r="AF467" s="1" t="s">
        <v>160</v>
      </c>
      <c r="AG467" s="1" t="s">
        <v>160</v>
      </c>
      <c r="AI467" s="1" t="s">
        <v>160</v>
      </c>
      <c r="AJ467" s="1" t="s">
        <v>164</v>
      </c>
      <c r="AK467" s="1" t="s">
        <v>192</v>
      </c>
      <c r="AL467" s="1" t="s">
        <v>163</v>
      </c>
      <c r="AM467" s="1" t="s">
        <v>192</v>
      </c>
      <c r="AN467" s="1" t="s">
        <v>198</v>
      </c>
      <c r="AO467" s="1" t="s">
        <v>179</v>
      </c>
      <c r="AP467" s="1" t="s">
        <v>179</v>
      </c>
      <c r="AR467" s="1" t="s">
        <v>160</v>
      </c>
      <c r="AS467" s="1" t="s">
        <v>160</v>
      </c>
      <c r="AT467" s="1" t="s">
        <v>345</v>
      </c>
      <c r="AU467" s="1" t="s">
        <v>160</v>
      </c>
      <c r="AV467" s="1" t="s">
        <v>160</v>
      </c>
      <c r="AW467" s="1" t="s">
        <v>160</v>
      </c>
      <c r="AX467" s="1" t="s">
        <v>160</v>
      </c>
      <c r="AY467" s="1" t="s">
        <v>160</v>
      </c>
      <c r="AZ467" s="1" t="s">
        <v>159</v>
      </c>
      <c r="BA467" s="1" t="s">
        <v>160</v>
      </c>
      <c r="BB467" s="1" t="s">
        <v>222</v>
      </c>
      <c r="BC467" s="1" t="s">
        <v>160</v>
      </c>
      <c r="BD467" s="1" t="s">
        <v>2046</v>
      </c>
      <c r="BE467" s="1" t="s">
        <v>2047</v>
      </c>
      <c r="BF467" s="1" t="s">
        <v>160</v>
      </c>
    </row>
    <row r="468" spans="1:58" ht="13" x14ac:dyDescent="0.15">
      <c r="A468" s="2">
        <v>44176.025694444441</v>
      </c>
      <c r="B468" s="2">
        <v>44176.027083333334</v>
      </c>
      <c r="C468" s="1" t="s">
        <v>39</v>
      </c>
      <c r="D468" s="1" t="s">
        <v>234</v>
      </c>
      <c r="E468" s="1">
        <v>100</v>
      </c>
      <c r="F468" s="1">
        <v>121</v>
      </c>
      <c r="G468" s="1" t="b">
        <v>1</v>
      </c>
      <c r="H468" s="2">
        <v>44176.027083333334</v>
      </c>
      <c r="I468" s="1" t="s">
        <v>2048</v>
      </c>
      <c r="N468" s="1">
        <v>34.048492430000003</v>
      </c>
      <c r="O468" s="1">
        <v>-118.2528992</v>
      </c>
      <c r="P468" s="1" t="s">
        <v>153</v>
      </c>
      <c r="Q468" s="1" t="s">
        <v>154</v>
      </c>
      <c r="R468" s="1" t="s">
        <v>155</v>
      </c>
      <c r="S468" s="1" t="s">
        <v>310</v>
      </c>
      <c r="T468" s="1" t="s">
        <v>237</v>
      </c>
      <c r="U468" s="1" t="s">
        <v>2049</v>
      </c>
      <c r="V468" s="1" t="s">
        <v>160</v>
      </c>
      <c r="W468" s="1" t="s">
        <v>160</v>
      </c>
      <c r="X468" s="1" t="s">
        <v>160</v>
      </c>
      <c r="Y468" s="1" t="s">
        <v>160</v>
      </c>
      <c r="Z468" s="1" t="s">
        <v>160</v>
      </c>
      <c r="AA468" s="1" t="s">
        <v>160</v>
      </c>
      <c r="AB468" s="1" t="s">
        <v>160</v>
      </c>
      <c r="AC468" s="1" t="s">
        <v>160</v>
      </c>
      <c r="AD468" s="1" t="s">
        <v>160</v>
      </c>
      <c r="AE468" s="1" t="s">
        <v>160</v>
      </c>
      <c r="AF468" s="1" t="s">
        <v>160</v>
      </c>
      <c r="AG468" s="1" t="s">
        <v>160</v>
      </c>
      <c r="AI468" s="1" t="s">
        <v>160</v>
      </c>
      <c r="AJ468" s="1" t="s">
        <v>192</v>
      </c>
      <c r="AK468" s="1" t="s">
        <v>198</v>
      </c>
      <c r="AL468" s="1" t="s">
        <v>192</v>
      </c>
      <c r="AM468" s="1" t="s">
        <v>192</v>
      </c>
      <c r="AN468" s="1" t="s">
        <v>163</v>
      </c>
      <c r="AO468" s="1" t="s">
        <v>179</v>
      </c>
      <c r="AP468" s="1" t="s">
        <v>165</v>
      </c>
      <c r="AR468" s="1" t="s">
        <v>160</v>
      </c>
      <c r="AS468" s="1" t="s">
        <v>160</v>
      </c>
      <c r="AT468" s="1" t="s">
        <v>327</v>
      </c>
      <c r="AU468" s="1" t="s">
        <v>160</v>
      </c>
      <c r="AV468" s="1" t="s">
        <v>160</v>
      </c>
      <c r="AW468" s="1" t="s">
        <v>159</v>
      </c>
      <c r="AX468" s="1" t="s">
        <v>159</v>
      </c>
      <c r="AY468" s="1" t="s">
        <v>160</v>
      </c>
      <c r="AZ468" s="1" t="s">
        <v>160</v>
      </c>
      <c r="BA468" s="1" t="s">
        <v>160</v>
      </c>
      <c r="BB468" s="1" t="s">
        <v>167</v>
      </c>
      <c r="BC468" s="1" t="s">
        <v>160</v>
      </c>
      <c r="BD468" s="1" t="s">
        <v>2050</v>
      </c>
      <c r="BE468" s="1" t="s">
        <v>2051</v>
      </c>
      <c r="BF468" s="1" t="s">
        <v>160</v>
      </c>
    </row>
    <row r="469" spans="1:58" ht="13" x14ac:dyDescent="0.15">
      <c r="A469" s="2">
        <v>44176.027083333334</v>
      </c>
      <c r="B469" s="2">
        <v>44176.02847222222</v>
      </c>
      <c r="C469" s="1" t="s">
        <v>39</v>
      </c>
      <c r="D469" s="1" t="s">
        <v>234</v>
      </c>
      <c r="E469" s="1">
        <v>100</v>
      </c>
      <c r="F469" s="1">
        <v>120</v>
      </c>
      <c r="G469" s="1" t="b">
        <v>1</v>
      </c>
      <c r="H469" s="2">
        <v>44176.02847222222</v>
      </c>
      <c r="I469" s="1" t="s">
        <v>2052</v>
      </c>
      <c r="N469" s="1">
        <v>34.048492430000003</v>
      </c>
      <c r="O469" s="1">
        <v>-118.2528992</v>
      </c>
      <c r="P469" s="1" t="s">
        <v>153</v>
      </c>
      <c r="Q469" s="1" t="s">
        <v>154</v>
      </c>
      <c r="R469" s="1" t="s">
        <v>174</v>
      </c>
      <c r="S469" s="1" t="s">
        <v>226</v>
      </c>
      <c r="T469" s="1" t="s">
        <v>176</v>
      </c>
      <c r="U469" s="1" t="s">
        <v>2053</v>
      </c>
      <c r="V469" s="1" t="s">
        <v>160</v>
      </c>
      <c r="W469" s="1" t="s">
        <v>160</v>
      </c>
      <c r="X469" s="1" t="s">
        <v>160</v>
      </c>
      <c r="Y469" s="1" t="s">
        <v>160</v>
      </c>
      <c r="Z469" s="1" t="s">
        <v>160</v>
      </c>
      <c r="AA469" s="1" t="s">
        <v>160</v>
      </c>
      <c r="AB469" s="1" t="s">
        <v>160</v>
      </c>
      <c r="AC469" s="1" t="s">
        <v>160</v>
      </c>
      <c r="AD469" s="1" t="s">
        <v>160</v>
      </c>
      <c r="AE469" s="1" t="s">
        <v>160</v>
      </c>
      <c r="AF469" s="1" t="s">
        <v>160</v>
      </c>
      <c r="AG469" s="1" t="s">
        <v>160</v>
      </c>
      <c r="AI469" s="1" t="s">
        <v>160</v>
      </c>
      <c r="AJ469" s="1" t="s">
        <v>164</v>
      </c>
      <c r="AK469" s="1" t="s">
        <v>198</v>
      </c>
      <c r="AL469" s="1" t="s">
        <v>198</v>
      </c>
      <c r="AM469" s="1" t="s">
        <v>164</v>
      </c>
      <c r="AN469" s="1" t="s">
        <v>198</v>
      </c>
      <c r="AO469" s="1" t="s">
        <v>179</v>
      </c>
      <c r="AP469" s="1" t="s">
        <v>179</v>
      </c>
      <c r="AR469" s="1" t="s">
        <v>160</v>
      </c>
      <c r="AS469" s="1" t="s">
        <v>160</v>
      </c>
      <c r="AT469" s="1" t="s">
        <v>736</v>
      </c>
      <c r="AU469" s="1" t="s">
        <v>160</v>
      </c>
      <c r="AV469" s="1" t="s">
        <v>159</v>
      </c>
      <c r="AW469" s="1" t="s">
        <v>160</v>
      </c>
      <c r="AX469" s="1" t="s">
        <v>160</v>
      </c>
      <c r="AY469" s="1" t="s">
        <v>160</v>
      </c>
      <c r="AZ469" s="1" t="s">
        <v>160</v>
      </c>
      <c r="BA469" s="1" t="s">
        <v>160</v>
      </c>
      <c r="BB469" s="1" t="s">
        <v>222</v>
      </c>
      <c r="BC469" s="1" t="s">
        <v>160</v>
      </c>
      <c r="BD469" s="1" t="s">
        <v>2054</v>
      </c>
      <c r="BE469" s="1" t="s">
        <v>2055</v>
      </c>
      <c r="BF469" s="1" t="s">
        <v>160</v>
      </c>
    </row>
    <row r="470" spans="1:58" ht="13" x14ac:dyDescent="0.15">
      <c r="A470" s="2">
        <v>44176.02847222222</v>
      </c>
      <c r="B470" s="2">
        <v>44176.029861111114</v>
      </c>
      <c r="C470" s="1" t="s">
        <v>39</v>
      </c>
      <c r="D470" s="1" t="s">
        <v>234</v>
      </c>
      <c r="E470" s="1">
        <v>100</v>
      </c>
      <c r="F470" s="1">
        <v>121</v>
      </c>
      <c r="G470" s="1" t="b">
        <v>1</v>
      </c>
      <c r="H470" s="2">
        <v>44176.029861111114</v>
      </c>
      <c r="I470" s="1" t="s">
        <v>2056</v>
      </c>
      <c r="N470" s="1">
        <v>34.048492430000003</v>
      </c>
      <c r="O470" s="1">
        <v>-118.2528992</v>
      </c>
      <c r="P470" s="1" t="s">
        <v>153</v>
      </c>
      <c r="Q470" s="1" t="s">
        <v>154</v>
      </c>
      <c r="R470" s="1" t="s">
        <v>174</v>
      </c>
      <c r="S470" s="1" t="s">
        <v>274</v>
      </c>
      <c r="T470" s="1" t="s">
        <v>157</v>
      </c>
      <c r="U470" s="1" t="s">
        <v>562</v>
      </c>
      <c r="V470" s="1" t="s">
        <v>160</v>
      </c>
      <c r="W470" s="1" t="s">
        <v>160</v>
      </c>
      <c r="X470" s="1" t="s">
        <v>160</v>
      </c>
      <c r="Y470" s="1" t="s">
        <v>160</v>
      </c>
      <c r="Z470" s="1" t="s">
        <v>160</v>
      </c>
      <c r="AA470" s="1" t="s">
        <v>160</v>
      </c>
      <c r="AB470" s="1" t="s">
        <v>160</v>
      </c>
      <c r="AC470" s="1" t="s">
        <v>160</v>
      </c>
      <c r="AD470" s="1" t="s">
        <v>160</v>
      </c>
      <c r="AE470" s="1" t="s">
        <v>160</v>
      </c>
      <c r="AF470" s="1" t="s">
        <v>160</v>
      </c>
      <c r="AG470" s="1" t="s">
        <v>160</v>
      </c>
      <c r="AI470" s="1" t="s">
        <v>160</v>
      </c>
      <c r="AJ470" s="1" t="s">
        <v>192</v>
      </c>
      <c r="AK470" s="1" t="s">
        <v>164</v>
      </c>
      <c r="AL470" s="1" t="s">
        <v>198</v>
      </c>
      <c r="AM470" s="1" t="s">
        <v>198</v>
      </c>
      <c r="AN470" s="1" t="s">
        <v>164</v>
      </c>
      <c r="AO470" s="1" t="s">
        <v>179</v>
      </c>
      <c r="AP470" s="1" t="s">
        <v>239</v>
      </c>
      <c r="AR470" s="1" t="s">
        <v>160</v>
      </c>
      <c r="AS470" s="1" t="s">
        <v>160</v>
      </c>
      <c r="AT470" s="1" t="s">
        <v>2057</v>
      </c>
      <c r="AU470" s="1" t="s">
        <v>159</v>
      </c>
      <c r="AV470" s="1" t="s">
        <v>159</v>
      </c>
      <c r="AW470" s="1" t="s">
        <v>160</v>
      </c>
      <c r="AX470" s="1" t="s">
        <v>160</v>
      </c>
      <c r="AY470" s="1" t="s">
        <v>160</v>
      </c>
      <c r="AZ470" s="1" t="s">
        <v>159</v>
      </c>
      <c r="BA470" s="1" t="s">
        <v>160</v>
      </c>
      <c r="BB470" s="1" t="s">
        <v>167</v>
      </c>
      <c r="BC470" s="1" t="s">
        <v>160</v>
      </c>
      <c r="BD470" s="1" t="s">
        <v>2058</v>
      </c>
      <c r="BE470" s="1" t="s">
        <v>2059</v>
      </c>
      <c r="BF470" s="1" t="s">
        <v>160</v>
      </c>
    </row>
    <row r="471" spans="1:58" ht="13" x14ac:dyDescent="0.15">
      <c r="A471" s="2">
        <v>44176.030555555553</v>
      </c>
      <c r="B471" s="2">
        <v>44176.031944444447</v>
      </c>
      <c r="C471" s="1" t="s">
        <v>39</v>
      </c>
      <c r="D471" s="1" t="s">
        <v>234</v>
      </c>
      <c r="E471" s="1">
        <v>100</v>
      </c>
      <c r="F471" s="1">
        <v>116</v>
      </c>
      <c r="G471" s="1" t="b">
        <v>1</v>
      </c>
      <c r="H471" s="2">
        <v>44176.031944444447</v>
      </c>
      <c r="I471" s="1" t="s">
        <v>2060</v>
      </c>
      <c r="N471" s="1">
        <v>34.048492430000003</v>
      </c>
      <c r="O471" s="1">
        <v>-118.2528992</v>
      </c>
      <c r="P471" s="1" t="s">
        <v>153</v>
      </c>
      <c r="Q471" s="1" t="s">
        <v>154</v>
      </c>
      <c r="R471" s="1" t="s">
        <v>236</v>
      </c>
      <c r="S471" s="1" t="s">
        <v>175</v>
      </c>
      <c r="T471" s="1" t="s">
        <v>263</v>
      </c>
      <c r="U471" s="1" t="s">
        <v>2061</v>
      </c>
      <c r="V471" s="1" t="s">
        <v>160</v>
      </c>
      <c r="W471" s="1" t="s">
        <v>160</v>
      </c>
      <c r="X471" s="1" t="s">
        <v>160</v>
      </c>
      <c r="Y471" s="1" t="s">
        <v>160</v>
      </c>
      <c r="Z471" s="1" t="s">
        <v>160</v>
      </c>
      <c r="AA471" s="1" t="s">
        <v>160</v>
      </c>
      <c r="AB471" s="1" t="s">
        <v>160</v>
      </c>
      <c r="AC471" s="1" t="s">
        <v>160</v>
      </c>
      <c r="AD471" s="1" t="s">
        <v>160</v>
      </c>
      <c r="AE471" s="1" t="s">
        <v>160</v>
      </c>
      <c r="AF471" s="1" t="s">
        <v>160</v>
      </c>
      <c r="AG471" s="1" t="s">
        <v>160</v>
      </c>
      <c r="AI471" s="1" t="s">
        <v>160</v>
      </c>
      <c r="AJ471" s="1" t="s">
        <v>198</v>
      </c>
      <c r="AK471" s="1" t="s">
        <v>163</v>
      </c>
      <c r="AL471" s="1" t="s">
        <v>198</v>
      </c>
      <c r="AM471" s="1" t="s">
        <v>163</v>
      </c>
      <c r="AN471" s="1" t="s">
        <v>192</v>
      </c>
      <c r="AO471" s="1" t="s">
        <v>179</v>
      </c>
      <c r="AP471" s="1" t="s">
        <v>165</v>
      </c>
      <c r="AR471" s="1" t="s">
        <v>160</v>
      </c>
      <c r="AS471" s="1" t="s">
        <v>160</v>
      </c>
      <c r="AT471" s="1" t="s">
        <v>872</v>
      </c>
      <c r="AU471" s="1" t="s">
        <v>160</v>
      </c>
      <c r="AV471" s="1" t="s">
        <v>159</v>
      </c>
      <c r="AW471" s="1" t="s">
        <v>159</v>
      </c>
      <c r="AX471" s="1" t="s">
        <v>159</v>
      </c>
      <c r="AY471" s="1" t="s">
        <v>160</v>
      </c>
      <c r="AZ471" s="1" t="s">
        <v>160</v>
      </c>
      <c r="BA471" s="1" t="s">
        <v>160</v>
      </c>
      <c r="BB471" s="1" t="s">
        <v>241</v>
      </c>
      <c r="BC471" s="1" t="s">
        <v>160</v>
      </c>
      <c r="BD471" s="1" t="s">
        <v>2062</v>
      </c>
      <c r="BE471" s="1" t="s">
        <v>2063</v>
      </c>
      <c r="BF471" s="1" t="s">
        <v>160</v>
      </c>
    </row>
    <row r="472" spans="1:58" ht="13" x14ac:dyDescent="0.15">
      <c r="A472" s="2">
        <v>44176.031944444447</v>
      </c>
      <c r="B472" s="2">
        <v>44176.033333333333</v>
      </c>
      <c r="C472" s="1" t="s">
        <v>39</v>
      </c>
      <c r="D472" s="1" t="s">
        <v>234</v>
      </c>
      <c r="E472" s="1">
        <v>100</v>
      </c>
      <c r="F472" s="1">
        <v>120</v>
      </c>
      <c r="G472" s="1" t="b">
        <v>1</v>
      </c>
      <c r="H472" s="2">
        <v>44176.033333333333</v>
      </c>
      <c r="I472" s="1" t="s">
        <v>2064</v>
      </c>
      <c r="N472" s="1">
        <v>34.048492430000003</v>
      </c>
      <c r="O472" s="1">
        <v>-118.2528992</v>
      </c>
      <c r="P472" s="1" t="s">
        <v>153</v>
      </c>
      <c r="Q472" s="1" t="s">
        <v>154</v>
      </c>
      <c r="R472" s="1" t="s">
        <v>155</v>
      </c>
      <c r="S472" s="1" t="s">
        <v>175</v>
      </c>
      <c r="T472" s="1" t="s">
        <v>157</v>
      </c>
      <c r="U472" s="1" t="s">
        <v>2065</v>
      </c>
      <c r="V472" s="1" t="s">
        <v>160</v>
      </c>
      <c r="W472" s="1" t="s">
        <v>160</v>
      </c>
      <c r="X472" s="1" t="s">
        <v>160</v>
      </c>
      <c r="Y472" s="1" t="s">
        <v>160</v>
      </c>
      <c r="Z472" s="1" t="s">
        <v>160</v>
      </c>
      <c r="AA472" s="1" t="s">
        <v>160</v>
      </c>
      <c r="AB472" s="1" t="s">
        <v>160</v>
      </c>
      <c r="AC472" s="1" t="s">
        <v>160</v>
      </c>
      <c r="AD472" s="1" t="s">
        <v>160</v>
      </c>
      <c r="AE472" s="1" t="s">
        <v>160</v>
      </c>
      <c r="AF472" s="1" t="s">
        <v>160</v>
      </c>
      <c r="AG472" s="1" t="s">
        <v>160</v>
      </c>
      <c r="AI472" s="1" t="s">
        <v>160</v>
      </c>
      <c r="AJ472" s="1" t="s">
        <v>164</v>
      </c>
      <c r="AK472" s="1" t="s">
        <v>192</v>
      </c>
      <c r="AL472" s="1" t="s">
        <v>163</v>
      </c>
      <c r="AM472" s="1" t="s">
        <v>198</v>
      </c>
      <c r="AN472" s="1" t="s">
        <v>163</v>
      </c>
      <c r="AO472" s="1" t="s">
        <v>179</v>
      </c>
      <c r="AP472" s="1" t="s">
        <v>165</v>
      </c>
      <c r="AR472" s="1" t="s">
        <v>160</v>
      </c>
      <c r="AS472" s="1" t="s">
        <v>160</v>
      </c>
      <c r="AT472" s="1" t="s">
        <v>307</v>
      </c>
      <c r="AU472" s="1" t="s">
        <v>160</v>
      </c>
      <c r="AV472" s="1" t="s">
        <v>159</v>
      </c>
      <c r="AW472" s="1" t="s">
        <v>160</v>
      </c>
      <c r="AX472" s="1" t="s">
        <v>159</v>
      </c>
      <c r="AY472" s="1" t="s">
        <v>160</v>
      </c>
      <c r="AZ472" s="1" t="s">
        <v>160</v>
      </c>
      <c r="BA472" s="1" t="s">
        <v>160</v>
      </c>
      <c r="BB472" s="1" t="s">
        <v>181</v>
      </c>
      <c r="BC472" s="1" t="s">
        <v>160</v>
      </c>
      <c r="BD472" s="1" t="s">
        <v>2066</v>
      </c>
      <c r="BE472" s="1" t="s">
        <v>2067</v>
      </c>
      <c r="BF472" s="1" t="s">
        <v>160</v>
      </c>
    </row>
    <row r="473" spans="1:58" ht="13" x14ac:dyDescent="0.15">
      <c r="A473" s="2">
        <v>44176.03402777778</v>
      </c>
      <c r="B473" s="2">
        <v>44176.035416666666</v>
      </c>
      <c r="C473" s="1" t="s">
        <v>39</v>
      </c>
      <c r="D473" s="1" t="s">
        <v>234</v>
      </c>
      <c r="E473" s="1">
        <v>100</v>
      </c>
      <c r="F473" s="1">
        <v>121</v>
      </c>
      <c r="G473" s="1" t="b">
        <v>1</v>
      </c>
      <c r="H473" s="2">
        <v>44176.035416666666</v>
      </c>
      <c r="I473" s="1" t="s">
        <v>2068</v>
      </c>
      <c r="N473" s="1">
        <v>34.048492430000003</v>
      </c>
      <c r="O473" s="1">
        <v>-118.2528992</v>
      </c>
      <c r="P473" s="1" t="s">
        <v>153</v>
      </c>
      <c r="Q473" s="1" t="s">
        <v>154</v>
      </c>
      <c r="R473" s="1" t="s">
        <v>155</v>
      </c>
      <c r="S473" s="1" t="s">
        <v>208</v>
      </c>
      <c r="T473" s="1" t="s">
        <v>176</v>
      </c>
      <c r="U473" s="1" t="s">
        <v>2069</v>
      </c>
      <c r="V473" s="1" t="s">
        <v>160</v>
      </c>
      <c r="W473" s="1" t="s">
        <v>160</v>
      </c>
      <c r="X473" s="1" t="s">
        <v>160</v>
      </c>
      <c r="Y473" s="1" t="s">
        <v>160</v>
      </c>
      <c r="Z473" s="1" t="s">
        <v>160</v>
      </c>
      <c r="AA473" s="1" t="s">
        <v>160</v>
      </c>
      <c r="AB473" s="1" t="s">
        <v>160</v>
      </c>
      <c r="AC473" s="1" t="s">
        <v>160</v>
      </c>
      <c r="AD473" s="1" t="s">
        <v>160</v>
      </c>
      <c r="AE473" s="1" t="s">
        <v>160</v>
      </c>
      <c r="AF473" s="1" t="s">
        <v>160</v>
      </c>
      <c r="AG473" s="1" t="s">
        <v>160</v>
      </c>
      <c r="AI473" s="1" t="s">
        <v>160</v>
      </c>
      <c r="AJ473" s="1" t="s">
        <v>163</v>
      </c>
      <c r="AK473" s="1" t="s">
        <v>164</v>
      </c>
      <c r="AL473" s="1" t="s">
        <v>164</v>
      </c>
      <c r="AM473" s="1" t="s">
        <v>192</v>
      </c>
      <c r="AN473" s="1" t="s">
        <v>192</v>
      </c>
      <c r="AO473" s="1" t="s">
        <v>179</v>
      </c>
      <c r="AP473" s="1" t="s">
        <v>165</v>
      </c>
      <c r="AR473" s="1" t="s">
        <v>160</v>
      </c>
      <c r="AS473" s="1" t="s">
        <v>160</v>
      </c>
      <c r="AT473" s="1" t="s">
        <v>2070</v>
      </c>
      <c r="AU473" s="1" t="s">
        <v>160</v>
      </c>
      <c r="AV473" s="1" t="s">
        <v>159</v>
      </c>
      <c r="AW473" s="1" t="s">
        <v>159</v>
      </c>
      <c r="AX473" s="1" t="s">
        <v>159</v>
      </c>
      <c r="AY473" s="1" t="s">
        <v>160</v>
      </c>
      <c r="AZ473" s="1" t="s">
        <v>159</v>
      </c>
      <c r="BA473" s="1" t="s">
        <v>160</v>
      </c>
      <c r="BB473" s="1" t="s">
        <v>167</v>
      </c>
      <c r="BC473" s="1" t="s">
        <v>160</v>
      </c>
      <c r="BD473" s="1" t="s">
        <v>525</v>
      </c>
      <c r="BE473" s="1" t="s">
        <v>2071</v>
      </c>
      <c r="BF473" s="1" t="s">
        <v>160</v>
      </c>
    </row>
    <row r="474" spans="1:58" ht="13" x14ac:dyDescent="0.15">
      <c r="A474" s="2">
        <v>44176.035416666666</v>
      </c>
      <c r="B474" s="2">
        <v>44176.036805555559</v>
      </c>
      <c r="C474" s="1" t="s">
        <v>39</v>
      </c>
      <c r="D474" s="1" t="s">
        <v>234</v>
      </c>
      <c r="E474" s="1">
        <v>100</v>
      </c>
      <c r="F474" s="1">
        <v>121</v>
      </c>
      <c r="G474" s="1" t="b">
        <v>1</v>
      </c>
      <c r="H474" s="2">
        <v>44176.036805555559</v>
      </c>
      <c r="I474" s="1" t="s">
        <v>2072</v>
      </c>
      <c r="N474" s="1">
        <v>34.048492430000003</v>
      </c>
      <c r="O474" s="1">
        <v>-118.2528992</v>
      </c>
      <c r="P474" s="1" t="s">
        <v>153</v>
      </c>
      <c r="Q474" s="1" t="s">
        <v>154</v>
      </c>
      <c r="R474" s="1" t="s">
        <v>236</v>
      </c>
      <c r="S474" s="1" t="s">
        <v>208</v>
      </c>
      <c r="T474" s="1" t="s">
        <v>263</v>
      </c>
      <c r="U474" s="1" t="s">
        <v>1039</v>
      </c>
      <c r="V474" s="1" t="s">
        <v>160</v>
      </c>
      <c r="W474" s="1" t="s">
        <v>160</v>
      </c>
      <c r="X474" s="1" t="s">
        <v>160</v>
      </c>
      <c r="Y474" s="1" t="s">
        <v>160</v>
      </c>
      <c r="Z474" s="1" t="s">
        <v>160</v>
      </c>
      <c r="AA474" s="1" t="s">
        <v>160</v>
      </c>
      <c r="AB474" s="1" t="s">
        <v>160</v>
      </c>
      <c r="AC474" s="1" t="s">
        <v>160</v>
      </c>
      <c r="AD474" s="1" t="s">
        <v>160</v>
      </c>
      <c r="AE474" s="1" t="s">
        <v>160</v>
      </c>
      <c r="AF474" s="1" t="s">
        <v>160</v>
      </c>
      <c r="AG474" s="1" t="s">
        <v>160</v>
      </c>
      <c r="AI474" s="1" t="s">
        <v>160</v>
      </c>
      <c r="AJ474" s="1" t="s">
        <v>192</v>
      </c>
      <c r="AK474" s="1" t="s">
        <v>192</v>
      </c>
      <c r="AL474" s="1" t="s">
        <v>198</v>
      </c>
      <c r="AM474" s="1" t="s">
        <v>198</v>
      </c>
      <c r="AN474" s="1" t="s">
        <v>198</v>
      </c>
      <c r="AO474" s="1" t="s">
        <v>179</v>
      </c>
      <c r="AP474" s="1" t="s">
        <v>165</v>
      </c>
      <c r="AR474" s="1" t="s">
        <v>160</v>
      </c>
      <c r="AS474" s="1" t="s">
        <v>160</v>
      </c>
      <c r="AT474" s="1" t="s">
        <v>2073</v>
      </c>
      <c r="AU474" s="1" t="s">
        <v>159</v>
      </c>
      <c r="AV474" s="1" t="s">
        <v>160</v>
      </c>
      <c r="AW474" s="1" t="s">
        <v>160</v>
      </c>
      <c r="AX474" s="1" t="s">
        <v>160</v>
      </c>
      <c r="AY474" s="1" t="s">
        <v>159</v>
      </c>
      <c r="AZ474" s="1" t="s">
        <v>159</v>
      </c>
      <c r="BA474" s="1" t="s">
        <v>160</v>
      </c>
      <c r="BB474" s="1" t="s">
        <v>181</v>
      </c>
      <c r="BC474" s="1" t="s">
        <v>160</v>
      </c>
      <c r="BD474" s="1" t="s">
        <v>2074</v>
      </c>
      <c r="BE474" s="1" t="s">
        <v>2075</v>
      </c>
      <c r="BF474" s="1" t="s">
        <v>160</v>
      </c>
    </row>
    <row r="475" spans="1:58" ht="13" x14ac:dyDescent="0.15">
      <c r="A475" s="2">
        <v>44176.036805555559</v>
      </c>
      <c r="B475" s="2">
        <v>44176.038194444445</v>
      </c>
      <c r="C475" s="1" t="s">
        <v>39</v>
      </c>
      <c r="D475" s="1" t="s">
        <v>234</v>
      </c>
      <c r="E475" s="1">
        <v>100</v>
      </c>
      <c r="F475" s="1">
        <v>120</v>
      </c>
      <c r="G475" s="1" t="b">
        <v>1</v>
      </c>
      <c r="H475" s="2">
        <v>44176.038194444445</v>
      </c>
      <c r="I475" s="1" t="s">
        <v>2076</v>
      </c>
      <c r="N475" s="1">
        <v>34.048492430000003</v>
      </c>
      <c r="O475" s="1">
        <v>-118.2528992</v>
      </c>
      <c r="P475" s="1" t="s">
        <v>153</v>
      </c>
      <c r="Q475" s="1" t="s">
        <v>154</v>
      </c>
      <c r="R475" s="1" t="s">
        <v>174</v>
      </c>
      <c r="S475" s="1" t="s">
        <v>175</v>
      </c>
      <c r="T475" s="1" t="s">
        <v>237</v>
      </c>
      <c r="U475" s="1" t="s">
        <v>2077</v>
      </c>
      <c r="V475" s="1" t="s">
        <v>160</v>
      </c>
      <c r="W475" s="1" t="s">
        <v>160</v>
      </c>
      <c r="X475" s="1" t="s">
        <v>160</v>
      </c>
      <c r="Y475" s="1" t="s">
        <v>160</v>
      </c>
      <c r="Z475" s="1" t="s">
        <v>160</v>
      </c>
      <c r="AA475" s="1" t="s">
        <v>160</v>
      </c>
      <c r="AB475" s="1" t="s">
        <v>160</v>
      </c>
      <c r="AC475" s="1" t="s">
        <v>160</v>
      </c>
      <c r="AD475" s="1" t="s">
        <v>160</v>
      </c>
      <c r="AE475" s="1" t="s">
        <v>160</v>
      </c>
      <c r="AF475" s="1" t="s">
        <v>160</v>
      </c>
      <c r="AG475" s="1" t="s">
        <v>160</v>
      </c>
      <c r="AI475" s="1" t="s">
        <v>160</v>
      </c>
      <c r="AJ475" s="1" t="s">
        <v>192</v>
      </c>
      <c r="AK475" s="1" t="s">
        <v>198</v>
      </c>
      <c r="AL475" s="1" t="s">
        <v>198</v>
      </c>
      <c r="AM475" s="1" t="s">
        <v>164</v>
      </c>
      <c r="AN475" s="1" t="s">
        <v>192</v>
      </c>
      <c r="AO475" s="1" t="s">
        <v>179</v>
      </c>
      <c r="AP475" s="1" t="s">
        <v>165</v>
      </c>
      <c r="AR475" s="1" t="s">
        <v>160</v>
      </c>
      <c r="AS475" s="1" t="s">
        <v>160</v>
      </c>
      <c r="AT475" s="1" t="s">
        <v>2078</v>
      </c>
      <c r="AU475" s="1" t="s">
        <v>160</v>
      </c>
      <c r="AV475" s="1" t="s">
        <v>160</v>
      </c>
      <c r="AW475" s="1" t="s">
        <v>160</v>
      </c>
      <c r="AX475" s="1" t="s">
        <v>159</v>
      </c>
      <c r="AY475" s="1" t="s">
        <v>160</v>
      </c>
      <c r="AZ475" s="1" t="s">
        <v>160</v>
      </c>
      <c r="BA475" s="1" t="s">
        <v>159</v>
      </c>
      <c r="BB475" s="1" t="s">
        <v>222</v>
      </c>
      <c r="BC475" s="1" t="s">
        <v>160</v>
      </c>
      <c r="BD475" s="1" t="s">
        <v>2079</v>
      </c>
      <c r="BE475" s="1" t="s">
        <v>2080</v>
      </c>
      <c r="BF475" s="1" t="s">
        <v>160</v>
      </c>
    </row>
    <row r="476" spans="1:58" ht="13" x14ac:dyDescent="0.15">
      <c r="A476" s="2">
        <v>44176.038888888892</v>
      </c>
      <c r="B476" s="2">
        <v>44176.040277777778</v>
      </c>
      <c r="C476" s="1" t="s">
        <v>39</v>
      </c>
      <c r="D476" s="1" t="s">
        <v>234</v>
      </c>
      <c r="E476" s="1">
        <v>100</v>
      </c>
      <c r="F476" s="1">
        <v>116</v>
      </c>
      <c r="G476" s="1" t="b">
        <v>1</v>
      </c>
      <c r="H476" s="2">
        <v>44176.040277777778</v>
      </c>
      <c r="I476" s="1" t="s">
        <v>2081</v>
      </c>
      <c r="N476" s="1">
        <v>34.048492430000003</v>
      </c>
      <c r="O476" s="1">
        <v>-118.2528992</v>
      </c>
      <c r="P476" s="1" t="s">
        <v>153</v>
      </c>
      <c r="Q476" s="1" t="s">
        <v>154</v>
      </c>
      <c r="R476" s="1" t="s">
        <v>236</v>
      </c>
      <c r="S476" s="1" t="s">
        <v>274</v>
      </c>
      <c r="T476" s="1" t="s">
        <v>245</v>
      </c>
      <c r="U476" s="1" t="s">
        <v>730</v>
      </c>
      <c r="V476" s="1" t="s">
        <v>160</v>
      </c>
      <c r="W476" s="1" t="s">
        <v>160</v>
      </c>
      <c r="X476" s="1" t="s">
        <v>160</v>
      </c>
      <c r="Y476" s="1" t="s">
        <v>160</v>
      </c>
      <c r="Z476" s="1" t="s">
        <v>160</v>
      </c>
      <c r="AA476" s="1" t="s">
        <v>160</v>
      </c>
      <c r="AB476" s="1" t="s">
        <v>160</v>
      </c>
      <c r="AC476" s="1" t="s">
        <v>160</v>
      </c>
      <c r="AD476" s="1" t="s">
        <v>160</v>
      </c>
      <c r="AE476" s="1" t="s">
        <v>160</v>
      </c>
      <c r="AF476" s="1" t="s">
        <v>160</v>
      </c>
      <c r="AG476" s="1" t="s">
        <v>160</v>
      </c>
      <c r="AI476" s="1" t="s">
        <v>160</v>
      </c>
      <c r="AJ476" s="1" t="s">
        <v>164</v>
      </c>
      <c r="AK476" s="1" t="s">
        <v>198</v>
      </c>
      <c r="AL476" s="1" t="s">
        <v>164</v>
      </c>
      <c r="AM476" s="1" t="s">
        <v>163</v>
      </c>
      <c r="AN476" s="1" t="s">
        <v>163</v>
      </c>
      <c r="AO476" s="1" t="s">
        <v>179</v>
      </c>
      <c r="AP476" s="1" t="s">
        <v>165</v>
      </c>
      <c r="AR476" s="1" t="s">
        <v>160</v>
      </c>
      <c r="AS476" s="1" t="s">
        <v>160</v>
      </c>
      <c r="AT476" s="1" t="s">
        <v>2082</v>
      </c>
      <c r="AU476" s="1" t="s">
        <v>159</v>
      </c>
      <c r="AV476" s="1" t="s">
        <v>159</v>
      </c>
      <c r="AW476" s="1" t="s">
        <v>159</v>
      </c>
      <c r="AX476" s="1" t="s">
        <v>159</v>
      </c>
      <c r="AY476" s="1" t="s">
        <v>159</v>
      </c>
      <c r="AZ476" s="1" t="s">
        <v>160</v>
      </c>
      <c r="BA476" s="1" t="s">
        <v>160</v>
      </c>
      <c r="BB476" s="1" t="s">
        <v>167</v>
      </c>
      <c r="BC476" s="1" t="s">
        <v>160</v>
      </c>
      <c r="BD476" s="1" t="s">
        <v>2083</v>
      </c>
      <c r="BE476" s="1" t="s">
        <v>2084</v>
      </c>
      <c r="BF476" s="1" t="s">
        <v>160</v>
      </c>
    </row>
    <row r="477" spans="1:58" ht="13" x14ac:dyDescent="0.15">
      <c r="A477" s="2">
        <v>44176.040277777778</v>
      </c>
      <c r="B477" s="2">
        <v>44176.041666666664</v>
      </c>
      <c r="C477" s="1" t="s">
        <v>39</v>
      </c>
      <c r="D477" s="1" t="s">
        <v>234</v>
      </c>
      <c r="E477" s="1">
        <v>100</v>
      </c>
      <c r="F477" s="1">
        <v>118</v>
      </c>
      <c r="G477" s="1" t="b">
        <v>1</v>
      </c>
      <c r="H477" s="2">
        <v>44176.041666666664</v>
      </c>
      <c r="I477" s="1" t="s">
        <v>2085</v>
      </c>
      <c r="N477" s="1">
        <v>34.048492430000003</v>
      </c>
      <c r="O477" s="1">
        <v>-118.2528992</v>
      </c>
      <c r="P477" s="1" t="s">
        <v>153</v>
      </c>
      <c r="Q477" s="1" t="s">
        <v>154</v>
      </c>
      <c r="R477" s="1" t="s">
        <v>174</v>
      </c>
      <c r="S477" s="1" t="s">
        <v>175</v>
      </c>
      <c r="T477" s="1" t="s">
        <v>237</v>
      </c>
      <c r="U477" s="1" t="s">
        <v>2086</v>
      </c>
      <c r="V477" s="1" t="s">
        <v>160</v>
      </c>
      <c r="W477" s="1" t="s">
        <v>160</v>
      </c>
      <c r="X477" s="1" t="s">
        <v>160</v>
      </c>
      <c r="Y477" s="1" t="s">
        <v>160</v>
      </c>
      <c r="Z477" s="1" t="s">
        <v>160</v>
      </c>
      <c r="AA477" s="1" t="s">
        <v>160</v>
      </c>
      <c r="AB477" s="1" t="s">
        <v>160</v>
      </c>
      <c r="AC477" s="1" t="s">
        <v>160</v>
      </c>
      <c r="AD477" s="1" t="s">
        <v>160</v>
      </c>
      <c r="AE477" s="1" t="s">
        <v>160</v>
      </c>
      <c r="AF477" s="1" t="s">
        <v>160</v>
      </c>
      <c r="AG477" s="1" t="s">
        <v>160</v>
      </c>
      <c r="AI477" s="1" t="s">
        <v>160</v>
      </c>
      <c r="AJ477" s="1" t="s">
        <v>164</v>
      </c>
      <c r="AK477" s="1" t="s">
        <v>192</v>
      </c>
      <c r="AL477" s="1" t="s">
        <v>192</v>
      </c>
      <c r="AM477" s="1" t="s">
        <v>198</v>
      </c>
      <c r="AN477" s="1" t="s">
        <v>163</v>
      </c>
      <c r="AO477" s="1" t="s">
        <v>179</v>
      </c>
      <c r="AP477" s="1" t="s">
        <v>239</v>
      </c>
      <c r="AR477" s="1" t="s">
        <v>160</v>
      </c>
      <c r="AS477" s="1" t="s">
        <v>160</v>
      </c>
      <c r="AT477" s="1" t="s">
        <v>731</v>
      </c>
      <c r="AU477" s="1" t="s">
        <v>160</v>
      </c>
      <c r="AV477" s="1" t="s">
        <v>159</v>
      </c>
      <c r="AW477" s="1" t="s">
        <v>159</v>
      </c>
      <c r="AX477" s="1" t="s">
        <v>159</v>
      </c>
      <c r="AY477" s="1" t="s">
        <v>160</v>
      </c>
      <c r="AZ477" s="1" t="s">
        <v>159</v>
      </c>
      <c r="BA477" s="1" t="s">
        <v>159</v>
      </c>
      <c r="BB477" s="1" t="s">
        <v>181</v>
      </c>
      <c r="BC477" s="1" t="s">
        <v>160</v>
      </c>
      <c r="BD477" s="1" t="s">
        <v>2087</v>
      </c>
      <c r="BE477" s="1" t="s">
        <v>2088</v>
      </c>
      <c r="BF477" s="1" t="s">
        <v>160</v>
      </c>
    </row>
    <row r="478" spans="1:58" ht="13" x14ac:dyDescent="0.15">
      <c r="A478" s="2">
        <v>44176.041666666664</v>
      </c>
      <c r="B478" s="2">
        <v>44176.043055555558</v>
      </c>
      <c r="C478" s="1" t="s">
        <v>39</v>
      </c>
      <c r="D478" s="1" t="s">
        <v>234</v>
      </c>
      <c r="E478" s="1">
        <v>100</v>
      </c>
      <c r="F478" s="1">
        <v>120</v>
      </c>
      <c r="G478" s="1" t="b">
        <v>1</v>
      </c>
      <c r="H478" s="2">
        <v>44176.043055555558</v>
      </c>
      <c r="I478" s="1" t="s">
        <v>2089</v>
      </c>
      <c r="N478" s="1">
        <v>34.048492430000003</v>
      </c>
      <c r="O478" s="1">
        <v>-118.2528992</v>
      </c>
      <c r="P478" s="1" t="s">
        <v>153</v>
      </c>
      <c r="Q478" s="1" t="s">
        <v>154</v>
      </c>
      <c r="R478" s="1" t="s">
        <v>236</v>
      </c>
      <c r="S478" s="1" t="s">
        <v>226</v>
      </c>
      <c r="T478" s="1" t="s">
        <v>237</v>
      </c>
      <c r="U478" s="1" t="s">
        <v>427</v>
      </c>
      <c r="V478" s="1" t="s">
        <v>160</v>
      </c>
      <c r="W478" s="1" t="s">
        <v>160</v>
      </c>
      <c r="X478" s="1" t="s">
        <v>160</v>
      </c>
      <c r="Y478" s="1" t="s">
        <v>160</v>
      </c>
      <c r="Z478" s="1" t="s">
        <v>160</v>
      </c>
      <c r="AA478" s="1" t="s">
        <v>160</v>
      </c>
      <c r="AB478" s="1" t="s">
        <v>160</v>
      </c>
      <c r="AC478" s="1" t="s">
        <v>160</v>
      </c>
      <c r="AD478" s="1" t="s">
        <v>160</v>
      </c>
      <c r="AE478" s="1" t="s">
        <v>160</v>
      </c>
      <c r="AF478" s="1" t="s">
        <v>160</v>
      </c>
      <c r="AG478" s="1" t="s">
        <v>160</v>
      </c>
      <c r="AI478" s="1" t="s">
        <v>160</v>
      </c>
      <c r="AJ478" s="1" t="s">
        <v>198</v>
      </c>
      <c r="AK478" s="1" t="s">
        <v>163</v>
      </c>
      <c r="AL478" s="1" t="s">
        <v>163</v>
      </c>
      <c r="AM478" s="1" t="s">
        <v>198</v>
      </c>
      <c r="AN478" s="1" t="s">
        <v>192</v>
      </c>
      <c r="AO478" s="1" t="s">
        <v>179</v>
      </c>
      <c r="AP478" s="1" t="s">
        <v>165</v>
      </c>
      <c r="AR478" s="1" t="s">
        <v>160</v>
      </c>
      <c r="AS478" s="1" t="s">
        <v>160</v>
      </c>
      <c r="AT478" s="1" t="s">
        <v>1386</v>
      </c>
      <c r="AU478" s="1" t="s">
        <v>159</v>
      </c>
      <c r="AV478" s="1" t="s">
        <v>159</v>
      </c>
      <c r="AW478" s="1" t="s">
        <v>159</v>
      </c>
      <c r="AX478" s="1" t="s">
        <v>160</v>
      </c>
      <c r="AY478" s="1" t="s">
        <v>159</v>
      </c>
      <c r="AZ478" s="1" t="s">
        <v>160</v>
      </c>
      <c r="BA478" s="1" t="s">
        <v>159</v>
      </c>
      <c r="BB478" s="1" t="s">
        <v>222</v>
      </c>
      <c r="BC478" s="1" t="s">
        <v>160</v>
      </c>
      <c r="BD478" s="1" t="s">
        <v>2090</v>
      </c>
      <c r="BE478" s="1" t="s">
        <v>2091</v>
      </c>
      <c r="BF478" s="1" t="s">
        <v>160</v>
      </c>
    </row>
    <row r="479" spans="1:58" ht="13" x14ac:dyDescent="0.15">
      <c r="A479" s="2">
        <v>44176.043749999997</v>
      </c>
      <c r="B479" s="2">
        <v>44176.045138888891</v>
      </c>
      <c r="C479" s="1" t="s">
        <v>39</v>
      </c>
      <c r="D479" s="1" t="s">
        <v>234</v>
      </c>
      <c r="E479" s="1">
        <v>100</v>
      </c>
      <c r="F479" s="1">
        <v>121</v>
      </c>
      <c r="G479" s="1" t="b">
        <v>1</v>
      </c>
      <c r="H479" s="2">
        <v>44176.045138888891</v>
      </c>
      <c r="I479" s="1" t="s">
        <v>2092</v>
      </c>
      <c r="N479" s="1">
        <v>34.048492430000003</v>
      </c>
      <c r="O479" s="1">
        <v>-118.2528992</v>
      </c>
      <c r="P479" s="1" t="s">
        <v>153</v>
      </c>
      <c r="Q479" s="1" t="s">
        <v>154</v>
      </c>
      <c r="R479" s="1" t="s">
        <v>174</v>
      </c>
      <c r="S479" s="1" t="s">
        <v>175</v>
      </c>
      <c r="T479" s="1" t="s">
        <v>157</v>
      </c>
      <c r="U479" s="1" t="s">
        <v>2093</v>
      </c>
      <c r="V479" s="1" t="s">
        <v>160</v>
      </c>
      <c r="W479" s="1" t="s">
        <v>160</v>
      </c>
      <c r="X479" s="1" t="s">
        <v>160</v>
      </c>
      <c r="Y479" s="1" t="s">
        <v>160</v>
      </c>
      <c r="Z479" s="1" t="s">
        <v>160</v>
      </c>
      <c r="AA479" s="1" t="s">
        <v>160</v>
      </c>
      <c r="AB479" s="1" t="s">
        <v>160</v>
      </c>
      <c r="AC479" s="1" t="s">
        <v>160</v>
      </c>
      <c r="AD479" s="1" t="s">
        <v>160</v>
      </c>
      <c r="AE479" s="1" t="s">
        <v>160</v>
      </c>
      <c r="AF479" s="1" t="s">
        <v>160</v>
      </c>
      <c r="AG479" s="1" t="s">
        <v>160</v>
      </c>
      <c r="AI479" s="1" t="s">
        <v>160</v>
      </c>
      <c r="AJ479" s="1" t="s">
        <v>198</v>
      </c>
      <c r="AK479" s="1" t="s">
        <v>163</v>
      </c>
      <c r="AL479" s="1" t="s">
        <v>164</v>
      </c>
      <c r="AM479" s="1" t="s">
        <v>198</v>
      </c>
      <c r="AN479" s="1" t="s">
        <v>164</v>
      </c>
      <c r="AO479" s="1" t="s">
        <v>179</v>
      </c>
      <c r="AP479" s="1" t="s">
        <v>239</v>
      </c>
      <c r="AR479" s="1" t="s">
        <v>160</v>
      </c>
      <c r="AS479" s="1" t="s">
        <v>160</v>
      </c>
      <c r="AT479" s="1" t="s">
        <v>2094</v>
      </c>
      <c r="AU479" s="1" t="s">
        <v>159</v>
      </c>
      <c r="AV479" s="1" t="s">
        <v>160</v>
      </c>
      <c r="AW479" s="1" t="s">
        <v>160</v>
      </c>
      <c r="AX479" s="1" t="s">
        <v>160</v>
      </c>
      <c r="AY479" s="1" t="s">
        <v>159</v>
      </c>
      <c r="AZ479" s="1" t="s">
        <v>160</v>
      </c>
      <c r="BA479" s="1" t="s">
        <v>159</v>
      </c>
      <c r="BB479" s="1" t="s">
        <v>181</v>
      </c>
      <c r="BC479" s="1" t="s">
        <v>160</v>
      </c>
      <c r="BD479" s="1" t="s">
        <v>2095</v>
      </c>
      <c r="BE479" s="1" t="s">
        <v>2096</v>
      </c>
      <c r="BF479" s="1" t="s">
        <v>160</v>
      </c>
    </row>
    <row r="480" spans="1:58" ht="13" x14ac:dyDescent="0.15">
      <c r="A480" s="2">
        <v>44176.045138888891</v>
      </c>
      <c r="B480" s="2">
        <v>44176.046527777777</v>
      </c>
      <c r="C480" s="1" t="s">
        <v>39</v>
      </c>
      <c r="D480" s="1" t="s">
        <v>234</v>
      </c>
      <c r="E480" s="1">
        <v>100</v>
      </c>
      <c r="F480" s="1">
        <v>120</v>
      </c>
      <c r="G480" s="1" t="b">
        <v>1</v>
      </c>
      <c r="H480" s="2">
        <v>44176.046527777777</v>
      </c>
      <c r="I480" s="1" t="s">
        <v>2097</v>
      </c>
      <c r="N480" s="1">
        <v>34.048492430000003</v>
      </c>
      <c r="O480" s="1">
        <v>-118.2528992</v>
      </c>
      <c r="P480" s="1" t="s">
        <v>153</v>
      </c>
      <c r="Q480" s="1" t="s">
        <v>154</v>
      </c>
      <c r="R480" s="1" t="s">
        <v>174</v>
      </c>
      <c r="S480" s="1" t="s">
        <v>274</v>
      </c>
      <c r="T480" s="1" t="s">
        <v>245</v>
      </c>
      <c r="U480" s="1" t="s">
        <v>290</v>
      </c>
      <c r="V480" s="1" t="s">
        <v>160</v>
      </c>
      <c r="W480" s="1" t="s">
        <v>160</v>
      </c>
      <c r="X480" s="1" t="s">
        <v>160</v>
      </c>
      <c r="Y480" s="1" t="s">
        <v>160</v>
      </c>
      <c r="Z480" s="1" t="s">
        <v>160</v>
      </c>
      <c r="AA480" s="1" t="s">
        <v>160</v>
      </c>
      <c r="AB480" s="1" t="s">
        <v>160</v>
      </c>
      <c r="AC480" s="1" t="s">
        <v>160</v>
      </c>
      <c r="AD480" s="1" t="s">
        <v>160</v>
      </c>
      <c r="AE480" s="1" t="s">
        <v>160</v>
      </c>
      <c r="AF480" s="1" t="s">
        <v>160</v>
      </c>
      <c r="AG480" s="1" t="s">
        <v>160</v>
      </c>
      <c r="AI480" s="1" t="s">
        <v>160</v>
      </c>
      <c r="AJ480" s="1" t="s">
        <v>198</v>
      </c>
      <c r="AK480" s="1" t="s">
        <v>198</v>
      </c>
      <c r="AL480" s="1" t="s">
        <v>192</v>
      </c>
      <c r="AM480" s="1" t="s">
        <v>163</v>
      </c>
      <c r="AN480" s="1" t="s">
        <v>198</v>
      </c>
      <c r="AO480" s="1" t="s">
        <v>179</v>
      </c>
      <c r="AP480" s="1" t="s">
        <v>165</v>
      </c>
      <c r="AR480" s="1" t="s">
        <v>160</v>
      </c>
      <c r="AS480" s="1" t="s">
        <v>160</v>
      </c>
      <c r="AT480" s="1" t="s">
        <v>2098</v>
      </c>
      <c r="AU480" s="1" t="s">
        <v>159</v>
      </c>
      <c r="AV480" s="1" t="s">
        <v>159</v>
      </c>
      <c r="AW480" s="1" t="s">
        <v>159</v>
      </c>
      <c r="AX480" s="1" t="s">
        <v>160</v>
      </c>
      <c r="AY480" s="1" t="s">
        <v>159</v>
      </c>
      <c r="AZ480" s="1" t="s">
        <v>160</v>
      </c>
      <c r="BA480" s="1" t="s">
        <v>159</v>
      </c>
      <c r="BB480" s="1" t="s">
        <v>181</v>
      </c>
      <c r="BC480" s="1" t="s">
        <v>160</v>
      </c>
      <c r="BD480" s="1" t="s">
        <v>2099</v>
      </c>
      <c r="BE480" s="1" t="s">
        <v>2100</v>
      </c>
      <c r="BF480" s="1" t="s">
        <v>160</v>
      </c>
    </row>
    <row r="481" spans="1:58" ht="13" x14ac:dyDescent="0.15">
      <c r="A481" s="2">
        <v>44176.047222222223</v>
      </c>
      <c r="B481" s="2">
        <v>44176.048611111109</v>
      </c>
      <c r="C481" s="1" t="s">
        <v>39</v>
      </c>
      <c r="D481" s="1" t="s">
        <v>234</v>
      </c>
      <c r="E481" s="1">
        <v>100</v>
      </c>
      <c r="F481" s="1">
        <v>121</v>
      </c>
      <c r="G481" s="1" t="b">
        <v>1</v>
      </c>
      <c r="H481" s="2">
        <v>44176.048611111109</v>
      </c>
      <c r="I481" s="1" t="s">
        <v>2101</v>
      </c>
      <c r="N481" s="1">
        <v>34.048492430000003</v>
      </c>
      <c r="O481" s="1">
        <v>-118.2528992</v>
      </c>
      <c r="P481" s="1" t="s">
        <v>153</v>
      </c>
      <c r="Q481" s="1" t="s">
        <v>154</v>
      </c>
      <c r="R481" s="1" t="s">
        <v>236</v>
      </c>
      <c r="S481" s="1" t="s">
        <v>274</v>
      </c>
      <c r="T481" s="1" t="s">
        <v>237</v>
      </c>
      <c r="U481" s="1" t="s">
        <v>2102</v>
      </c>
      <c r="V481" s="1" t="s">
        <v>160</v>
      </c>
      <c r="W481" s="1" t="s">
        <v>160</v>
      </c>
      <c r="X481" s="1" t="s">
        <v>160</v>
      </c>
      <c r="Y481" s="1" t="s">
        <v>160</v>
      </c>
      <c r="Z481" s="1" t="s">
        <v>160</v>
      </c>
      <c r="AA481" s="1" t="s">
        <v>160</v>
      </c>
      <c r="AB481" s="1" t="s">
        <v>160</v>
      </c>
      <c r="AC481" s="1" t="s">
        <v>160</v>
      </c>
      <c r="AD481" s="1" t="s">
        <v>160</v>
      </c>
      <c r="AE481" s="1" t="s">
        <v>160</v>
      </c>
      <c r="AF481" s="1" t="s">
        <v>160</v>
      </c>
      <c r="AG481" s="1" t="s">
        <v>160</v>
      </c>
      <c r="AI481" s="1" t="s">
        <v>160</v>
      </c>
      <c r="AJ481" s="1" t="s">
        <v>192</v>
      </c>
      <c r="AK481" s="1" t="s">
        <v>198</v>
      </c>
      <c r="AL481" s="1" t="s">
        <v>164</v>
      </c>
      <c r="AM481" s="1" t="s">
        <v>164</v>
      </c>
      <c r="AN481" s="1" t="s">
        <v>164</v>
      </c>
      <c r="AO481" s="1" t="s">
        <v>179</v>
      </c>
      <c r="AP481" s="1" t="s">
        <v>239</v>
      </c>
      <c r="AR481" s="1" t="s">
        <v>160</v>
      </c>
      <c r="AS481" s="1" t="s">
        <v>160</v>
      </c>
      <c r="AT481" s="1" t="s">
        <v>332</v>
      </c>
      <c r="AU481" s="1" t="s">
        <v>159</v>
      </c>
      <c r="AV481" s="1" t="s">
        <v>159</v>
      </c>
      <c r="AW481" s="1" t="s">
        <v>160</v>
      </c>
      <c r="AX481" s="1" t="s">
        <v>159</v>
      </c>
      <c r="AY481" s="1" t="s">
        <v>159</v>
      </c>
      <c r="AZ481" s="1" t="s">
        <v>159</v>
      </c>
      <c r="BA481" s="1" t="s">
        <v>160</v>
      </c>
      <c r="BB481" s="1" t="s">
        <v>222</v>
      </c>
      <c r="BC481" s="1" t="s">
        <v>160</v>
      </c>
      <c r="BD481" s="1" t="s">
        <v>407</v>
      </c>
      <c r="BE481" s="1" t="s">
        <v>2103</v>
      </c>
      <c r="BF481" s="1" t="s">
        <v>160</v>
      </c>
    </row>
    <row r="482" spans="1:58" ht="13" x14ac:dyDescent="0.15">
      <c r="A482" s="2">
        <v>44176.048611111109</v>
      </c>
      <c r="B482" s="2">
        <v>44176.05</v>
      </c>
      <c r="C482" s="1" t="s">
        <v>39</v>
      </c>
      <c r="D482" s="1" t="s">
        <v>234</v>
      </c>
      <c r="E482" s="1">
        <v>100</v>
      </c>
      <c r="F482" s="1">
        <v>118</v>
      </c>
      <c r="G482" s="1" t="b">
        <v>1</v>
      </c>
      <c r="H482" s="2">
        <v>44176.05</v>
      </c>
      <c r="I482" s="1" t="s">
        <v>2104</v>
      </c>
      <c r="N482" s="1">
        <v>34.048492430000003</v>
      </c>
      <c r="O482" s="1">
        <v>-118.2528992</v>
      </c>
      <c r="P482" s="1" t="s">
        <v>153</v>
      </c>
      <c r="Q482" s="1" t="s">
        <v>154</v>
      </c>
      <c r="R482" s="1" t="s">
        <v>155</v>
      </c>
      <c r="S482" s="1" t="s">
        <v>274</v>
      </c>
      <c r="T482" s="1" t="s">
        <v>245</v>
      </c>
      <c r="U482" s="1" t="s">
        <v>2105</v>
      </c>
      <c r="V482" s="1" t="s">
        <v>160</v>
      </c>
      <c r="W482" s="1" t="s">
        <v>160</v>
      </c>
      <c r="X482" s="1" t="s">
        <v>160</v>
      </c>
      <c r="Y482" s="1" t="s">
        <v>160</v>
      </c>
      <c r="Z482" s="1" t="s">
        <v>160</v>
      </c>
      <c r="AA482" s="1" t="s">
        <v>160</v>
      </c>
      <c r="AB482" s="1" t="s">
        <v>160</v>
      </c>
      <c r="AC482" s="1" t="s">
        <v>160</v>
      </c>
      <c r="AD482" s="1" t="s">
        <v>160</v>
      </c>
      <c r="AE482" s="1" t="s">
        <v>160</v>
      </c>
      <c r="AF482" s="1" t="s">
        <v>160</v>
      </c>
      <c r="AG482" s="1" t="s">
        <v>160</v>
      </c>
      <c r="AI482" s="1" t="s">
        <v>160</v>
      </c>
      <c r="AJ482" s="1" t="s">
        <v>198</v>
      </c>
      <c r="AK482" s="1" t="s">
        <v>163</v>
      </c>
      <c r="AL482" s="1" t="s">
        <v>192</v>
      </c>
      <c r="AM482" s="1" t="s">
        <v>164</v>
      </c>
      <c r="AN482" s="1" t="s">
        <v>164</v>
      </c>
      <c r="AO482" s="1" t="s">
        <v>179</v>
      </c>
      <c r="AP482" s="1" t="s">
        <v>179</v>
      </c>
      <c r="AR482" s="1" t="s">
        <v>160</v>
      </c>
      <c r="AS482" s="1" t="s">
        <v>160</v>
      </c>
      <c r="AT482" s="1" t="s">
        <v>327</v>
      </c>
      <c r="AU482" s="1" t="s">
        <v>160</v>
      </c>
      <c r="AV482" s="1" t="s">
        <v>160</v>
      </c>
      <c r="AW482" s="1" t="s">
        <v>160</v>
      </c>
      <c r="AX482" s="1" t="s">
        <v>159</v>
      </c>
      <c r="AY482" s="1" t="s">
        <v>160</v>
      </c>
      <c r="AZ482" s="1" t="s">
        <v>159</v>
      </c>
      <c r="BA482" s="1" t="s">
        <v>160</v>
      </c>
      <c r="BB482" s="1" t="s">
        <v>241</v>
      </c>
      <c r="BC482" s="1" t="s">
        <v>160</v>
      </c>
      <c r="BD482" s="1" t="s">
        <v>2106</v>
      </c>
      <c r="BE482" s="1" t="s">
        <v>2107</v>
      </c>
      <c r="BF482" s="1" t="s">
        <v>160</v>
      </c>
    </row>
    <row r="483" spans="1:58" ht="13" x14ac:dyDescent="0.15">
      <c r="A483" s="2">
        <v>44176.05</v>
      </c>
      <c r="B483" s="2">
        <v>44176.051388888889</v>
      </c>
      <c r="C483" s="1" t="s">
        <v>39</v>
      </c>
      <c r="D483" s="1" t="s">
        <v>234</v>
      </c>
      <c r="E483" s="1">
        <v>100</v>
      </c>
      <c r="F483" s="1">
        <v>120</v>
      </c>
      <c r="G483" s="1" t="b">
        <v>1</v>
      </c>
      <c r="H483" s="2">
        <v>44176.051388888889</v>
      </c>
      <c r="I483" s="1" t="s">
        <v>2108</v>
      </c>
      <c r="N483" s="1">
        <v>34.048492430000003</v>
      </c>
      <c r="O483" s="1">
        <v>-118.2528992</v>
      </c>
      <c r="P483" s="1" t="s">
        <v>153</v>
      </c>
      <c r="Q483" s="1" t="s">
        <v>154</v>
      </c>
      <c r="R483" s="1" t="s">
        <v>174</v>
      </c>
      <c r="S483" s="1" t="s">
        <v>274</v>
      </c>
      <c r="T483" s="1" t="s">
        <v>245</v>
      </c>
      <c r="U483" s="1" t="s">
        <v>264</v>
      </c>
      <c r="V483" s="1" t="s">
        <v>160</v>
      </c>
      <c r="W483" s="1" t="s">
        <v>160</v>
      </c>
      <c r="X483" s="1" t="s">
        <v>160</v>
      </c>
      <c r="Y483" s="1" t="s">
        <v>160</v>
      </c>
      <c r="Z483" s="1" t="s">
        <v>160</v>
      </c>
      <c r="AA483" s="1" t="s">
        <v>160</v>
      </c>
      <c r="AB483" s="1" t="s">
        <v>160</v>
      </c>
      <c r="AC483" s="1" t="s">
        <v>160</v>
      </c>
      <c r="AD483" s="1" t="s">
        <v>160</v>
      </c>
      <c r="AE483" s="1" t="s">
        <v>160</v>
      </c>
      <c r="AF483" s="1" t="s">
        <v>160</v>
      </c>
      <c r="AG483" s="1" t="s">
        <v>160</v>
      </c>
      <c r="AI483" s="1" t="s">
        <v>160</v>
      </c>
      <c r="AJ483" s="1" t="s">
        <v>192</v>
      </c>
      <c r="AK483" s="1" t="s">
        <v>164</v>
      </c>
      <c r="AL483" s="1" t="s">
        <v>164</v>
      </c>
      <c r="AM483" s="1" t="s">
        <v>192</v>
      </c>
      <c r="AN483" s="1" t="s">
        <v>198</v>
      </c>
      <c r="AO483" s="1" t="s">
        <v>179</v>
      </c>
      <c r="AP483" s="1" t="s">
        <v>179</v>
      </c>
      <c r="AR483" s="1" t="s">
        <v>160</v>
      </c>
      <c r="AS483" s="1" t="s">
        <v>160</v>
      </c>
      <c r="AT483" s="1" t="s">
        <v>2109</v>
      </c>
      <c r="AU483" s="1" t="s">
        <v>159</v>
      </c>
      <c r="AV483" s="1" t="s">
        <v>159</v>
      </c>
      <c r="AW483" s="1" t="s">
        <v>159</v>
      </c>
      <c r="AX483" s="1" t="s">
        <v>159</v>
      </c>
      <c r="AY483" s="1" t="s">
        <v>160</v>
      </c>
      <c r="AZ483" s="1" t="s">
        <v>159</v>
      </c>
      <c r="BA483" s="1" t="s">
        <v>160</v>
      </c>
      <c r="BB483" s="1" t="s">
        <v>167</v>
      </c>
      <c r="BC483" s="1" t="s">
        <v>160</v>
      </c>
      <c r="BD483" s="1" t="s">
        <v>2110</v>
      </c>
      <c r="BE483" s="1" t="s">
        <v>2111</v>
      </c>
      <c r="BF483" s="1" t="s">
        <v>160</v>
      </c>
    </row>
    <row r="484" spans="1:58" ht="13" x14ac:dyDescent="0.15">
      <c r="A484" s="2">
        <v>44176.052083333336</v>
      </c>
      <c r="B484" s="2">
        <v>44176.053472222222</v>
      </c>
      <c r="C484" s="1" t="s">
        <v>39</v>
      </c>
      <c r="D484" s="1" t="s">
        <v>234</v>
      </c>
      <c r="E484" s="1">
        <v>100</v>
      </c>
      <c r="F484" s="1">
        <v>119</v>
      </c>
      <c r="G484" s="1" t="b">
        <v>1</v>
      </c>
      <c r="H484" s="2">
        <v>44176.053472222222</v>
      </c>
      <c r="I484" s="1" t="s">
        <v>2112</v>
      </c>
      <c r="N484" s="1">
        <v>34.048492430000003</v>
      </c>
      <c r="O484" s="1">
        <v>-118.2528992</v>
      </c>
      <c r="P484" s="1" t="s">
        <v>153</v>
      </c>
      <c r="Q484" s="1" t="s">
        <v>154</v>
      </c>
      <c r="R484" s="1" t="s">
        <v>236</v>
      </c>
      <c r="S484" s="1" t="s">
        <v>274</v>
      </c>
      <c r="T484" s="1" t="s">
        <v>237</v>
      </c>
      <c r="U484" s="1" t="s">
        <v>552</v>
      </c>
      <c r="V484" s="1" t="s">
        <v>160</v>
      </c>
      <c r="W484" s="1" t="s">
        <v>160</v>
      </c>
      <c r="X484" s="1" t="s">
        <v>160</v>
      </c>
      <c r="Y484" s="1" t="s">
        <v>160</v>
      </c>
      <c r="Z484" s="1" t="s">
        <v>160</v>
      </c>
      <c r="AA484" s="1" t="s">
        <v>160</v>
      </c>
      <c r="AB484" s="1" t="s">
        <v>160</v>
      </c>
      <c r="AC484" s="1" t="s">
        <v>160</v>
      </c>
      <c r="AD484" s="1" t="s">
        <v>160</v>
      </c>
      <c r="AE484" s="1" t="s">
        <v>160</v>
      </c>
      <c r="AF484" s="1" t="s">
        <v>160</v>
      </c>
      <c r="AG484" s="1" t="s">
        <v>160</v>
      </c>
      <c r="AI484" s="1" t="s">
        <v>160</v>
      </c>
      <c r="AJ484" s="1" t="s">
        <v>163</v>
      </c>
      <c r="AK484" s="1" t="s">
        <v>164</v>
      </c>
      <c r="AL484" s="1" t="s">
        <v>192</v>
      </c>
      <c r="AM484" s="1" t="s">
        <v>192</v>
      </c>
      <c r="AN484" s="1" t="s">
        <v>198</v>
      </c>
      <c r="AO484" s="1" t="s">
        <v>179</v>
      </c>
      <c r="AP484" s="1" t="s">
        <v>239</v>
      </c>
      <c r="AR484" s="1" t="s">
        <v>160</v>
      </c>
      <c r="AS484" s="1" t="s">
        <v>160</v>
      </c>
      <c r="AT484" s="1" t="s">
        <v>322</v>
      </c>
      <c r="AU484" s="1" t="s">
        <v>159</v>
      </c>
      <c r="AV484" s="1" t="s">
        <v>159</v>
      </c>
      <c r="AW484" s="1" t="s">
        <v>159</v>
      </c>
      <c r="AX484" s="1" t="s">
        <v>159</v>
      </c>
      <c r="AY484" s="1" t="s">
        <v>160</v>
      </c>
      <c r="AZ484" s="1" t="s">
        <v>159</v>
      </c>
      <c r="BA484" s="1" t="s">
        <v>159</v>
      </c>
      <c r="BB484" s="1" t="s">
        <v>167</v>
      </c>
      <c r="BC484" s="1" t="s">
        <v>160</v>
      </c>
      <c r="BD484" s="1" t="s">
        <v>2113</v>
      </c>
      <c r="BE484" s="1" t="s">
        <v>2114</v>
      </c>
      <c r="BF484" s="1" t="s">
        <v>160</v>
      </c>
    </row>
    <row r="485" spans="1:58" ht="13" x14ac:dyDescent="0.15">
      <c r="A485" s="2">
        <v>44176.053472222222</v>
      </c>
      <c r="B485" s="2">
        <v>44176.054861111108</v>
      </c>
      <c r="C485" s="1" t="s">
        <v>39</v>
      </c>
      <c r="D485" s="1" t="s">
        <v>234</v>
      </c>
      <c r="E485" s="1">
        <v>100</v>
      </c>
      <c r="F485" s="1">
        <v>120</v>
      </c>
      <c r="G485" s="1" t="b">
        <v>1</v>
      </c>
      <c r="H485" s="2">
        <v>44176.054861111108</v>
      </c>
      <c r="I485" s="1" t="s">
        <v>2115</v>
      </c>
      <c r="N485" s="1">
        <v>34.048492430000003</v>
      </c>
      <c r="O485" s="1">
        <v>-118.2528992</v>
      </c>
      <c r="P485" s="1" t="s">
        <v>153</v>
      </c>
      <c r="Q485" s="1" t="s">
        <v>154</v>
      </c>
      <c r="R485" s="1" t="s">
        <v>155</v>
      </c>
      <c r="S485" s="1" t="s">
        <v>208</v>
      </c>
      <c r="T485" s="1" t="s">
        <v>176</v>
      </c>
      <c r="U485" s="1" t="s">
        <v>2116</v>
      </c>
      <c r="V485" s="1" t="s">
        <v>160</v>
      </c>
      <c r="W485" s="1" t="s">
        <v>160</v>
      </c>
      <c r="X485" s="1" t="s">
        <v>160</v>
      </c>
      <c r="Y485" s="1" t="s">
        <v>160</v>
      </c>
      <c r="Z485" s="1" t="s">
        <v>160</v>
      </c>
      <c r="AA485" s="1" t="s">
        <v>160</v>
      </c>
      <c r="AB485" s="1" t="s">
        <v>160</v>
      </c>
      <c r="AC485" s="1" t="s">
        <v>160</v>
      </c>
      <c r="AD485" s="1" t="s">
        <v>160</v>
      </c>
      <c r="AE485" s="1" t="s">
        <v>160</v>
      </c>
      <c r="AF485" s="1" t="s">
        <v>160</v>
      </c>
      <c r="AG485" s="1" t="s">
        <v>160</v>
      </c>
      <c r="AI485" s="1" t="s">
        <v>160</v>
      </c>
      <c r="AJ485" s="1" t="s">
        <v>198</v>
      </c>
      <c r="AK485" s="1" t="s">
        <v>192</v>
      </c>
      <c r="AL485" s="1" t="s">
        <v>192</v>
      </c>
      <c r="AM485" s="1" t="s">
        <v>198</v>
      </c>
      <c r="AN485" s="1" t="s">
        <v>192</v>
      </c>
      <c r="AO485" s="1" t="s">
        <v>179</v>
      </c>
      <c r="AP485" s="1" t="s">
        <v>165</v>
      </c>
      <c r="AR485" s="1" t="s">
        <v>160</v>
      </c>
      <c r="AS485" s="1" t="s">
        <v>160</v>
      </c>
      <c r="AT485" s="1" t="s">
        <v>1561</v>
      </c>
      <c r="AU485" s="1" t="s">
        <v>159</v>
      </c>
      <c r="AV485" s="1" t="s">
        <v>159</v>
      </c>
      <c r="AW485" s="1" t="s">
        <v>160</v>
      </c>
      <c r="AX485" s="1" t="s">
        <v>159</v>
      </c>
      <c r="AY485" s="1" t="s">
        <v>160</v>
      </c>
      <c r="AZ485" s="1" t="s">
        <v>160</v>
      </c>
      <c r="BA485" s="1" t="s">
        <v>160</v>
      </c>
      <c r="BB485" s="1" t="s">
        <v>181</v>
      </c>
      <c r="BC485" s="1" t="s">
        <v>160</v>
      </c>
      <c r="BD485" s="1" t="s">
        <v>2117</v>
      </c>
      <c r="BE485" s="1" t="s">
        <v>2118</v>
      </c>
      <c r="BF485" s="1" t="s">
        <v>160</v>
      </c>
    </row>
    <row r="486" spans="1:58" ht="13" x14ac:dyDescent="0.15">
      <c r="A486" s="2">
        <v>44176.055555555555</v>
      </c>
      <c r="B486" s="2">
        <v>44176.056944444441</v>
      </c>
      <c r="C486" s="1" t="s">
        <v>39</v>
      </c>
      <c r="D486" s="1" t="s">
        <v>234</v>
      </c>
      <c r="E486" s="1">
        <v>100</v>
      </c>
      <c r="F486" s="1">
        <v>121</v>
      </c>
      <c r="G486" s="1" t="b">
        <v>1</v>
      </c>
      <c r="H486" s="2">
        <v>44176.056944444441</v>
      </c>
      <c r="I486" s="1" t="s">
        <v>2119</v>
      </c>
      <c r="N486" s="1">
        <v>34.048492430000003</v>
      </c>
      <c r="O486" s="1">
        <v>-118.2528992</v>
      </c>
      <c r="P486" s="1" t="s">
        <v>153</v>
      </c>
      <c r="Q486" s="1" t="s">
        <v>154</v>
      </c>
      <c r="R486" s="1" t="s">
        <v>174</v>
      </c>
      <c r="S486" s="1" t="s">
        <v>208</v>
      </c>
      <c r="T486" s="1" t="s">
        <v>245</v>
      </c>
      <c r="U486" s="1" t="s">
        <v>2120</v>
      </c>
      <c r="V486" s="1" t="s">
        <v>160</v>
      </c>
      <c r="W486" s="1" t="s">
        <v>160</v>
      </c>
      <c r="X486" s="1" t="s">
        <v>160</v>
      </c>
      <c r="Y486" s="1" t="s">
        <v>160</v>
      </c>
      <c r="Z486" s="1" t="s">
        <v>160</v>
      </c>
      <c r="AA486" s="1" t="s">
        <v>160</v>
      </c>
      <c r="AB486" s="1" t="s">
        <v>160</v>
      </c>
      <c r="AC486" s="1" t="s">
        <v>160</v>
      </c>
      <c r="AD486" s="1" t="s">
        <v>160</v>
      </c>
      <c r="AE486" s="1" t="s">
        <v>160</v>
      </c>
      <c r="AF486" s="1" t="s">
        <v>160</v>
      </c>
      <c r="AG486" s="1" t="s">
        <v>160</v>
      </c>
      <c r="AI486" s="1" t="s">
        <v>160</v>
      </c>
      <c r="AJ486" s="1" t="s">
        <v>192</v>
      </c>
      <c r="AK486" s="1" t="s">
        <v>192</v>
      </c>
      <c r="AL486" s="1" t="s">
        <v>163</v>
      </c>
      <c r="AM486" s="1" t="s">
        <v>163</v>
      </c>
      <c r="AN486" s="1" t="s">
        <v>164</v>
      </c>
      <c r="AO486" s="1" t="s">
        <v>179</v>
      </c>
      <c r="AP486" s="1" t="s">
        <v>239</v>
      </c>
      <c r="AR486" s="1" t="s">
        <v>160</v>
      </c>
      <c r="AS486" s="1" t="s">
        <v>160</v>
      </c>
      <c r="AT486" s="1" t="s">
        <v>1366</v>
      </c>
      <c r="AU486" s="1" t="s">
        <v>159</v>
      </c>
      <c r="AV486" s="1" t="s">
        <v>160</v>
      </c>
      <c r="AW486" s="1" t="s">
        <v>159</v>
      </c>
      <c r="AX486" s="1" t="s">
        <v>160</v>
      </c>
      <c r="AY486" s="1" t="s">
        <v>160</v>
      </c>
      <c r="AZ486" s="1" t="s">
        <v>159</v>
      </c>
      <c r="BA486" s="1" t="s">
        <v>159</v>
      </c>
      <c r="BB486" s="1" t="s">
        <v>241</v>
      </c>
      <c r="BC486" s="1" t="s">
        <v>160</v>
      </c>
      <c r="BD486" s="1" t="s">
        <v>2121</v>
      </c>
      <c r="BE486" s="1" t="s">
        <v>2122</v>
      </c>
      <c r="BF486" s="1" t="s">
        <v>160</v>
      </c>
    </row>
    <row r="487" spans="1:58" ht="13" x14ac:dyDescent="0.15">
      <c r="A487" s="2">
        <v>44176.056944444441</v>
      </c>
      <c r="B487" s="2">
        <v>44176.058333333334</v>
      </c>
      <c r="C487" s="1" t="s">
        <v>39</v>
      </c>
      <c r="D487" s="1" t="s">
        <v>234</v>
      </c>
      <c r="E487" s="1">
        <v>100</v>
      </c>
      <c r="F487" s="1">
        <v>121</v>
      </c>
      <c r="G487" s="1" t="b">
        <v>1</v>
      </c>
      <c r="H487" s="2">
        <v>44176.058333333334</v>
      </c>
      <c r="I487" s="1" t="s">
        <v>2123</v>
      </c>
      <c r="N487" s="1">
        <v>34.048492430000003</v>
      </c>
      <c r="O487" s="1">
        <v>-118.2528992</v>
      </c>
      <c r="P487" s="1" t="s">
        <v>153</v>
      </c>
      <c r="Q487" s="1" t="s">
        <v>154</v>
      </c>
      <c r="R487" s="1" t="s">
        <v>236</v>
      </c>
      <c r="S487" s="1" t="s">
        <v>175</v>
      </c>
      <c r="T487" s="1" t="s">
        <v>176</v>
      </c>
      <c r="U487" s="1" t="s">
        <v>2124</v>
      </c>
      <c r="V487" s="1" t="s">
        <v>160</v>
      </c>
      <c r="W487" s="1" t="s">
        <v>160</v>
      </c>
      <c r="X487" s="1" t="s">
        <v>160</v>
      </c>
      <c r="Y487" s="1" t="s">
        <v>160</v>
      </c>
      <c r="Z487" s="1" t="s">
        <v>160</v>
      </c>
      <c r="AA487" s="1" t="s">
        <v>160</v>
      </c>
      <c r="AB487" s="1" t="s">
        <v>160</v>
      </c>
      <c r="AC487" s="1" t="s">
        <v>160</v>
      </c>
      <c r="AD487" s="1" t="s">
        <v>160</v>
      </c>
      <c r="AE487" s="1" t="s">
        <v>160</v>
      </c>
      <c r="AF487" s="1" t="s">
        <v>160</v>
      </c>
      <c r="AG487" s="1" t="s">
        <v>160</v>
      </c>
      <c r="AI487" s="1" t="s">
        <v>160</v>
      </c>
      <c r="AJ487" s="1" t="s">
        <v>198</v>
      </c>
      <c r="AK487" s="1" t="s">
        <v>198</v>
      </c>
      <c r="AL487" s="1" t="s">
        <v>164</v>
      </c>
      <c r="AM487" s="1" t="s">
        <v>164</v>
      </c>
      <c r="AN487" s="1" t="s">
        <v>163</v>
      </c>
      <c r="AO487" s="1" t="s">
        <v>179</v>
      </c>
      <c r="AP487" s="1" t="s">
        <v>239</v>
      </c>
      <c r="AR487" s="1" t="s">
        <v>160</v>
      </c>
      <c r="AS487" s="1" t="s">
        <v>160</v>
      </c>
      <c r="AT487" s="1" t="s">
        <v>2125</v>
      </c>
      <c r="AU487" s="1" t="s">
        <v>159</v>
      </c>
      <c r="AV487" s="1" t="s">
        <v>159</v>
      </c>
      <c r="AW487" s="1" t="s">
        <v>160</v>
      </c>
      <c r="AX487" s="1" t="s">
        <v>160</v>
      </c>
      <c r="AY487" s="1" t="s">
        <v>159</v>
      </c>
      <c r="AZ487" s="1" t="s">
        <v>160</v>
      </c>
      <c r="BA487" s="1" t="s">
        <v>159</v>
      </c>
      <c r="BB487" s="1" t="s">
        <v>167</v>
      </c>
      <c r="BC487" s="1" t="s">
        <v>160</v>
      </c>
      <c r="BD487" s="1" t="s">
        <v>2126</v>
      </c>
      <c r="BE487" s="1" t="s">
        <v>2127</v>
      </c>
      <c r="BF487" s="1" t="s">
        <v>160</v>
      </c>
    </row>
    <row r="488" spans="1:58" ht="13" x14ac:dyDescent="0.15">
      <c r="A488" s="2">
        <v>44176.059027777781</v>
      </c>
      <c r="B488" s="2">
        <v>44176.060416666667</v>
      </c>
      <c r="C488" s="1" t="s">
        <v>39</v>
      </c>
      <c r="D488" s="1" t="s">
        <v>234</v>
      </c>
      <c r="E488" s="1">
        <v>100</v>
      </c>
      <c r="F488" s="1">
        <v>121</v>
      </c>
      <c r="G488" s="1" t="b">
        <v>1</v>
      </c>
      <c r="H488" s="2">
        <v>44176.060416666667</v>
      </c>
      <c r="I488" s="1" t="s">
        <v>2128</v>
      </c>
      <c r="N488" s="1">
        <v>34.048492430000003</v>
      </c>
      <c r="O488" s="1">
        <v>-118.2528992</v>
      </c>
      <c r="P488" s="1" t="s">
        <v>153</v>
      </c>
      <c r="Q488" s="1" t="s">
        <v>154</v>
      </c>
      <c r="R488" s="1" t="s">
        <v>155</v>
      </c>
      <c r="S488" s="1" t="s">
        <v>310</v>
      </c>
      <c r="T488" s="1" t="s">
        <v>263</v>
      </c>
      <c r="U488" s="1" t="s">
        <v>2129</v>
      </c>
      <c r="V488" s="1" t="s">
        <v>160</v>
      </c>
      <c r="W488" s="1" t="s">
        <v>160</v>
      </c>
      <c r="X488" s="1" t="s">
        <v>160</v>
      </c>
      <c r="Y488" s="1" t="s">
        <v>160</v>
      </c>
      <c r="Z488" s="1" t="s">
        <v>160</v>
      </c>
      <c r="AA488" s="1" t="s">
        <v>160</v>
      </c>
      <c r="AB488" s="1" t="s">
        <v>160</v>
      </c>
      <c r="AC488" s="1" t="s">
        <v>160</v>
      </c>
      <c r="AD488" s="1" t="s">
        <v>160</v>
      </c>
      <c r="AE488" s="1" t="s">
        <v>160</v>
      </c>
      <c r="AF488" s="1" t="s">
        <v>160</v>
      </c>
      <c r="AG488" s="1" t="s">
        <v>160</v>
      </c>
      <c r="AI488" s="1" t="s">
        <v>160</v>
      </c>
      <c r="AJ488" s="1" t="s">
        <v>164</v>
      </c>
      <c r="AK488" s="1" t="s">
        <v>192</v>
      </c>
      <c r="AL488" s="1" t="s">
        <v>163</v>
      </c>
      <c r="AM488" s="1" t="s">
        <v>164</v>
      </c>
      <c r="AN488" s="1" t="s">
        <v>198</v>
      </c>
      <c r="AO488" s="1" t="s">
        <v>179</v>
      </c>
      <c r="AP488" s="1" t="s">
        <v>239</v>
      </c>
      <c r="AR488" s="1" t="s">
        <v>160</v>
      </c>
      <c r="AS488" s="1" t="s">
        <v>160</v>
      </c>
      <c r="AT488" s="1" t="s">
        <v>1607</v>
      </c>
      <c r="AU488" s="1" t="s">
        <v>159</v>
      </c>
      <c r="AV488" s="1" t="s">
        <v>160</v>
      </c>
      <c r="AW488" s="1" t="s">
        <v>159</v>
      </c>
      <c r="AX488" s="1" t="s">
        <v>159</v>
      </c>
      <c r="AY488" s="1" t="s">
        <v>159</v>
      </c>
      <c r="AZ488" s="1" t="s">
        <v>160</v>
      </c>
      <c r="BA488" s="1" t="s">
        <v>159</v>
      </c>
      <c r="BB488" s="1" t="s">
        <v>167</v>
      </c>
      <c r="BC488" s="1" t="s">
        <v>160</v>
      </c>
      <c r="BD488" s="1" t="s">
        <v>474</v>
      </c>
      <c r="BE488" s="1" t="s">
        <v>2130</v>
      </c>
      <c r="BF488" s="1" t="s">
        <v>160</v>
      </c>
    </row>
    <row r="489" spans="1:58" ht="13" x14ac:dyDescent="0.15">
      <c r="A489" s="2">
        <v>44176.060416666667</v>
      </c>
      <c r="B489" s="2">
        <v>44176.061805555553</v>
      </c>
      <c r="C489" s="1" t="s">
        <v>39</v>
      </c>
      <c r="D489" s="1" t="s">
        <v>234</v>
      </c>
      <c r="E489" s="1">
        <v>100</v>
      </c>
      <c r="F489" s="1">
        <v>120</v>
      </c>
      <c r="G489" s="1" t="b">
        <v>1</v>
      </c>
      <c r="H489" s="2">
        <v>44176.061805555553</v>
      </c>
      <c r="I489" s="1" t="s">
        <v>2131</v>
      </c>
      <c r="N489" s="1">
        <v>34.048492430000003</v>
      </c>
      <c r="O489" s="1">
        <v>-118.2528992</v>
      </c>
      <c r="P489" s="1" t="s">
        <v>153</v>
      </c>
      <c r="Q489" s="1" t="s">
        <v>154</v>
      </c>
      <c r="R489" s="1" t="s">
        <v>236</v>
      </c>
      <c r="S489" s="1" t="s">
        <v>310</v>
      </c>
      <c r="T489" s="1" t="s">
        <v>176</v>
      </c>
      <c r="U489" s="1" t="s">
        <v>1715</v>
      </c>
      <c r="V489" s="1" t="s">
        <v>160</v>
      </c>
      <c r="W489" s="1" t="s">
        <v>160</v>
      </c>
      <c r="X489" s="1" t="s">
        <v>160</v>
      </c>
      <c r="Y489" s="1" t="s">
        <v>160</v>
      </c>
      <c r="Z489" s="1" t="s">
        <v>160</v>
      </c>
      <c r="AA489" s="1" t="s">
        <v>160</v>
      </c>
      <c r="AB489" s="1" t="s">
        <v>160</v>
      </c>
      <c r="AC489" s="1" t="s">
        <v>160</v>
      </c>
      <c r="AD489" s="1" t="s">
        <v>160</v>
      </c>
      <c r="AE489" s="1" t="s">
        <v>160</v>
      </c>
      <c r="AF489" s="1" t="s">
        <v>160</v>
      </c>
      <c r="AG489" s="1" t="s">
        <v>160</v>
      </c>
      <c r="AI489" s="1" t="s">
        <v>160</v>
      </c>
      <c r="AJ489" s="1" t="s">
        <v>192</v>
      </c>
      <c r="AK489" s="1" t="s">
        <v>163</v>
      </c>
      <c r="AL489" s="1" t="s">
        <v>192</v>
      </c>
      <c r="AM489" s="1" t="s">
        <v>164</v>
      </c>
      <c r="AN489" s="1" t="s">
        <v>163</v>
      </c>
      <c r="AO489" s="1" t="s">
        <v>179</v>
      </c>
      <c r="AP489" s="1" t="s">
        <v>239</v>
      </c>
      <c r="AR489" s="1" t="s">
        <v>160</v>
      </c>
      <c r="AS489" s="1" t="s">
        <v>160</v>
      </c>
      <c r="AT489" s="1" t="s">
        <v>1416</v>
      </c>
      <c r="AU489" s="1" t="s">
        <v>159</v>
      </c>
      <c r="AV489" s="1" t="s">
        <v>160</v>
      </c>
      <c r="AW489" s="1" t="s">
        <v>159</v>
      </c>
      <c r="AX489" s="1" t="s">
        <v>159</v>
      </c>
      <c r="AY489" s="1" t="s">
        <v>159</v>
      </c>
      <c r="AZ489" s="1" t="s">
        <v>160</v>
      </c>
      <c r="BA489" s="1" t="s">
        <v>160</v>
      </c>
      <c r="BB489" s="1" t="s">
        <v>222</v>
      </c>
      <c r="BC489" s="1" t="s">
        <v>160</v>
      </c>
      <c r="BD489" s="1" t="s">
        <v>2132</v>
      </c>
      <c r="BE489" s="1" t="s">
        <v>2133</v>
      </c>
      <c r="BF489" s="1" t="s">
        <v>160</v>
      </c>
    </row>
    <row r="490" spans="1:58" ht="13" x14ac:dyDescent="0.15">
      <c r="A490" s="2">
        <v>44176.061805555553</v>
      </c>
      <c r="B490" s="2">
        <v>44176.063194444447</v>
      </c>
      <c r="C490" s="1" t="s">
        <v>39</v>
      </c>
      <c r="D490" s="1" t="s">
        <v>234</v>
      </c>
      <c r="E490" s="1">
        <v>100</v>
      </c>
      <c r="F490" s="1">
        <v>122</v>
      </c>
      <c r="G490" s="1" t="b">
        <v>1</v>
      </c>
      <c r="H490" s="2">
        <v>44176.063194444447</v>
      </c>
      <c r="I490" s="1" t="s">
        <v>2134</v>
      </c>
      <c r="N490" s="1">
        <v>34.048492430000003</v>
      </c>
      <c r="O490" s="1">
        <v>-118.2528992</v>
      </c>
      <c r="P490" s="1" t="s">
        <v>153</v>
      </c>
      <c r="Q490" s="1" t="s">
        <v>154</v>
      </c>
      <c r="R490" s="1" t="s">
        <v>236</v>
      </c>
      <c r="S490" s="1" t="s">
        <v>274</v>
      </c>
      <c r="T490" s="1" t="s">
        <v>263</v>
      </c>
      <c r="U490" s="1" t="s">
        <v>2105</v>
      </c>
      <c r="V490" s="1" t="s">
        <v>160</v>
      </c>
      <c r="W490" s="1" t="s">
        <v>160</v>
      </c>
      <c r="X490" s="1" t="s">
        <v>160</v>
      </c>
      <c r="Y490" s="1" t="s">
        <v>160</v>
      </c>
      <c r="Z490" s="1" t="s">
        <v>160</v>
      </c>
      <c r="AA490" s="1" t="s">
        <v>160</v>
      </c>
      <c r="AB490" s="1" t="s">
        <v>160</v>
      </c>
      <c r="AC490" s="1" t="s">
        <v>160</v>
      </c>
      <c r="AD490" s="1" t="s">
        <v>160</v>
      </c>
      <c r="AE490" s="1" t="s">
        <v>160</v>
      </c>
      <c r="AF490" s="1" t="s">
        <v>160</v>
      </c>
      <c r="AG490" s="1" t="s">
        <v>160</v>
      </c>
      <c r="AI490" s="1" t="s">
        <v>160</v>
      </c>
      <c r="AJ490" s="1" t="s">
        <v>192</v>
      </c>
      <c r="AK490" s="1" t="s">
        <v>164</v>
      </c>
      <c r="AL490" s="1" t="s">
        <v>164</v>
      </c>
      <c r="AM490" s="1" t="s">
        <v>163</v>
      </c>
      <c r="AN490" s="1" t="s">
        <v>198</v>
      </c>
      <c r="AO490" s="1" t="s">
        <v>179</v>
      </c>
      <c r="AP490" s="1" t="s">
        <v>179</v>
      </c>
      <c r="AR490" s="1" t="s">
        <v>160</v>
      </c>
      <c r="AS490" s="1" t="s">
        <v>160</v>
      </c>
      <c r="AT490" s="1" t="s">
        <v>1902</v>
      </c>
      <c r="AU490" s="1" t="s">
        <v>160</v>
      </c>
      <c r="AV490" s="1" t="s">
        <v>159</v>
      </c>
      <c r="AW490" s="1" t="s">
        <v>159</v>
      </c>
      <c r="AX490" s="1" t="s">
        <v>159</v>
      </c>
      <c r="AY490" s="1" t="s">
        <v>159</v>
      </c>
      <c r="AZ490" s="1" t="s">
        <v>159</v>
      </c>
      <c r="BA490" s="1" t="s">
        <v>160</v>
      </c>
      <c r="BB490" s="1" t="s">
        <v>241</v>
      </c>
      <c r="BC490" s="1" t="s">
        <v>160</v>
      </c>
      <c r="BD490" s="1" t="s">
        <v>346</v>
      </c>
      <c r="BE490" s="1" t="s">
        <v>2135</v>
      </c>
      <c r="BF490" s="1" t="s">
        <v>160</v>
      </c>
    </row>
    <row r="491" spans="1:58" ht="13" x14ac:dyDescent="0.15">
      <c r="A491" s="2">
        <v>44176.063888888886</v>
      </c>
      <c r="B491" s="2">
        <v>44176.06527777778</v>
      </c>
      <c r="C491" s="1" t="s">
        <v>39</v>
      </c>
      <c r="D491" s="1" t="s">
        <v>234</v>
      </c>
      <c r="E491" s="1">
        <v>100</v>
      </c>
      <c r="F491" s="1">
        <v>122</v>
      </c>
      <c r="G491" s="1" t="b">
        <v>1</v>
      </c>
      <c r="H491" s="2">
        <v>44176.06527777778</v>
      </c>
      <c r="I491" s="1" t="s">
        <v>2136</v>
      </c>
      <c r="N491" s="1">
        <v>34.048492430000003</v>
      </c>
      <c r="O491" s="1">
        <v>-118.2528992</v>
      </c>
      <c r="P491" s="1" t="s">
        <v>153</v>
      </c>
      <c r="Q491" s="1" t="s">
        <v>154</v>
      </c>
      <c r="R491" s="1" t="s">
        <v>155</v>
      </c>
      <c r="S491" s="1" t="s">
        <v>226</v>
      </c>
      <c r="T491" s="1" t="s">
        <v>157</v>
      </c>
      <c r="U491" s="1" t="s">
        <v>2137</v>
      </c>
      <c r="V491" s="1" t="s">
        <v>160</v>
      </c>
      <c r="W491" s="1" t="s">
        <v>160</v>
      </c>
      <c r="X491" s="1" t="s">
        <v>160</v>
      </c>
      <c r="Y491" s="1" t="s">
        <v>160</v>
      </c>
      <c r="Z491" s="1" t="s">
        <v>160</v>
      </c>
      <c r="AA491" s="1" t="s">
        <v>160</v>
      </c>
      <c r="AB491" s="1" t="s">
        <v>160</v>
      </c>
      <c r="AC491" s="1" t="s">
        <v>160</v>
      </c>
      <c r="AD491" s="1" t="s">
        <v>160</v>
      </c>
      <c r="AE491" s="1" t="s">
        <v>160</v>
      </c>
      <c r="AF491" s="1" t="s">
        <v>160</v>
      </c>
      <c r="AG491" s="1" t="s">
        <v>160</v>
      </c>
      <c r="AI491" s="1" t="s">
        <v>160</v>
      </c>
      <c r="AJ491" s="1" t="s">
        <v>164</v>
      </c>
      <c r="AK491" s="1" t="s">
        <v>164</v>
      </c>
      <c r="AL491" s="1" t="s">
        <v>198</v>
      </c>
      <c r="AM491" s="1" t="s">
        <v>163</v>
      </c>
      <c r="AN491" s="1" t="s">
        <v>192</v>
      </c>
      <c r="AO491" s="1" t="s">
        <v>179</v>
      </c>
      <c r="AP491" s="1" t="s">
        <v>179</v>
      </c>
      <c r="AR491" s="1" t="s">
        <v>160</v>
      </c>
      <c r="AS491" s="1" t="s">
        <v>160</v>
      </c>
      <c r="AT491" s="1" t="s">
        <v>2138</v>
      </c>
      <c r="AU491" s="1" t="s">
        <v>159</v>
      </c>
      <c r="AV491" s="1" t="s">
        <v>159</v>
      </c>
      <c r="AW491" s="1" t="s">
        <v>160</v>
      </c>
      <c r="AX491" s="1" t="s">
        <v>160</v>
      </c>
      <c r="AY491" s="1" t="s">
        <v>160</v>
      </c>
      <c r="AZ491" s="1" t="s">
        <v>159</v>
      </c>
      <c r="BA491" s="1" t="s">
        <v>160</v>
      </c>
      <c r="BB491" s="1" t="s">
        <v>222</v>
      </c>
      <c r="BC491" s="1" t="s">
        <v>160</v>
      </c>
      <c r="BD491" s="1" t="s">
        <v>2139</v>
      </c>
      <c r="BE491" s="1" t="s">
        <v>2140</v>
      </c>
      <c r="BF491" s="1" t="s">
        <v>160</v>
      </c>
    </row>
    <row r="492" spans="1:58" ht="13" x14ac:dyDescent="0.15">
      <c r="A492" s="2">
        <v>44176.06527777778</v>
      </c>
      <c r="B492" s="2">
        <v>44176.066666666666</v>
      </c>
      <c r="C492" s="1" t="s">
        <v>39</v>
      </c>
      <c r="D492" s="1" t="s">
        <v>234</v>
      </c>
      <c r="E492" s="1">
        <v>100</v>
      </c>
      <c r="F492" s="1">
        <v>121</v>
      </c>
      <c r="G492" s="1" t="b">
        <v>1</v>
      </c>
      <c r="H492" s="2">
        <v>44176.066666666666</v>
      </c>
      <c r="I492" s="1" t="s">
        <v>2141</v>
      </c>
      <c r="N492" s="1">
        <v>34.048492430000003</v>
      </c>
      <c r="O492" s="1">
        <v>-118.2528992</v>
      </c>
      <c r="P492" s="1" t="s">
        <v>153</v>
      </c>
      <c r="Q492" s="1" t="s">
        <v>154</v>
      </c>
      <c r="R492" s="1" t="s">
        <v>174</v>
      </c>
      <c r="S492" s="1" t="s">
        <v>208</v>
      </c>
      <c r="T492" s="1" t="s">
        <v>245</v>
      </c>
      <c r="U492" s="1" t="s">
        <v>557</v>
      </c>
      <c r="V492" s="1" t="s">
        <v>160</v>
      </c>
      <c r="W492" s="1" t="s">
        <v>160</v>
      </c>
      <c r="X492" s="1" t="s">
        <v>160</v>
      </c>
      <c r="Y492" s="1" t="s">
        <v>160</v>
      </c>
      <c r="Z492" s="1" t="s">
        <v>160</v>
      </c>
      <c r="AA492" s="1" t="s">
        <v>160</v>
      </c>
      <c r="AB492" s="1" t="s">
        <v>160</v>
      </c>
      <c r="AC492" s="1" t="s">
        <v>160</v>
      </c>
      <c r="AD492" s="1" t="s">
        <v>160</v>
      </c>
      <c r="AE492" s="1" t="s">
        <v>160</v>
      </c>
      <c r="AF492" s="1" t="s">
        <v>160</v>
      </c>
      <c r="AG492" s="1" t="s">
        <v>160</v>
      </c>
      <c r="AI492" s="1" t="s">
        <v>160</v>
      </c>
      <c r="AJ492" s="1" t="s">
        <v>192</v>
      </c>
      <c r="AK492" s="1" t="s">
        <v>198</v>
      </c>
      <c r="AL492" s="1" t="s">
        <v>163</v>
      </c>
      <c r="AM492" s="1" t="s">
        <v>164</v>
      </c>
      <c r="AN492" s="1" t="s">
        <v>164</v>
      </c>
      <c r="AO492" s="1" t="s">
        <v>179</v>
      </c>
      <c r="AP492" s="1" t="s">
        <v>165</v>
      </c>
      <c r="AR492" s="1" t="s">
        <v>160</v>
      </c>
      <c r="AS492" s="1" t="s">
        <v>160</v>
      </c>
      <c r="AT492" s="1" t="s">
        <v>327</v>
      </c>
      <c r="AU492" s="1" t="s">
        <v>160</v>
      </c>
      <c r="AV492" s="1" t="s">
        <v>160</v>
      </c>
      <c r="AW492" s="1" t="s">
        <v>159</v>
      </c>
      <c r="AX492" s="1" t="s">
        <v>160</v>
      </c>
      <c r="AY492" s="1" t="s">
        <v>159</v>
      </c>
      <c r="AZ492" s="1" t="s">
        <v>159</v>
      </c>
      <c r="BA492" s="1" t="s">
        <v>160</v>
      </c>
      <c r="BB492" s="1" t="s">
        <v>181</v>
      </c>
      <c r="BC492" s="1" t="s">
        <v>160</v>
      </c>
      <c r="BD492" s="1" t="s">
        <v>2142</v>
      </c>
      <c r="BE492" s="1" t="s">
        <v>2143</v>
      </c>
      <c r="BF492" s="1" t="s">
        <v>160</v>
      </c>
    </row>
    <row r="493" spans="1:58" ht="13" x14ac:dyDescent="0.15">
      <c r="A493" s="2">
        <v>44176.067361111112</v>
      </c>
      <c r="B493" s="2">
        <v>44176.068749999999</v>
      </c>
      <c r="C493" s="1" t="s">
        <v>39</v>
      </c>
      <c r="D493" s="1" t="s">
        <v>234</v>
      </c>
      <c r="E493" s="1">
        <v>100</v>
      </c>
      <c r="F493" s="1">
        <v>121</v>
      </c>
      <c r="G493" s="1" t="b">
        <v>1</v>
      </c>
      <c r="H493" s="2">
        <v>44176.068749999999</v>
      </c>
      <c r="I493" s="1" t="s">
        <v>2144</v>
      </c>
      <c r="N493" s="1">
        <v>34.048492430000003</v>
      </c>
      <c r="O493" s="1">
        <v>-118.2528992</v>
      </c>
      <c r="P493" s="1" t="s">
        <v>153</v>
      </c>
      <c r="Q493" s="1" t="s">
        <v>154</v>
      </c>
      <c r="R493" s="1" t="s">
        <v>236</v>
      </c>
      <c r="S493" s="1" t="s">
        <v>274</v>
      </c>
      <c r="T493" s="1" t="s">
        <v>237</v>
      </c>
      <c r="U493" s="1" t="s">
        <v>2145</v>
      </c>
      <c r="V493" s="1" t="s">
        <v>160</v>
      </c>
      <c r="W493" s="1" t="s">
        <v>160</v>
      </c>
      <c r="X493" s="1" t="s">
        <v>160</v>
      </c>
      <c r="Y493" s="1" t="s">
        <v>160</v>
      </c>
      <c r="Z493" s="1" t="s">
        <v>160</v>
      </c>
      <c r="AA493" s="1" t="s">
        <v>160</v>
      </c>
      <c r="AB493" s="1" t="s">
        <v>160</v>
      </c>
      <c r="AC493" s="1" t="s">
        <v>160</v>
      </c>
      <c r="AD493" s="1" t="s">
        <v>160</v>
      </c>
      <c r="AE493" s="1" t="s">
        <v>160</v>
      </c>
      <c r="AF493" s="1" t="s">
        <v>160</v>
      </c>
      <c r="AG493" s="1" t="s">
        <v>160</v>
      </c>
      <c r="AI493" s="1" t="s">
        <v>160</v>
      </c>
      <c r="AJ493" s="1" t="s">
        <v>163</v>
      </c>
      <c r="AK493" s="1" t="s">
        <v>163</v>
      </c>
      <c r="AL493" s="1" t="s">
        <v>192</v>
      </c>
      <c r="AM493" s="1" t="s">
        <v>198</v>
      </c>
      <c r="AN493" s="1" t="s">
        <v>192</v>
      </c>
      <c r="AO493" s="1" t="s">
        <v>179</v>
      </c>
      <c r="AP493" s="1" t="s">
        <v>239</v>
      </c>
      <c r="AR493" s="1" t="s">
        <v>160</v>
      </c>
      <c r="AS493" s="1" t="s">
        <v>160</v>
      </c>
      <c r="AT493" s="1" t="s">
        <v>374</v>
      </c>
      <c r="AU493" s="1" t="s">
        <v>160</v>
      </c>
      <c r="AV493" s="1" t="s">
        <v>160</v>
      </c>
      <c r="AW493" s="1" t="s">
        <v>160</v>
      </c>
      <c r="AX493" s="1" t="s">
        <v>160</v>
      </c>
      <c r="AY493" s="1" t="s">
        <v>160</v>
      </c>
      <c r="AZ493" s="1" t="s">
        <v>160</v>
      </c>
      <c r="BA493" s="1" t="s">
        <v>160</v>
      </c>
      <c r="BB493" s="1" t="s">
        <v>181</v>
      </c>
      <c r="BC493" s="1" t="s">
        <v>160</v>
      </c>
      <c r="BD493" s="1" t="s">
        <v>2146</v>
      </c>
      <c r="BE493" s="1" t="s">
        <v>2147</v>
      </c>
      <c r="BF493" s="1" t="s">
        <v>160</v>
      </c>
    </row>
    <row r="494" spans="1:58" ht="13" x14ac:dyDescent="0.15">
      <c r="A494" s="2">
        <v>44176.068749999999</v>
      </c>
      <c r="B494" s="2">
        <v>44176.070138888892</v>
      </c>
      <c r="C494" s="1" t="s">
        <v>39</v>
      </c>
      <c r="D494" s="1" t="s">
        <v>234</v>
      </c>
      <c r="E494" s="1">
        <v>100</v>
      </c>
      <c r="F494" s="1">
        <v>122</v>
      </c>
      <c r="G494" s="1" t="b">
        <v>1</v>
      </c>
      <c r="H494" s="2">
        <v>44176.070138888892</v>
      </c>
      <c r="I494" s="1" t="s">
        <v>2148</v>
      </c>
      <c r="N494" s="1">
        <v>34.048492430000003</v>
      </c>
      <c r="O494" s="1">
        <v>-118.2528992</v>
      </c>
      <c r="P494" s="1" t="s">
        <v>153</v>
      </c>
      <c r="Q494" s="1" t="s">
        <v>154</v>
      </c>
      <c r="R494" s="1" t="s">
        <v>155</v>
      </c>
      <c r="S494" s="1" t="s">
        <v>208</v>
      </c>
      <c r="T494" s="1" t="s">
        <v>237</v>
      </c>
      <c r="U494" s="1" t="s">
        <v>2149</v>
      </c>
      <c r="V494" s="1" t="s">
        <v>160</v>
      </c>
      <c r="W494" s="1" t="s">
        <v>160</v>
      </c>
      <c r="X494" s="1" t="s">
        <v>160</v>
      </c>
      <c r="Y494" s="1" t="s">
        <v>160</v>
      </c>
      <c r="Z494" s="1" t="s">
        <v>160</v>
      </c>
      <c r="AA494" s="1" t="s">
        <v>160</v>
      </c>
      <c r="AB494" s="1" t="s">
        <v>160</v>
      </c>
      <c r="AC494" s="1" t="s">
        <v>160</v>
      </c>
      <c r="AD494" s="1" t="s">
        <v>160</v>
      </c>
      <c r="AE494" s="1" t="s">
        <v>160</v>
      </c>
      <c r="AF494" s="1" t="s">
        <v>160</v>
      </c>
      <c r="AG494" s="1" t="s">
        <v>160</v>
      </c>
      <c r="AI494" s="1" t="s">
        <v>160</v>
      </c>
      <c r="AJ494" s="1" t="s">
        <v>164</v>
      </c>
      <c r="AK494" s="1" t="s">
        <v>163</v>
      </c>
      <c r="AL494" s="1" t="s">
        <v>198</v>
      </c>
      <c r="AM494" s="1" t="s">
        <v>198</v>
      </c>
      <c r="AN494" s="1" t="s">
        <v>164</v>
      </c>
      <c r="AO494" s="1" t="s">
        <v>179</v>
      </c>
      <c r="AP494" s="1" t="s">
        <v>179</v>
      </c>
      <c r="AR494" s="1" t="s">
        <v>160</v>
      </c>
      <c r="AS494" s="1" t="s">
        <v>160</v>
      </c>
      <c r="AT494" s="1" t="s">
        <v>1421</v>
      </c>
      <c r="AU494" s="1" t="s">
        <v>159</v>
      </c>
      <c r="AV494" s="1" t="s">
        <v>160</v>
      </c>
      <c r="AW494" s="1" t="s">
        <v>159</v>
      </c>
      <c r="AX494" s="1" t="s">
        <v>160</v>
      </c>
      <c r="AY494" s="1" t="s">
        <v>160</v>
      </c>
      <c r="AZ494" s="1" t="s">
        <v>160</v>
      </c>
      <c r="BA494" s="1" t="s">
        <v>160</v>
      </c>
      <c r="BB494" s="1" t="s">
        <v>222</v>
      </c>
      <c r="BC494" s="1" t="s">
        <v>160</v>
      </c>
      <c r="BD494" s="1" t="s">
        <v>2150</v>
      </c>
      <c r="BE494" s="1" t="s">
        <v>2151</v>
      </c>
      <c r="BF494" s="1" t="s">
        <v>160</v>
      </c>
    </row>
    <row r="495" spans="1:58" ht="13" x14ac:dyDescent="0.15">
      <c r="A495" s="2">
        <v>44176.070833333331</v>
      </c>
      <c r="B495" s="2">
        <v>44176.072222222225</v>
      </c>
      <c r="C495" s="1" t="s">
        <v>39</v>
      </c>
      <c r="D495" s="1" t="s">
        <v>234</v>
      </c>
      <c r="E495" s="1">
        <v>100</v>
      </c>
      <c r="F495" s="1">
        <v>120</v>
      </c>
      <c r="G495" s="1" t="b">
        <v>1</v>
      </c>
      <c r="H495" s="2">
        <v>44176.072222222225</v>
      </c>
      <c r="I495" s="1" t="s">
        <v>2152</v>
      </c>
      <c r="N495" s="1">
        <v>34.048492430000003</v>
      </c>
      <c r="O495" s="1">
        <v>-118.2528992</v>
      </c>
      <c r="P495" s="1" t="s">
        <v>153</v>
      </c>
      <c r="Q495" s="1" t="s">
        <v>154</v>
      </c>
      <c r="R495" s="1" t="s">
        <v>236</v>
      </c>
      <c r="S495" s="1" t="s">
        <v>226</v>
      </c>
      <c r="T495" s="1" t="s">
        <v>176</v>
      </c>
      <c r="U495" s="1" t="s">
        <v>2153</v>
      </c>
      <c r="V495" s="1" t="s">
        <v>160</v>
      </c>
      <c r="W495" s="1" t="s">
        <v>160</v>
      </c>
      <c r="X495" s="1" t="s">
        <v>160</v>
      </c>
      <c r="Y495" s="1" t="s">
        <v>160</v>
      </c>
      <c r="Z495" s="1" t="s">
        <v>160</v>
      </c>
      <c r="AA495" s="1" t="s">
        <v>160</v>
      </c>
      <c r="AB495" s="1" t="s">
        <v>160</v>
      </c>
      <c r="AC495" s="1" t="s">
        <v>160</v>
      </c>
      <c r="AD495" s="1" t="s">
        <v>160</v>
      </c>
      <c r="AE495" s="1" t="s">
        <v>160</v>
      </c>
      <c r="AF495" s="1" t="s">
        <v>160</v>
      </c>
      <c r="AG495" s="1" t="s">
        <v>160</v>
      </c>
      <c r="AI495" s="1" t="s">
        <v>160</v>
      </c>
      <c r="AJ495" s="1" t="s">
        <v>192</v>
      </c>
      <c r="AK495" s="1" t="s">
        <v>198</v>
      </c>
      <c r="AL495" s="1" t="s">
        <v>198</v>
      </c>
      <c r="AM495" s="1" t="s">
        <v>164</v>
      </c>
      <c r="AN495" s="1" t="s">
        <v>164</v>
      </c>
      <c r="AO495" s="1" t="s">
        <v>179</v>
      </c>
      <c r="AP495" s="1" t="s">
        <v>165</v>
      </c>
      <c r="AR495" s="1" t="s">
        <v>160</v>
      </c>
      <c r="AS495" s="1" t="s">
        <v>160</v>
      </c>
      <c r="AT495" s="1" t="s">
        <v>327</v>
      </c>
      <c r="AU495" s="1" t="s">
        <v>159</v>
      </c>
      <c r="AV495" s="1" t="s">
        <v>159</v>
      </c>
      <c r="AW495" s="1" t="s">
        <v>160</v>
      </c>
      <c r="AX495" s="1" t="s">
        <v>160</v>
      </c>
      <c r="AY495" s="1" t="s">
        <v>160</v>
      </c>
      <c r="AZ495" s="1" t="s">
        <v>159</v>
      </c>
      <c r="BA495" s="1" t="s">
        <v>159</v>
      </c>
      <c r="BB495" s="1" t="s">
        <v>167</v>
      </c>
      <c r="BC495" s="1" t="s">
        <v>160</v>
      </c>
      <c r="BD495" s="1" t="s">
        <v>2154</v>
      </c>
      <c r="BE495" s="1" t="s">
        <v>2155</v>
      </c>
      <c r="BF495" s="1" t="s">
        <v>160</v>
      </c>
    </row>
    <row r="496" spans="1:58" ht="13" x14ac:dyDescent="0.15">
      <c r="A496" s="2">
        <v>44176.072222222225</v>
      </c>
      <c r="B496" s="2">
        <v>44176.073611111111</v>
      </c>
      <c r="C496" s="1" t="s">
        <v>39</v>
      </c>
      <c r="D496" s="1" t="s">
        <v>234</v>
      </c>
      <c r="E496" s="1">
        <v>100</v>
      </c>
      <c r="F496" s="1">
        <v>116</v>
      </c>
      <c r="G496" s="1" t="b">
        <v>1</v>
      </c>
      <c r="H496" s="2">
        <v>44176.073611111111</v>
      </c>
      <c r="I496" s="1" t="s">
        <v>2156</v>
      </c>
      <c r="N496" s="1">
        <v>34.048492430000003</v>
      </c>
      <c r="O496" s="1">
        <v>-118.2528992</v>
      </c>
      <c r="P496" s="1" t="s">
        <v>153</v>
      </c>
      <c r="Q496" s="1" t="s">
        <v>154</v>
      </c>
      <c r="R496" s="1" t="s">
        <v>174</v>
      </c>
      <c r="S496" s="1" t="s">
        <v>274</v>
      </c>
      <c r="T496" s="1" t="s">
        <v>245</v>
      </c>
      <c r="U496" s="1" t="s">
        <v>2157</v>
      </c>
      <c r="V496" s="1" t="s">
        <v>160</v>
      </c>
      <c r="W496" s="1" t="s">
        <v>160</v>
      </c>
      <c r="X496" s="1" t="s">
        <v>160</v>
      </c>
      <c r="Y496" s="1" t="s">
        <v>160</v>
      </c>
      <c r="Z496" s="1" t="s">
        <v>160</v>
      </c>
      <c r="AA496" s="1" t="s">
        <v>160</v>
      </c>
      <c r="AB496" s="1" t="s">
        <v>160</v>
      </c>
      <c r="AC496" s="1" t="s">
        <v>160</v>
      </c>
      <c r="AD496" s="1" t="s">
        <v>160</v>
      </c>
      <c r="AE496" s="1" t="s">
        <v>160</v>
      </c>
      <c r="AF496" s="1" t="s">
        <v>160</v>
      </c>
      <c r="AG496" s="1" t="s">
        <v>160</v>
      </c>
      <c r="AI496" s="1" t="s">
        <v>160</v>
      </c>
      <c r="AJ496" s="1" t="s">
        <v>164</v>
      </c>
      <c r="AK496" s="1" t="s">
        <v>163</v>
      </c>
      <c r="AL496" s="1" t="s">
        <v>198</v>
      </c>
      <c r="AM496" s="1" t="s">
        <v>164</v>
      </c>
      <c r="AN496" s="1" t="s">
        <v>164</v>
      </c>
      <c r="AO496" s="1" t="s">
        <v>179</v>
      </c>
      <c r="AP496" s="1" t="s">
        <v>165</v>
      </c>
      <c r="AR496" s="1" t="s">
        <v>160</v>
      </c>
      <c r="AS496" s="1" t="s">
        <v>160</v>
      </c>
      <c r="AT496" s="1" t="s">
        <v>2158</v>
      </c>
      <c r="AU496" s="1" t="s">
        <v>159</v>
      </c>
      <c r="AV496" s="1" t="s">
        <v>159</v>
      </c>
      <c r="AW496" s="1" t="s">
        <v>160</v>
      </c>
      <c r="AX496" s="1" t="s">
        <v>160</v>
      </c>
      <c r="AY496" s="1" t="s">
        <v>159</v>
      </c>
      <c r="AZ496" s="1" t="s">
        <v>159</v>
      </c>
      <c r="BA496" s="1" t="s">
        <v>160</v>
      </c>
      <c r="BB496" s="1" t="s">
        <v>181</v>
      </c>
      <c r="BC496" s="1" t="s">
        <v>160</v>
      </c>
      <c r="BD496" s="1" t="s">
        <v>2159</v>
      </c>
      <c r="BE496" s="1" t="s">
        <v>2160</v>
      </c>
      <c r="BF496" s="1" t="s">
        <v>160</v>
      </c>
    </row>
    <row r="497" spans="1:58" ht="13" x14ac:dyDescent="0.15">
      <c r="A497" s="2">
        <v>44176.073611111111</v>
      </c>
      <c r="B497" s="2">
        <v>44176.074999999997</v>
      </c>
      <c r="C497" s="1" t="s">
        <v>39</v>
      </c>
      <c r="D497" s="1" t="s">
        <v>234</v>
      </c>
      <c r="E497" s="1">
        <v>100</v>
      </c>
      <c r="F497" s="1">
        <v>116</v>
      </c>
      <c r="G497" s="1" t="b">
        <v>1</v>
      </c>
      <c r="H497" s="2">
        <v>44176.074999999997</v>
      </c>
      <c r="I497" s="1" t="s">
        <v>2161</v>
      </c>
      <c r="N497" s="1">
        <v>34.048492430000003</v>
      </c>
      <c r="O497" s="1">
        <v>-118.2528992</v>
      </c>
      <c r="P497" s="1" t="s">
        <v>153</v>
      </c>
      <c r="Q497" s="1" t="s">
        <v>154</v>
      </c>
      <c r="R497" s="1" t="s">
        <v>155</v>
      </c>
      <c r="S497" s="1" t="s">
        <v>208</v>
      </c>
      <c r="T497" s="1" t="s">
        <v>176</v>
      </c>
      <c r="U497" s="1" t="s">
        <v>2162</v>
      </c>
      <c r="V497" s="1" t="s">
        <v>160</v>
      </c>
      <c r="W497" s="1" t="s">
        <v>160</v>
      </c>
      <c r="X497" s="1" t="s">
        <v>160</v>
      </c>
      <c r="Y497" s="1" t="s">
        <v>160</v>
      </c>
      <c r="Z497" s="1" t="s">
        <v>160</v>
      </c>
      <c r="AA497" s="1" t="s">
        <v>160</v>
      </c>
      <c r="AB497" s="1" t="s">
        <v>160</v>
      </c>
      <c r="AC497" s="1" t="s">
        <v>160</v>
      </c>
      <c r="AD497" s="1" t="s">
        <v>160</v>
      </c>
      <c r="AE497" s="1" t="s">
        <v>160</v>
      </c>
      <c r="AF497" s="1" t="s">
        <v>160</v>
      </c>
      <c r="AG497" s="1" t="s">
        <v>160</v>
      </c>
      <c r="AI497" s="1" t="s">
        <v>160</v>
      </c>
      <c r="AJ497" s="1" t="s">
        <v>164</v>
      </c>
      <c r="AK497" s="1" t="s">
        <v>192</v>
      </c>
      <c r="AL497" s="1" t="s">
        <v>192</v>
      </c>
      <c r="AM497" s="1" t="s">
        <v>198</v>
      </c>
      <c r="AN497" s="1" t="s">
        <v>198</v>
      </c>
      <c r="AO497" s="1" t="s">
        <v>179</v>
      </c>
      <c r="AP497" s="1" t="s">
        <v>179</v>
      </c>
      <c r="AR497" s="1" t="s">
        <v>160</v>
      </c>
      <c r="AS497" s="1" t="s">
        <v>160</v>
      </c>
      <c r="AT497" s="1" t="s">
        <v>758</v>
      </c>
      <c r="AU497" s="1" t="s">
        <v>160</v>
      </c>
      <c r="AV497" s="1" t="s">
        <v>160</v>
      </c>
      <c r="AW497" s="1" t="s">
        <v>159</v>
      </c>
      <c r="AX497" s="1" t="s">
        <v>159</v>
      </c>
      <c r="AY497" s="1" t="s">
        <v>159</v>
      </c>
      <c r="AZ497" s="1" t="s">
        <v>160</v>
      </c>
      <c r="BA497" s="1" t="s">
        <v>159</v>
      </c>
      <c r="BB497" s="1" t="s">
        <v>181</v>
      </c>
      <c r="BC497" s="1" t="s">
        <v>160</v>
      </c>
      <c r="BD497" s="1" t="s">
        <v>2163</v>
      </c>
      <c r="BE497" s="1" t="s">
        <v>2164</v>
      </c>
      <c r="BF497" s="1" t="s">
        <v>160</v>
      </c>
    </row>
    <row r="498" spans="1:58" ht="13" x14ac:dyDescent="0.15">
      <c r="A498" s="2">
        <v>44176.075694444444</v>
      </c>
      <c r="B498" s="2">
        <v>44176.07708333333</v>
      </c>
      <c r="C498" s="1" t="s">
        <v>39</v>
      </c>
      <c r="D498" s="1" t="s">
        <v>234</v>
      </c>
      <c r="E498" s="1">
        <v>100</v>
      </c>
      <c r="F498" s="1">
        <v>121</v>
      </c>
      <c r="G498" s="1" t="b">
        <v>1</v>
      </c>
      <c r="H498" s="2">
        <v>44176.07708333333</v>
      </c>
      <c r="I498" s="1" t="s">
        <v>2165</v>
      </c>
      <c r="N498" s="1">
        <v>34.048492430000003</v>
      </c>
      <c r="O498" s="1">
        <v>-118.2528992</v>
      </c>
      <c r="P498" s="1" t="s">
        <v>153</v>
      </c>
      <c r="Q498" s="1" t="s">
        <v>154</v>
      </c>
      <c r="R498" s="1" t="s">
        <v>174</v>
      </c>
      <c r="S498" s="1" t="s">
        <v>208</v>
      </c>
      <c r="T498" s="1" t="s">
        <v>157</v>
      </c>
      <c r="U498" s="1" t="s">
        <v>2166</v>
      </c>
      <c r="V498" s="1" t="s">
        <v>160</v>
      </c>
      <c r="W498" s="1" t="s">
        <v>160</v>
      </c>
      <c r="X498" s="1" t="s">
        <v>160</v>
      </c>
      <c r="Y498" s="1" t="s">
        <v>160</v>
      </c>
      <c r="Z498" s="1" t="s">
        <v>160</v>
      </c>
      <c r="AA498" s="1" t="s">
        <v>160</v>
      </c>
      <c r="AB498" s="1" t="s">
        <v>160</v>
      </c>
      <c r="AC498" s="1" t="s">
        <v>160</v>
      </c>
      <c r="AD498" s="1" t="s">
        <v>160</v>
      </c>
      <c r="AE498" s="1" t="s">
        <v>160</v>
      </c>
      <c r="AF498" s="1" t="s">
        <v>160</v>
      </c>
      <c r="AG498" s="1" t="s">
        <v>160</v>
      </c>
      <c r="AI498" s="1" t="s">
        <v>160</v>
      </c>
      <c r="AJ498" s="1" t="s">
        <v>192</v>
      </c>
      <c r="AK498" s="1" t="s">
        <v>164</v>
      </c>
      <c r="AL498" s="1" t="s">
        <v>192</v>
      </c>
      <c r="AM498" s="1" t="s">
        <v>164</v>
      </c>
      <c r="AN498" s="1" t="s">
        <v>164</v>
      </c>
      <c r="AO498" s="1" t="s">
        <v>179</v>
      </c>
      <c r="AP498" s="1" t="s">
        <v>179</v>
      </c>
      <c r="AR498" s="1" t="s">
        <v>160</v>
      </c>
      <c r="AS498" s="1" t="s">
        <v>160</v>
      </c>
      <c r="AT498" s="1" t="s">
        <v>322</v>
      </c>
      <c r="AU498" s="1" t="s">
        <v>159</v>
      </c>
      <c r="AV498" s="1" t="s">
        <v>160</v>
      </c>
      <c r="AW498" s="1" t="s">
        <v>159</v>
      </c>
      <c r="AX498" s="1" t="s">
        <v>160</v>
      </c>
      <c r="AY498" s="1" t="s">
        <v>159</v>
      </c>
      <c r="AZ498" s="1" t="s">
        <v>159</v>
      </c>
      <c r="BA498" s="1" t="s">
        <v>159</v>
      </c>
      <c r="BB498" s="1" t="s">
        <v>167</v>
      </c>
      <c r="BC498" s="1" t="s">
        <v>160</v>
      </c>
      <c r="BD498" s="1" t="s">
        <v>2167</v>
      </c>
      <c r="BE498" s="1" t="s">
        <v>2168</v>
      </c>
      <c r="BF498" s="1" t="s">
        <v>160</v>
      </c>
    </row>
    <row r="499" spans="1:58" ht="13" x14ac:dyDescent="0.15">
      <c r="A499" s="2">
        <v>44176.07708333333</v>
      </c>
      <c r="B499" s="2">
        <v>44176.078472222223</v>
      </c>
      <c r="C499" s="1" t="s">
        <v>39</v>
      </c>
      <c r="D499" s="1" t="s">
        <v>234</v>
      </c>
      <c r="E499" s="1">
        <v>100</v>
      </c>
      <c r="F499" s="1">
        <v>116</v>
      </c>
      <c r="G499" s="1" t="b">
        <v>1</v>
      </c>
      <c r="H499" s="2">
        <v>44176.078472222223</v>
      </c>
      <c r="I499" s="1" t="s">
        <v>2169</v>
      </c>
      <c r="N499" s="1">
        <v>34.048492430000003</v>
      </c>
      <c r="O499" s="1">
        <v>-118.2528992</v>
      </c>
      <c r="P499" s="1" t="s">
        <v>153</v>
      </c>
      <c r="Q499" s="1" t="s">
        <v>154</v>
      </c>
      <c r="R499" s="1" t="s">
        <v>155</v>
      </c>
      <c r="S499" s="1" t="s">
        <v>208</v>
      </c>
      <c r="T499" s="1" t="s">
        <v>176</v>
      </c>
      <c r="U499" s="1" t="s">
        <v>1934</v>
      </c>
      <c r="V499" s="1" t="s">
        <v>160</v>
      </c>
      <c r="W499" s="1" t="s">
        <v>160</v>
      </c>
      <c r="X499" s="1" t="s">
        <v>160</v>
      </c>
      <c r="Y499" s="1" t="s">
        <v>160</v>
      </c>
      <c r="Z499" s="1" t="s">
        <v>160</v>
      </c>
      <c r="AA499" s="1" t="s">
        <v>160</v>
      </c>
      <c r="AB499" s="1" t="s">
        <v>160</v>
      </c>
      <c r="AC499" s="1" t="s">
        <v>160</v>
      </c>
      <c r="AD499" s="1" t="s">
        <v>160</v>
      </c>
      <c r="AE499" s="1" t="s">
        <v>160</v>
      </c>
      <c r="AF499" s="1" t="s">
        <v>160</v>
      </c>
      <c r="AG499" s="1" t="s">
        <v>160</v>
      </c>
      <c r="AI499" s="1" t="s">
        <v>160</v>
      </c>
      <c r="AJ499" s="1" t="s">
        <v>163</v>
      </c>
      <c r="AK499" s="1" t="s">
        <v>198</v>
      </c>
      <c r="AL499" s="1" t="s">
        <v>192</v>
      </c>
      <c r="AM499" s="1" t="s">
        <v>164</v>
      </c>
      <c r="AN499" s="1" t="s">
        <v>198</v>
      </c>
      <c r="AO499" s="1" t="s">
        <v>179</v>
      </c>
      <c r="AP499" s="1" t="s">
        <v>165</v>
      </c>
      <c r="AR499" s="1" t="s">
        <v>160</v>
      </c>
      <c r="AS499" s="1" t="s">
        <v>160</v>
      </c>
      <c r="AT499" s="1" t="s">
        <v>2170</v>
      </c>
      <c r="AU499" s="1" t="s">
        <v>159</v>
      </c>
      <c r="AV499" s="1" t="s">
        <v>160</v>
      </c>
      <c r="AW499" s="1" t="s">
        <v>159</v>
      </c>
      <c r="AX499" s="1" t="s">
        <v>160</v>
      </c>
      <c r="AY499" s="1" t="s">
        <v>160</v>
      </c>
      <c r="AZ499" s="1" t="s">
        <v>159</v>
      </c>
      <c r="BA499" s="1" t="s">
        <v>160</v>
      </c>
      <c r="BB499" s="1" t="s">
        <v>181</v>
      </c>
      <c r="BC499" s="1" t="s">
        <v>160</v>
      </c>
      <c r="BD499" s="1" t="s">
        <v>2171</v>
      </c>
      <c r="BE499" s="1" t="s">
        <v>2172</v>
      </c>
      <c r="BF499" s="1" t="s">
        <v>160</v>
      </c>
    </row>
    <row r="500" spans="1:58" ht="13" x14ac:dyDescent="0.15">
      <c r="A500" s="2">
        <v>44176.078472222223</v>
      </c>
      <c r="B500" s="2">
        <v>44176.079861111109</v>
      </c>
      <c r="C500" s="1" t="s">
        <v>39</v>
      </c>
      <c r="D500" s="1" t="s">
        <v>234</v>
      </c>
      <c r="E500" s="1">
        <v>100</v>
      </c>
      <c r="F500" s="1">
        <v>122</v>
      </c>
      <c r="G500" s="1" t="b">
        <v>1</v>
      </c>
      <c r="H500" s="2">
        <v>44176.079861111109</v>
      </c>
      <c r="I500" s="1" t="s">
        <v>2173</v>
      </c>
      <c r="N500" s="1">
        <v>34.048492430000003</v>
      </c>
      <c r="O500" s="1">
        <v>-118.2528992</v>
      </c>
      <c r="P500" s="1" t="s">
        <v>153</v>
      </c>
      <c r="Q500" s="1" t="s">
        <v>154</v>
      </c>
      <c r="R500" s="1" t="s">
        <v>236</v>
      </c>
      <c r="S500" s="1" t="s">
        <v>226</v>
      </c>
      <c r="T500" s="1" t="s">
        <v>157</v>
      </c>
      <c r="U500" s="1" t="s">
        <v>2174</v>
      </c>
      <c r="V500" s="1" t="s">
        <v>160</v>
      </c>
      <c r="W500" s="1" t="s">
        <v>160</v>
      </c>
      <c r="X500" s="1" t="s">
        <v>160</v>
      </c>
      <c r="Y500" s="1" t="s">
        <v>160</v>
      </c>
      <c r="Z500" s="1" t="s">
        <v>160</v>
      </c>
      <c r="AA500" s="1" t="s">
        <v>160</v>
      </c>
      <c r="AB500" s="1" t="s">
        <v>160</v>
      </c>
      <c r="AC500" s="1" t="s">
        <v>160</v>
      </c>
      <c r="AD500" s="1" t="s">
        <v>160</v>
      </c>
      <c r="AE500" s="1" t="s">
        <v>160</v>
      </c>
      <c r="AF500" s="1" t="s">
        <v>160</v>
      </c>
      <c r="AG500" s="1" t="s">
        <v>160</v>
      </c>
      <c r="AI500" s="1" t="s">
        <v>160</v>
      </c>
      <c r="AJ500" s="1" t="s">
        <v>198</v>
      </c>
      <c r="AK500" s="1" t="s">
        <v>198</v>
      </c>
      <c r="AL500" s="1" t="s">
        <v>192</v>
      </c>
      <c r="AM500" s="1" t="s">
        <v>163</v>
      </c>
      <c r="AN500" s="1" t="s">
        <v>192</v>
      </c>
      <c r="AO500" s="1" t="s">
        <v>179</v>
      </c>
      <c r="AP500" s="1" t="s">
        <v>179</v>
      </c>
      <c r="AR500" s="1" t="s">
        <v>160</v>
      </c>
      <c r="AS500" s="1" t="s">
        <v>160</v>
      </c>
      <c r="AT500" s="1" t="s">
        <v>2175</v>
      </c>
      <c r="AU500" s="1" t="s">
        <v>160</v>
      </c>
      <c r="AV500" s="1" t="s">
        <v>159</v>
      </c>
      <c r="AW500" s="1" t="s">
        <v>159</v>
      </c>
      <c r="AX500" s="1" t="s">
        <v>160</v>
      </c>
      <c r="AY500" s="1" t="s">
        <v>160</v>
      </c>
      <c r="AZ500" s="1" t="s">
        <v>159</v>
      </c>
      <c r="BA500" s="1" t="s">
        <v>159</v>
      </c>
      <c r="BB500" s="1" t="s">
        <v>167</v>
      </c>
      <c r="BC500" s="1" t="s">
        <v>160</v>
      </c>
      <c r="BD500" s="1" t="s">
        <v>2176</v>
      </c>
      <c r="BE500" s="1" t="s">
        <v>2177</v>
      </c>
      <c r="BF500" s="1" t="s">
        <v>160</v>
      </c>
    </row>
    <row r="501" spans="1:58" ht="13" x14ac:dyDescent="0.15">
      <c r="A501" s="2">
        <v>44176.080555555556</v>
      </c>
      <c r="B501" s="2">
        <v>44176.081944444442</v>
      </c>
      <c r="C501" s="1" t="s">
        <v>39</v>
      </c>
      <c r="D501" s="1" t="s">
        <v>234</v>
      </c>
      <c r="E501" s="1">
        <v>100</v>
      </c>
      <c r="F501" s="1">
        <v>120</v>
      </c>
      <c r="G501" s="1" t="b">
        <v>1</v>
      </c>
      <c r="H501" s="2">
        <v>44176.081944444442</v>
      </c>
      <c r="I501" s="1" t="s">
        <v>2178</v>
      </c>
      <c r="N501" s="1">
        <v>34.048492430000003</v>
      </c>
      <c r="O501" s="1">
        <v>-118.2528992</v>
      </c>
      <c r="P501" s="1" t="s">
        <v>153</v>
      </c>
      <c r="Q501" s="1" t="s">
        <v>154</v>
      </c>
      <c r="R501" s="1" t="s">
        <v>155</v>
      </c>
      <c r="S501" s="1" t="s">
        <v>274</v>
      </c>
      <c r="T501" s="1" t="s">
        <v>176</v>
      </c>
      <c r="U501" s="1" t="s">
        <v>730</v>
      </c>
      <c r="V501" s="1" t="s">
        <v>160</v>
      </c>
      <c r="W501" s="1" t="s">
        <v>160</v>
      </c>
      <c r="X501" s="1" t="s">
        <v>160</v>
      </c>
      <c r="Y501" s="1" t="s">
        <v>160</v>
      </c>
      <c r="Z501" s="1" t="s">
        <v>160</v>
      </c>
      <c r="AA501" s="1" t="s">
        <v>160</v>
      </c>
      <c r="AB501" s="1" t="s">
        <v>160</v>
      </c>
      <c r="AC501" s="1" t="s">
        <v>160</v>
      </c>
      <c r="AD501" s="1" t="s">
        <v>160</v>
      </c>
      <c r="AE501" s="1" t="s">
        <v>160</v>
      </c>
      <c r="AF501" s="1" t="s">
        <v>160</v>
      </c>
      <c r="AG501" s="1" t="s">
        <v>160</v>
      </c>
      <c r="AI501" s="1" t="s">
        <v>160</v>
      </c>
      <c r="AJ501" s="1" t="s">
        <v>164</v>
      </c>
      <c r="AK501" s="1" t="s">
        <v>164</v>
      </c>
      <c r="AL501" s="1" t="s">
        <v>164</v>
      </c>
      <c r="AM501" s="1" t="s">
        <v>163</v>
      </c>
      <c r="AN501" s="1" t="s">
        <v>163</v>
      </c>
      <c r="AO501" s="1" t="s">
        <v>179</v>
      </c>
      <c r="AP501" s="1" t="s">
        <v>239</v>
      </c>
      <c r="AR501" s="1" t="s">
        <v>160</v>
      </c>
      <c r="AS501" s="1" t="s">
        <v>160</v>
      </c>
      <c r="AT501" s="1" t="s">
        <v>2179</v>
      </c>
      <c r="AU501" s="1" t="s">
        <v>160</v>
      </c>
      <c r="AV501" s="1" t="s">
        <v>159</v>
      </c>
      <c r="AW501" s="1" t="s">
        <v>160</v>
      </c>
      <c r="AX501" s="1" t="s">
        <v>159</v>
      </c>
      <c r="AY501" s="1" t="s">
        <v>159</v>
      </c>
      <c r="AZ501" s="1" t="s">
        <v>159</v>
      </c>
      <c r="BA501" s="1" t="s">
        <v>159</v>
      </c>
      <c r="BB501" s="1" t="s">
        <v>167</v>
      </c>
      <c r="BC501" s="1" t="s">
        <v>160</v>
      </c>
      <c r="BD501" s="1" t="s">
        <v>2180</v>
      </c>
      <c r="BE501" s="1" t="s">
        <v>2181</v>
      </c>
      <c r="BF501" s="1" t="s">
        <v>160</v>
      </c>
    </row>
    <row r="502" spans="1:58" ht="13" x14ac:dyDescent="0.15">
      <c r="A502" s="2">
        <v>44176.081944444442</v>
      </c>
      <c r="B502" s="2">
        <v>44176.083333333336</v>
      </c>
      <c r="C502" s="1" t="s">
        <v>39</v>
      </c>
      <c r="D502" s="1" t="s">
        <v>234</v>
      </c>
      <c r="E502" s="1">
        <v>100</v>
      </c>
      <c r="F502" s="1">
        <v>121</v>
      </c>
      <c r="G502" s="1" t="b">
        <v>1</v>
      </c>
      <c r="H502" s="2">
        <v>44176.083333333336</v>
      </c>
      <c r="I502" s="1" t="s">
        <v>2182</v>
      </c>
      <c r="N502" s="1">
        <v>34.048492430000003</v>
      </c>
      <c r="O502" s="1">
        <v>-118.2528992</v>
      </c>
      <c r="P502" s="1" t="s">
        <v>153</v>
      </c>
      <c r="Q502" s="1" t="s">
        <v>154</v>
      </c>
      <c r="R502" s="1" t="s">
        <v>174</v>
      </c>
      <c r="S502" s="1" t="s">
        <v>274</v>
      </c>
      <c r="T502" s="1" t="s">
        <v>176</v>
      </c>
      <c r="U502" s="1" t="s">
        <v>2183</v>
      </c>
      <c r="V502" s="1" t="s">
        <v>160</v>
      </c>
      <c r="W502" s="1" t="s">
        <v>160</v>
      </c>
      <c r="X502" s="1" t="s">
        <v>160</v>
      </c>
      <c r="Y502" s="1" t="s">
        <v>160</v>
      </c>
      <c r="Z502" s="1" t="s">
        <v>160</v>
      </c>
      <c r="AA502" s="1" t="s">
        <v>160</v>
      </c>
      <c r="AB502" s="1" t="s">
        <v>160</v>
      </c>
      <c r="AC502" s="1" t="s">
        <v>160</v>
      </c>
      <c r="AD502" s="1" t="s">
        <v>160</v>
      </c>
      <c r="AE502" s="1" t="s">
        <v>160</v>
      </c>
      <c r="AF502" s="1" t="s">
        <v>160</v>
      </c>
      <c r="AG502" s="1" t="s">
        <v>160</v>
      </c>
      <c r="AI502" s="1" t="s">
        <v>160</v>
      </c>
      <c r="AJ502" s="1" t="s">
        <v>164</v>
      </c>
      <c r="AK502" s="1" t="s">
        <v>198</v>
      </c>
      <c r="AL502" s="1" t="s">
        <v>198</v>
      </c>
      <c r="AM502" s="1" t="s">
        <v>163</v>
      </c>
      <c r="AN502" s="1" t="s">
        <v>164</v>
      </c>
      <c r="AO502" s="1" t="s">
        <v>179</v>
      </c>
      <c r="AP502" s="1" t="s">
        <v>239</v>
      </c>
      <c r="AR502" s="1" t="s">
        <v>160</v>
      </c>
      <c r="AS502" s="1" t="s">
        <v>160</v>
      </c>
      <c r="AT502" s="1" t="s">
        <v>1587</v>
      </c>
      <c r="AU502" s="1" t="s">
        <v>159</v>
      </c>
      <c r="AV502" s="1" t="s">
        <v>160</v>
      </c>
      <c r="AW502" s="1" t="s">
        <v>159</v>
      </c>
      <c r="AX502" s="1" t="s">
        <v>159</v>
      </c>
      <c r="AY502" s="1" t="s">
        <v>159</v>
      </c>
      <c r="AZ502" s="1" t="s">
        <v>160</v>
      </c>
      <c r="BA502" s="1" t="s">
        <v>160</v>
      </c>
      <c r="BB502" s="1" t="s">
        <v>181</v>
      </c>
      <c r="BC502" s="1" t="s">
        <v>160</v>
      </c>
      <c r="BD502" s="1" t="s">
        <v>2184</v>
      </c>
      <c r="BE502" s="1" t="s">
        <v>2185</v>
      </c>
      <c r="BF502" s="1" t="s">
        <v>160</v>
      </c>
    </row>
    <row r="503" spans="1:58" ht="13" x14ac:dyDescent="0.15">
      <c r="A503" s="2">
        <v>44176.083333333336</v>
      </c>
      <c r="B503" s="2">
        <v>44176.084722222222</v>
      </c>
      <c r="C503" s="1" t="s">
        <v>39</v>
      </c>
      <c r="D503" s="1" t="s">
        <v>234</v>
      </c>
      <c r="E503" s="1">
        <v>100</v>
      </c>
      <c r="F503" s="1">
        <v>120</v>
      </c>
      <c r="G503" s="1" t="b">
        <v>1</v>
      </c>
      <c r="H503" s="2">
        <v>44176.084722222222</v>
      </c>
      <c r="I503" s="1" t="s">
        <v>2186</v>
      </c>
      <c r="N503" s="1">
        <v>34.048492430000003</v>
      </c>
      <c r="O503" s="1">
        <v>-118.2528992</v>
      </c>
      <c r="P503" s="1" t="s">
        <v>153</v>
      </c>
      <c r="Q503" s="1" t="s">
        <v>154</v>
      </c>
      <c r="R503" s="1" t="s">
        <v>155</v>
      </c>
      <c r="S503" s="1" t="s">
        <v>226</v>
      </c>
      <c r="T503" s="1" t="s">
        <v>157</v>
      </c>
      <c r="U503" s="1" t="s">
        <v>418</v>
      </c>
      <c r="V503" s="1" t="s">
        <v>160</v>
      </c>
      <c r="W503" s="1" t="s">
        <v>160</v>
      </c>
      <c r="X503" s="1" t="s">
        <v>160</v>
      </c>
      <c r="Y503" s="1" t="s">
        <v>160</v>
      </c>
      <c r="Z503" s="1" t="s">
        <v>160</v>
      </c>
      <c r="AA503" s="1" t="s">
        <v>160</v>
      </c>
      <c r="AB503" s="1" t="s">
        <v>160</v>
      </c>
      <c r="AC503" s="1" t="s">
        <v>160</v>
      </c>
      <c r="AD503" s="1" t="s">
        <v>160</v>
      </c>
      <c r="AE503" s="1" t="s">
        <v>160</v>
      </c>
      <c r="AF503" s="1" t="s">
        <v>160</v>
      </c>
      <c r="AG503" s="1" t="s">
        <v>160</v>
      </c>
      <c r="AI503" s="1" t="s">
        <v>160</v>
      </c>
      <c r="AJ503" s="1" t="s">
        <v>164</v>
      </c>
      <c r="AK503" s="1" t="s">
        <v>198</v>
      </c>
      <c r="AL503" s="1" t="s">
        <v>192</v>
      </c>
      <c r="AM503" s="1" t="s">
        <v>163</v>
      </c>
      <c r="AN503" s="1" t="s">
        <v>198</v>
      </c>
      <c r="AO503" s="1" t="s">
        <v>179</v>
      </c>
      <c r="AP503" s="1" t="s">
        <v>179</v>
      </c>
      <c r="AR503" s="1" t="s">
        <v>160</v>
      </c>
      <c r="AS503" s="1" t="s">
        <v>160</v>
      </c>
      <c r="AT503" s="1" t="s">
        <v>1854</v>
      </c>
      <c r="AU503" s="1" t="s">
        <v>159</v>
      </c>
      <c r="AV503" s="1" t="s">
        <v>159</v>
      </c>
      <c r="AW503" s="1" t="s">
        <v>160</v>
      </c>
      <c r="AX503" s="1" t="s">
        <v>160</v>
      </c>
      <c r="AY503" s="1" t="s">
        <v>160</v>
      </c>
      <c r="AZ503" s="1" t="s">
        <v>160</v>
      </c>
      <c r="BA503" s="1" t="s">
        <v>160</v>
      </c>
      <c r="BB503" s="1" t="s">
        <v>241</v>
      </c>
      <c r="BC503" s="1" t="s">
        <v>160</v>
      </c>
      <c r="BD503" s="1" t="s">
        <v>2187</v>
      </c>
      <c r="BE503" s="1" t="s">
        <v>2188</v>
      </c>
      <c r="BF503" s="1" t="s">
        <v>160</v>
      </c>
    </row>
    <row r="504" spans="1:58" ht="13" x14ac:dyDescent="0.15">
      <c r="A504" s="2">
        <v>44176.085416666669</v>
      </c>
      <c r="B504" s="2">
        <v>44176.086805555555</v>
      </c>
      <c r="C504" s="1" t="s">
        <v>39</v>
      </c>
      <c r="D504" s="1" t="s">
        <v>234</v>
      </c>
      <c r="E504" s="1">
        <v>100</v>
      </c>
      <c r="F504" s="1">
        <v>121</v>
      </c>
      <c r="G504" s="1" t="b">
        <v>1</v>
      </c>
      <c r="H504" s="2">
        <v>44176.086805555555</v>
      </c>
      <c r="I504" s="1" t="s">
        <v>2189</v>
      </c>
      <c r="N504" s="1">
        <v>34.048492430000003</v>
      </c>
      <c r="O504" s="1">
        <v>-118.2528992</v>
      </c>
      <c r="P504" s="1" t="s">
        <v>153</v>
      </c>
      <c r="Q504" s="1" t="s">
        <v>154</v>
      </c>
      <c r="R504" s="1" t="s">
        <v>155</v>
      </c>
      <c r="S504" s="1" t="s">
        <v>310</v>
      </c>
      <c r="T504" s="1" t="s">
        <v>157</v>
      </c>
      <c r="U504" s="1" t="s">
        <v>2190</v>
      </c>
      <c r="V504" s="1" t="s">
        <v>160</v>
      </c>
      <c r="W504" s="1" t="s">
        <v>160</v>
      </c>
      <c r="X504" s="1" t="s">
        <v>160</v>
      </c>
      <c r="Y504" s="1" t="s">
        <v>160</v>
      </c>
      <c r="Z504" s="1" t="s">
        <v>160</v>
      </c>
      <c r="AA504" s="1" t="s">
        <v>160</v>
      </c>
      <c r="AB504" s="1" t="s">
        <v>160</v>
      </c>
      <c r="AC504" s="1" t="s">
        <v>160</v>
      </c>
      <c r="AD504" s="1" t="s">
        <v>160</v>
      </c>
      <c r="AE504" s="1" t="s">
        <v>160</v>
      </c>
      <c r="AF504" s="1" t="s">
        <v>160</v>
      </c>
      <c r="AG504" s="1" t="s">
        <v>160</v>
      </c>
      <c r="AI504" s="1" t="s">
        <v>160</v>
      </c>
      <c r="AJ504" s="1" t="s">
        <v>198</v>
      </c>
      <c r="AK504" s="1" t="s">
        <v>164</v>
      </c>
      <c r="AL504" s="1" t="s">
        <v>192</v>
      </c>
      <c r="AM504" s="1" t="s">
        <v>164</v>
      </c>
      <c r="AN504" s="1" t="s">
        <v>192</v>
      </c>
      <c r="AO504" s="1" t="s">
        <v>179</v>
      </c>
      <c r="AP504" s="1" t="s">
        <v>239</v>
      </c>
      <c r="AR504" s="1" t="s">
        <v>160</v>
      </c>
      <c r="AS504" s="1" t="s">
        <v>160</v>
      </c>
      <c r="AT504" s="1" t="s">
        <v>2191</v>
      </c>
      <c r="AU504" s="1" t="s">
        <v>160</v>
      </c>
      <c r="AV504" s="1" t="s">
        <v>160</v>
      </c>
      <c r="AW504" s="1" t="s">
        <v>160</v>
      </c>
      <c r="AX504" s="1" t="s">
        <v>160</v>
      </c>
      <c r="AY504" s="1" t="s">
        <v>159</v>
      </c>
      <c r="AZ504" s="1" t="s">
        <v>160</v>
      </c>
      <c r="BA504" s="1" t="s">
        <v>160</v>
      </c>
      <c r="BB504" s="1" t="s">
        <v>241</v>
      </c>
      <c r="BC504" s="1" t="s">
        <v>160</v>
      </c>
      <c r="BD504" s="1" t="s">
        <v>2192</v>
      </c>
      <c r="BE504" s="1" t="s">
        <v>2193</v>
      </c>
      <c r="BF504" s="1" t="s">
        <v>160</v>
      </c>
    </row>
    <row r="505" spans="1:58" ht="13" x14ac:dyDescent="0.15">
      <c r="A505" s="2">
        <v>44176.086805555555</v>
      </c>
      <c r="B505" s="2">
        <v>44176.088194444441</v>
      </c>
      <c r="C505" s="1" t="s">
        <v>39</v>
      </c>
      <c r="D505" s="1" t="s">
        <v>234</v>
      </c>
      <c r="E505" s="1">
        <v>100</v>
      </c>
      <c r="F505" s="1">
        <v>121</v>
      </c>
      <c r="G505" s="1" t="b">
        <v>1</v>
      </c>
      <c r="H505" s="2">
        <v>44176.088194444441</v>
      </c>
      <c r="I505" s="1" t="s">
        <v>2194</v>
      </c>
      <c r="N505" s="1">
        <v>34.048492430000003</v>
      </c>
      <c r="O505" s="1">
        <v>-118.2528992</v>
      </c>
      <c r="P505" s="1" t="s">
        <v>153</v>
      </c>
      <c r="Q505" s="1" t="s">
        <v>154</v>
      </c>
      <c r="R505" s="1" t="s">
        <v>155</v>
      </c>
      <c r="S505" s="1" t="s">
        <v>208</v>
      </c>
      <c r="T505" s="1" t="s">
        <v>263</v>
      </c>
      <c r="U505" s="1" t="s">
        <v>2195</v>
      </c>
      <c r="V505" s="1" t="s">
        <v>160</v>
      </c>
      <c r="W505" s="1" t="s">
        <v>160</v>
      </c>
      <c r="X505" s="1" t="s">
        <v>160</v>
      </c>
      <c r="Y505" s="1" t="s">
        <v>160</v>
      </c>
      <c r="Z505" s="1" t="s">
        <v>160</v>
      </c>
      <c r="AA505" s="1" t="s">
        <v>160</v>
      </c>
      <c r="AB505" s="1" t="s">
        <v>160</v>
      </c>
      <c r="AC505" s="1" t="s">
        <v>160</v>
      </c>
      <c r="AD505" s="1" t="s">
        <v>160</v>
      </c>
      <c r="AE505" s="1" t="s">
        <v>160</v>
      </c>
      <c r="AF505" s="1" t="s">
        <v>160</v>
      </c>
      <c r="AG505" s="1" t="s">
        <v>160</v>
      </c>
      <c r="AI505" s="1" t="s">
        <v>160</v>
      </c>
      <c r="AJ505" s="1" t="s">
        <v>163</v>
      </c>
      <c r="AK505" s="1" t="s">
        <v>164</v>
      </c>
      <c r="AL505" s="1" t="s">
        <v>192</v>
      </c>
      <c r="AM505" s="1" t="s">
        <v>192</v>
      </c>
      <c r="AN505" s="1" t="s">
        <v>192</v>
      </c>
      <c r="AO505" s="1" t="s">
        <v>179</v>
      </c>
      <c r="AP505" s="1" t="s">
        <v>165</v>
      </c>
      <c r="AR505" s="1" t="s">
        <v>160</v>
      </c>
      <c r="AS505" s="1" t="s">
        <v>160</v>
      </c>
      <c r="AT505" s="1" t="s">
        <v>473</v>
      </c>
      <c r="AU505" s="1" t="s">
        <v>159</v>
      </c>
      <c r="AV505" s="1" t="s">
        <v>160</v>
      </c>
      <c r="AW505" s="1" t="s">
        <v>159</v>
      </c>
      <c r="AX505" s="1" t="s">
        <v>159</v>
      </c>
      <c r="AY505" s="1" t="s">
        <v>159</v>
      </c>
      <c r="AZ505" s="1" t="s">
        <v>159</v>
      </c>
      <c r="BA505" s="1" t="s">
        <v>159</v>
      </c>
      <c r="BB505" s="1" t="s">
        <v>241</v>
      </c>
      <c r="BC505" s="1" t="s">
        <v>160</v>
      </c>
      <c r="BD505" s="1" t="s">
        <v>2196</v>
      </c>
      <c r="BE505" s="1" t="s">
        <v>2197</v>
      </c>
      <c r="BF505" s="1" t="s">
        <v>160</v>
      </c>
    </row>
    <row r="506" spans="1:58" ht="13" x14ac:dyDescent="0.15">
      <c r="A506" s="2">
        <v>44176.088888888888</v>
      </c>
      <c r="B506" s="2">
        <v>44176.090277777781</v>
      </c>
      <c r="C506" s="1" t="s">
        <v>39</v>
      </c>
      <c r="D506" s="1" t="s">
        <v>234</v>
      </c>
      <c r="E506" s="1">
        <v>100</v>
      </c>
      <c r="F506" s="1">
        <v>120</v>
      </c>
      <c r="G506" s="1" t="b">
        <v>1</v>
      </c>
      <c r="H506" s="2">
        <v>44176.090277777781</v>
      </c>
      <c r="I506" s="1" t="s">
        <v>2198</v>
      </c>
      <c r="N506" s="1">
        <v>34.048492430000003</v>
      </c>
      <c r="O506" s="1">
        <v>-118.2528992</v>
      </c>
      <c r="P506" s="1" t="s">
        <v>153</v>
      </c>
      <c r="Q506" s="1" t="s">
        <v>154</v>
      </c>
      <c r="R506" s="1" t="s">
        <v>155</v>
      </c>
      <c r="S506" s="1" t="s">
        <v>175</v>
      </c>
      <c r="T506" s="1" t="s">
        <v>237</v>
      </c>
      <c r="U506" s="1" t="s">
        <v>2199</v>
      </c>
      <c r="V506" s="1" t="s">
        <v>160</v>
      </c>
      <c r="W506" s="1" t="s">
        <v>160</v>
      </c>
      <c r="X506" s="1" t="s">
        <v>160</v>
      </c>
      <c r="Y506" s="1" t="s">
        <v>160</v>
      </c>
      <c r="Z506" s="1" t="s">
        <v>160</v>
      </c>
      <c r="AA506" s="1" t="s">
        <v>160</v>
      </c>
      <c r="AB506" s="1" t="s">
        <v>160</v>
      </c>
      <c r="AC506" s="1" t="s">
        <v>160</v>
      </c>
      <c r="AD506" s="1" t="s">
        <v>160</v>
      </c>
      <c r="AE506" s="1" t="s">
        <v>160</v>
      </c>
      <c r="AF506" s="1" t="s">
        <v>160</v>
      </c>
      <c r="AG506" s="1" t="s">
        <v>160</v>
      </c>
      <c r="AI506" s="1" t="s">
        <v>160</v>
      </c>
      <c r="AJ506" s="1" t="s">
        <v>164</v>
      </c>
      <c r="AK506" s="1" t="s">
        <v>192</v>
      </c>
      <c r="AL506" s="1" t="s">
        <v>163</v>
      </c>
      <c r="AM506" s="1" t="s">
        <v>192</v>
      </c>
      <c r="AN506" s="1" t="s">
        <v>163</v>
      </c>
      <c r="AO506" s="1" t="s">
        <v>179</v>
      </c>
      <c r="AP506" s="1" t="s">
        <v>239</v>
      </c>
      <c r="AR506" s="1" t="s">
        <v>160</v>
      </c>
      <c r="AS506" s="1" t="s">
        <v>160</v>
      </c>
      <c r="AT506" s="1" t="s">
        <v>383</v>
      </c>
      <c r="AU506" s="1" t="s">
        <v>160</v>
      </c>
      <c r="AV506" s="1" t="s">
        <v>159</v>
      </c>
      <c r="AW506" s="1" t="s">
        <v>159</v>
      </c>
      <c r="AX506" s="1" t="s">
        <v>160</v>
      </c>
      <c r="AY506" s="1" t="s">
        <v>160</v>
      </c>
      <c r="AZ506" s="1" t="s">
        <v>160</v>
      </c>
      <c r="BA506" s="1" t="s">
        <v>160</v>
      </c>
      <c r="BB506" s="1" t="s">
        <v>167</v>
      </c>
      <c r="BC506" s="1" t="s">
        <v>160</v>
      </c>
      <c r="BD506" s="1" t="s">
        <v>2200</v>
      </c>
      <c r="BE506" s="1" t="s">
        <v>2201</v>
      </c>
      <c r="BF506" s="1" t="s">
        <v>160</v>
      </c>
    </row>
    <row r="507" spans="1:58" ht="13" x14ac:dyDescent="0.15">
      <c r="A507" s="2">
        <v>44176.090277777781</v>
      </c>
      <c r="B507" s="2">
        <v>44176.091666666667</v>
      </c>
      <c r="C507" s="1" t="s">
        <v>39</v>
      </c>
      <c r="D507" s="1" t="s">
        <v>234</v>
      </c>
      <c r="E507" s="1">
        <v>100</v>
      </c>
      <c r="F507" s="1">
        <v>121</v>
      </c>
      <c r="G507" s="1" t="b">
        <v>1</v>
      </c>
      <c r="H507" s="2">
        <v>44176.091666666667</v>
      </c>
      <c r="I507" s="1" t="s">
        <v>2202</v>
      </c>
      <c r="N507" s="1">
        <v>34.048492430000003</v>
      </c>
      <c r="O507" s="1">
        <v>-118.2528992</v>
      </c>
      <c r="P507" s="1" t="s">
        <v>153</v>
      </c>
      <c r="Q507" s="1" t="s">
        <v>154</v>
      </c>
      <c r="R507" s="1" t="s">
        <v>236</v>
      </c>
      <c r="S507" s="1" t="s">
        <v>208</v>
      </c>
      <c r="T507" s="1" t="s">
        <v>245</v>
      </c>
      <c r="U507" s="1" t="s">
        <v>701</v>
      </c>
      <c r="V507" s="1" t="s">
        <v>160</v>
      </c>
      <c r="W507" s="1" t="s">
        <v>160</v>
      </c>
      <c r="X507" s="1" t="s">
        <v>160</v>
      </c>
      <c r="Y507" s="1" t="s">
        <v>160</v>
      </c>
      <c r="Z507" s="1" t="s">
        <v>160</v>
      </c>
      <c r="AA507" s="1" t="s">
        <v>160</v>
      </c>
      <c r="AB507" s="1" t="s">
        <v>160</v>
      </c>
      <c r="AC507" s="1" t="s">
        <v>160</v>
      </c>
      <c r="AD507" s="1" t="s">
        <v>160</v>
      </c>
      <c r="AE507" s="1" t="s">
        <v>160</v>
      </c>
      <c r="AF507" s="1" t="s">
        <v>160</v>
      </c>
      <c r="AG507" s="1" t="s">
        <v>160</v>
      </c>
      <c r="AI507" s="1" t="s">
        <v>160</v>
      </c>
      <c r="AJ507" s="1" t="s">
        <v>192</v>
      </c>
      <c r="AK507" s="1" t="s">
        <v>164</v>
      </c>
      <c r="AL507" s="1" t="s">
        <v>198</v>
      </c>
      <c r="AM507" s="1" t="s">
        <v>164</v>
      </c>
      <c r="AN507" s="1" t="s">
        <v>163</v>
      </c>
      <c r="AO507" s="1" t="s">
        <v>179</v>
      </c>
      <c r="AP507" s="1" t="s">
        <v>239</v>
      </c>
      <c r="AR507" s="1" t="s">
        <v>160</v>
      </c>
      <c r="AS507" s="1" t="s">
        <v>160</v>
      </c>
      <c r="AT507" s="1" t="s">
        <v>2125</v>
      </c>
      <c r="AU507" s="1" t="s">
        <v>159</v>
      </c>
      <c r="AV507" s="1" t="s">
        <v>160</v>
      </c>
      <c r="AW507" s="1" t="s">
        <v>159</v>
      </c>
      <c r="AX507" s="1" t="s">
        <v>159</v>
      </c>
      <c r="AY507" s="1" t="s">
        <v>159</v>
      </c>
      <c r="AZ507" s="1" t="s">
        <v>160</v>
      </c>
      <c r="BA507" s="1" t="s">
        <v>159</v>
      </c>
      <c r="BB507" s="1" t="s">
        <v>181</v>
      </c>
      <c r="BC507" s="1" t="s">
        <v>160</v>
      </c>
      <c r="BD507" s="1" t="s">
        <v>2203</v>
      </c>
      <c r="BE507" s="1" t="s">
        <v>2204</v>
      </c>
      <c r="BF507" s="1" t="s">
        <v>160</v>
      </c>
    </row>
    <row r="508" spans="1:58" ht="13" x14ac:dyDescent="0.15">
      <c r="A508" s="2">
        <v>44176.091666666667</v>
      </c>
      <c r="B508" s="2">
        <v>44176.093055555553</v>
      </c>
      <c r="C508" s="1" t="s">
        <v>39</v>
      </c>
      <c r="D508" s="1" t="s">
        <v>234</v>
      </c>
      <c r="E508" s="1">
        <v>100</v>
      </c>
      <c r="F508" s="1">
        <v>121</v>
      </c>
      <c r="G508" s="1" t="b">
        <v>1</v>
      </c>
      <c r="H508" s="2">
        <v>44176.093055555553</v>
      </c>
      <c r="I508" s="1" t="s">
        <v>2205</v>
      </c>
      <c r="N508" s="1">
        <v>34.048492430000003</v>
      </c>
      <c r="O508" s="1">
        <v>-118.2528992</v>
      </c>
      <c r="P508" s="1" t="s">
        <v>153</v>
      </c>
      <c r="Q508" s="1" t="s">
        <v>154</v>
      </c>
      <c r="R508" s="1" t="s">
        <v>236</v>
      </c>
      <c r="S508" s="1" t="s">
        <v>226</v>
      </c>
      <c r="T508" s="1" t="s">
        <v>176</v>
      </c>
      <c r="U508" s="1" t="s">
        <v>2206</v>
      </c>
      <c r="V508" s="1" t="s">
        <v>160</v>
      </c>
      <c r="W508" s="1" t="s">
        <v>160</v>
      </c>
      <c r="X508" s="1" t="s">
        <v>160</v>
      </c>
      <c r="Y508" s="1" t="s">
        <v>160</v>
      </c>
      <c r="Z508" s="1" t="s">
        <v>160</v>
      </c>
      <c r="AA508" s="1" t="s">
        <v>160</v>
      </c>
      <c r="AB508" s="1" t="s">
        <v>160</v>
      </c>
      <c r="AC508" s="1" t="s">
        <v>160</v>
      </c>
      <c r="AD508" s="1" t="s">
        <v>160</v>
      </c>
      <c r="AE508" s="1" t="s">
        <v>160</v>
      </c>
      <c r="AF508" s="1" t="s">
        <v>160</v>
      </c>
      <c r="AG508" s="1" t="s">
        <v>160</v>
      </c>
      <c r="AI508" s="1" t="s">
        <v>160</v>
      </c>
      <c r="AJ508" s="1" t="s">
        <v>198</v>
      </c>
      <c r="AK508" s="1" t="s">
        <v>192</v>
      </c>
      <c r="AL508" s="1" t="s">
        <v>164</v>
      </c>
      <c r="AM508" s="1" t="s">
        <v>163</v>
      </c>
      <c r="AN508" s="1" t="s">
        <v>164</v>
      </c>
      <c r="AO508" s="1" t="s">
        <v>179</v>
      </c>
      <c r="AP508" s="1" t="s">
        <v>165</v>
      </c>
      <c r="AR508" s="1" t="s">
        <v>160</v>
      </c>
      <c r="AS508" s="1" t="s">
        <v>160</v>
      </c>
      <c r="AT508" s="1" t="s">
        <v>252</v>
      </c>
      <c r="AU508" s="1" t="s">
        <v>160</v>
      </c>
      <c r="AV508" s="1" t="s">
        <v>160</v>
      </c>
      <c r="AW508" s="1" t="s">
        <v>160</v>
      </c>
      <c r="AX508" s="1" t="s">
        <v>159</v>
      </c>
      <c r="AY508" s="1" t="s">
        <v>160</v>
      </c>
      <c r="AZ508" s="1" t="s">
        <v>159</v>
      </c>
      <c r="BA508" s="1" t="s">
        <v>159</v>
      </c>
      <c r="BB508" s="1" t="s">
        <v>222</v>
      </c>
      <c r="BC508" s="1" t="s">
        <v>160</v>
      </c>
      <c r="BD508" s="1" t="s">
        <v>2207</v>
      </c>
      <c r="BE508" s="1" t="s">
        <v>2208</v>
      </c>
      <c r="BF508" s="1" t="s">
        <v>160</v>
      </c>
    </row>
    <row r="509" spans="1:58" ht="13" x14ac:dyDescent="0.15">
      <c r="A509" s="2">
        <v>44176.09375</v>
      </c>
      <c r="B509" s="2">
        <v>44176.095138888886</v>
      </c>
      <c r="C509" s="1" t="s">
        <v>39</v>
      </c>
      <c r="D509" s="1" t="s">
        <v>234</v>
      </c>
      <c r="E509" s="1">
        <v>100</v>
      </c>
      <c r="F509" s="1">
        <v>115</v>
      </c>
      <c r="G509" s="1" t="b">
        <v>1</v>
      </c>
      <c r="H509" s="2">
        <v>44176.095138888886</v>
      </c>
      <c r="I509" s="1" t="s">
        <v>2209</v>
      </c>
      <c r="N509" s="1">
        <v>34.048492430000003</v>
      </c>
      <c r="O509" s="1">
        <v>-118.2528992</v>
      </c>
      <c r="P509" s="1" t="s">
        <v>153</v>
      </c>
      <c r="Q509" s="1" t="s">
        <v>154</v>
      </c>
      <c r="R509" s="1" t="s">
        <v>174</v>
      </c>
      <c r="S509" s="1" t="s">
        <v>175</v>
      </c>
      <c r="T509" s="1" t="s">
        <v>245</v>
      </c>
      <c r="U509" s="1" t="s">
        <v>944</v>
      </c>
      <c r="V509" s="1" t="s">
        <v>160</v>
      </c>
      <c r="W509" s="1" t="s">
        <v>160</v>
      </c>
      <c r="X509" s="1" t="s">
        <v>160</v>
      </c>
      <c r="Y509" s="1" t="s">
        <v>160</v>
      </c>
      <c r="Z509" s="1" t="s">
        <v>160</v>
      </c>
      <c r="AA509" s="1" t="s">
        <v>160</v>
      </c>
      <c r="AB509" s="1" t="s">
        <v>160</v>
      </c>
      <c r="AC509" s="1" t="s">
        <v>160</v>
      </c>
      <c r="AD509" s="1" t="s">
        <v>160</v>
      </c>
      <c r="AE509" s="1" t="s">
        <v>160</v>
      </c>
      <c r="AF509" s="1" t="s">
        <v>160</v>
      </c>
      <c r="AG509" s="1" t="s">
        <v>160</v>
      </c>
      <c r="AI509" s="1" t="s">
        <v>160</v>
      </c>
      <c r="AJ509" s="1" t="s">
        <v>164</v>
      </c>
      <c r="AK509" s="1" t="s">
        <v>164</v>
      </c>
      <c r="AL509" s="1" t="s">
        <v>164</v>
      </c>
      <c r="AM509" s="1" t="s">
        <v>164</v>
      </c>
      <c r="AN509" s="1" t="s">
        <v>198</v>
      </c>
      <c r="AO509" s="1" t="s">
        <v>179</v>
      </c>
      <c r="AP509" s="1" t="s">
        <v>239</v>
      </c>
      <c r="AR509" s="1" t="s">
        <v>160</v>
      </c>
      <c r="AS509" s="1" t="s">
        <v>160</v>
      </c>
      <c r="AT509" s="1" t="s">
        <v>1316</v>
      </c>
      <c r="AU509" s="1" t="s">
        <v>160</v>
      </c>
      <c r="AV509" s="1" t="s">
        <v>159</v>
      </c>
      <c r="AW509" s="1" t="s">
        <v>159</v>
      </c>
      <c r="AX509" s="1" t="s">
        <v>159</v>
      </c>
      <c r="AY509" s="1" t="s">
        <v>159</v>
      </c>
      <c r="AZ509" s="1" t="s">
        <v>160</v>
      </c>
      <c r="BA509" s="1" t="s">
        <v>160</v>
      </c>
      <c r="BB509" s="1" t="s">
        <v>167</v>
      </c>
      <c r="BC509" s="1" t="s">
        <v>160</v>
      </c>
      <c r="BD509" s="1" t="s">
        <v>2210</v>
      </c>
      <c r="BE509" s="1" t="s">
        <v>2211</v>
      </c>
      <c r="BF509" s="1" t="s">
        <v>160</v>
      </c>
    </row>
    <row r="510" spans="1:58" ht="13" x14ac:dyDescent="0.15">
      <c r="A510" s="2">
        <v>44176.095138888886</v>
      </c>
      <c r="B510" s="2">
        <v>44176.09652777778</v>
      </c>
      <c r="C510" s="1" t="s">
        <v>39</v>
      </c>
      <c r="D510" s="1" t="s">
        <v>234</v>
      </c>
      <c r="E510" s="1">
        <v>100</v>
      </c>
      <c r="F510" s="1">
        <v>120</v>
      </c>
      <c r="G510" s="1" t="b">
        <v>1</v>
      </c>
      <c r="H510" s="2">
        <v>44176.09652777778</v>
      </c>
      <c r="I510" s="1" t="s">
        <v>2212</v>
      </c>
      <c r="N510" s="1">
        <v>34.048492430000003</v>
      </c>
      <c r="O510" s="1">
        <v>-118.2528992</v>
      </c>
      <c r="P510" s="1" t="s">
        <v>153</v>
      </c>
      <c r="Q510" s="1" t="s">
        <v>154</v>
      </c>
      <c r="R510" s="1" t="s">
        <v>174</v>
      </c>
      <c r="S510" s="1" t="s">
        <v>226</v>
      </c>
      <c r="T510" s="1" t="s">
        <v>237</v>
      </c>
      <c r="U510" s="1" t="s">
        <v>2213</v>
      </c>
      <c r="V510" s="1" t="s">
        <v>160</v>
      </c>
      <c r="W510" s="1" t="s">
        <v>160</v>
      </c>
      <c r="X510" s="1" t="s">
        <v>160</v>
      </c>
      <c r="Y510" s="1" t="s">
        <v>160</v>
      </c>
      <c r="Z510" s="1" t="s">
        <v>160</v>
      </c>
      <c r="AA510" s="1" t="s">
        <v>160</v>
      </c>
      <c r="AB510" s="1" t="s">
        <v>160</v>
      </c>
      <c r="AC510" s="1" t="s">
        <v>160</v>
      </c>
      <c r="AD510" s="1" t="s">
        <v>160</v>
      </c>
      <c r="AE510" s="1" t="s">
        <v>160</v>
      </c>
      <c r="AF510" s="1" t="s">
        <v>160</v>
      </c>
      <c r="AG510" s="1" t="s">
        <v>160</v>
      </c>
      <c r="AI510" s="1" t="s">
        <v>160</v>
      </c>
      <c r="AJ510" s="1" t="s">
        <v>164</v>
      </c>
      <c r="AK510" s="1" t="s">
        <v>192</v>
      </c>
      <c r="AL510" s="1" t="s">
        <v>164</v>
      </c>
      <c r="AM510" s="1" t="s">
        <v>198</v>
      </c>
      <c r="AN510" s="1" t="s">
        <v>198</v>
      </c>
      <c r="AO510" s="1" t="s">
        <v>179</v>
      </c>
      <c r="AP510" s="1" t="s">
        <v>179</v>
      </c>
      <c r="AR510" s="1" t="s">
        <v>160</v>
      </c>
      <c r="AS510" s="1" t="s">
        <v>160</v>
      </c>
      <c r="AT510" s="1" t="s">
        <v>355</v>
      </c>
      <c r="AU510" s="1" t="s">
        <v>159</v>
      </c>
      <c r="AV510" s="1" t="s">
        <v>160</v>
      </c>
      <c r="AW510" s="1" t="s">
        <v>160</v>
      </c>
      <c r="AX510" s="1" t="s">
        <v>160</v>
      </c>
      <c r="AY510" s="1" t="s">
        <v>159</v>
      </c>
      <c r="AZ510" s="1" t="s">
        <v>160</v>
      </c>
      <c r="BA510" s="1" t="s">
        <v>159</v>
      </c>
      <c r="BB510" s="1" t="s">
        <v>167</v>
      </c>
      <c r="BC510" s="1" t="s">
        <v>160</v>
      </c>
      <c r="BD510" s="1" t="s">
        <v>2214</v>
      </c>
      <c r="BE510" s="1" t="s">
        <v>2215</v>
      </c>
      <c r="BF510" s="1" t="s">
        <v>160</v>
      </c>
    </row>
    <row r="511" spans="1:58" ht="13" x14ac:dyDescent="0.15">
      <c r="A511" s="2">
        <v>44176.09652777778</v>
      </c>
      <c r="B511" s="2">
        <v>44176.098611111112</v>
      </c>
      <c r="C511" s="1" t="s">
        <v>39</v>
      </c>
      <c r="D511" s="1" t="s">
        <v>234</v>
      </c>
      <c r="E511" s="1">
        <v>100</v>
      </c>
      <c r="F511" s="1">
        <v>121</v>
      </c>
      <c r="G511" s="1" t="b">
        <v>1</v>
      </c>
      <c r="H511" s="2">
        <v>44176.098611111112</v>
      </c>
      <c r="I511" s="1" t="s">
        <v>2216</v>
      </c>
      <c r="N511" s="1">
        <v>34.048492430000003</v>
      </c>
      <c r="O511" s="1">
        <v>-118.2528992</v>
      </c>
      <c r="P511" s="1" t="s">
        <v>153</v>
      </c>
      <c r="Q511" s="1" t="s">
        <v>154</v>
      </c>
      <c r="R511" s="1" t="s">
        <v>174</v>
      </c>
      <c r="S511" s="1" t="s">
        <v>226</v>
      </c>
      <c r="T511" s="1" t="s">
        <v>176</v>
      </c>
      <c r="U511" s="1" t="s">
        <v>264</v>
      </c>
      <c r="V511" s="1" t="s">
        <v>160</v>
      </c>
      <c r="W511" s="1" t="s">
        <v>160</v>
      </c>
      <c r="X511" s="1" t="s">
        <v>160</v>
      </c>
      <c r="Y511" s="1" t="s">
        <v>160</v>
      </c>
      <c r="Z511" s="1" t="s">
        <v>160</v>
      </c>
      <c r="AA511" s="1" t="s">
        <v>160</v>
      </c>
      <c r="AB511" s="1" t="s">
        <v>160</v>
      </c>
      <c r="AC511" s="1" t="s">
        <v>160</v>
      </c>
      <c r="AD511" s="1" t="s">
        <v>160</v>
      </c>
      <c r="AE511" s="1" t="s">
        <v>160</v>
      </c>
      <c r="AF511" s="1" t="s">
        <v>160</v>
      </c>
      <c r="AG511" s="1" t="s">
        <v>160</v>
      </c>
      <c r="AI511" s="1" t="s">
        <v>160</v>
      </c>
      <c r="AJ511" s="1" t="s">
        <v>192</v>
      </c>
      <c r="AK511" s="1" t="s">
        <v>163</v>
      </c>
      <c r="AL511" s="1" t="s">
        <v>163</v>
      </c>
      <c r="AM511" s="1" t="s">
        <v>198</v>
      </c>
      <c r="AN511" s="1" t="s">
        <v>163</v>
      </c>
      <c r="AO511" s="1" t="s">
        <v>179</v>
      </c>
      <c r="AP511" s="1" t="s">
        <v>239</v>
      </c>
      <c r="AR511" s="1" t="s">
        <v>160</v>
      </c>
      <c r="AS511" s="1" t="s">
        <v>160</v>
      </c>
      <c r="AT511" s="1" t="s">
        <v>2217</v>
      </c>
      <c r="AU511" s="1" t="s">
        <v>159</v>
      </c>
      <c r="AV511" s="1" t="s">
        <v>160</v>
      </c>
      <c r="AW511" s="1" t="s">
        <v>160</v>
      </c>
      <c r="AX511" s="1" t="s">
        <v>159</v>
      </c>
      <c r="AY511" s="1" t="s">
        <v>159</v>
      </c>
      <c r="AZ511" s="1" t="s">
        <v>159</v>
      </c>
      <c r="BA511" s="1" t="s">
        <v>159</v>
      </c>
      <c r="BB511" s="1" t="s">
        <v>222</v>
      </c>
      <c r="BC511" s="1" t="s">
        <v>160</v>
      </c>
      <c r="BD511" s="1" t="s">
        <v>2218</v>
      </c>
      <c r="BE511" s="1" t="s">
        <v>2219</v>
      </c>
      <c r="BF511" s="1" t="s">
        <v>160</v>
      </c>
    </row>
    <row r="512" spans="1:58" ht="13" x14ac:dyDescent="0.15">
      <c r="A512" s="2">
        <v>44176.144444444442</v>
      </c>
      <c r="B512" s="2">
        <v>44176.161111111112</v>
      </c>
      <c r="C512" s="1" t="s">
        <v>39</v>
      </c>
      <c r="D512" s="1" t="s">
        <v>2220</v>
      </c>
      <c r="E512" s="1">
        <v>100</v>
      </c>
      <c r="F512" s="1">
        <v>1461</v>
      </c>
      <c r="G512" s="1" t="b">
        <v>1</v>
      </c>
      <c r="H512" s="2">
        <v>44176.161111111112</v>
      </c>
      <c r="I512" s="1" t="s">
        <v>2221</v>
      </c>
      <c r="N512" s="1">
        <v>34.972198489999997</v>
      </c>
      <c r="O512" s="1">
        <v>-89.990898130000005</v>
      </c>
      <c r="P512" s="1" t="s">
        <v>153</v>
      </c>
      <c r="Q512" s="1" t="s">
        <v>154</v>
      </c>
      <c r="R512" s="1" t="s">
        <v>174</v>
      </c>
      <c r="S512" s="1" t="s">
        <v>274</v>
      </c>
      <c r="T512" s="1" t="s">
        <v>263</v>
      </c>
      <c r="U512" s="1" t="s">
        <v>2222</v>
      </c>
      <c r="V512" s="1" t="s">
        <v>160</v>
      </c>
      <c r="W512" s="1" t="s">
        <v>159</v>
      </c>
      <c r="X512" s="1" t="s">
        <v>159</v>
      </c>
      <c r="Y512" s="1" t="s">
        <v>160</v>
      </c>
      <c r="Z512" s="1" t="s">
        <v>160</v>
      </c>
      <c r="AA512" s="1" t="s">
        <v>160</v>
      </c>
      <c r="AB512" s="1" t="s">
        <v>159</v>
      </c>
      <c r="AC512" s="1" t="s">
        <v>159</v>
      </c>
      <c r="AD512" s="1" t="s">
        <v>160</v>
      </c>
      <c r="AE512" s="1" t="s">
        <v>159</v>
      </c>
      <c r="AF512" s="1" t="s">
        <v>159</v>
      </c>
      <c r="AG512" s="1" t="s">
        <v>159</v>
      </c>
      <c r="AH512" s="1">
        <v>0</v>
      </c>
      <c r="AI512" s="1" t="s">
        <v>159</v>
      </c>
      <c r="AJ512" s="1" t="s">
        <v>192</v>
      </c>
      <c r="AK512" s="1" t="s">
        <v>164</v>
      </c>
      <c r="AL512" s="1" t="s">
        <v>192</v>
      </c>
      <c r="AM512" s="1" t="s">
        <v>163</v>
      </c>
      <c r="AN512" s="1" t="s">
        <v>163</v>
      </c>
      <c r="AO512" s="1" t="s">
        <v>179</v>
      </c>
      <c r="AP512" s="1" t="s">
        <v>179</v>
      </c>
      <c r="AQ512" s="1">
        <v>2002</v>
      </c>
      <c r="AR512" s="1" t="s">
        <v>160</v>
      </c>
      <c r="AS512" s="1" t="s">
        <v>159</v>
      </c>
      <c r="AT512" s="1" t="s">
        <v>180</v>
      </c>
      <c r="AU512" s="1" t="s">
        <v>159</v>
      </c>
      <c r="AV512" s="1" t="s">
        <v>159</v>
      </c>
      <c r="AW512" s="1" t="s">
        <v>159</v>
      </c>
      <c r="AX512" s="1" t="s">
        <v>159</v>
      </c>
      <c r="AY512" s="1" t="s">
        <v>159</v>
      </c>
      <c r="AZ512" s="1" t="s">
        <v>159</v>
      </c>
      <c r="BA512" s="1" t="s">
        <v>159</v>
      </c>
      <c r="BB512" s="1" t="s">
        <v>167</v>
      </c>
      <c r="BC512" s="1" t="s">
        <v>159</v>
      </c>
      <c r="BE512" s="1" t="s">
        <v>2223</v>
      </c>
    </row>
    <row r="513" spans="1:59" ht="13" x14ac:dyDescent="0.15">
      <c r="A513" s="2">
        <v>44176.788888888892</v>
      </c>
      <c r="B513" s="2">
        <v>44176.790972222225</v>
      </c>
      <c r="C513" s="1" t="s">
        <v>39</v>
      </c>
      <c r="D513" s="1" t="s">
        <v>2224</v>
      </c>
      <c r="E513" s="1">
        <v>100</v>
      </c>
      <c r="F513" s="1">
        <v>209</v>
      </c>
      <c r="G513" s="1" t="b">
        <v>1</v>
      </c>
      <c r="H513" s="2">
        <v>44176.790972222225</v>
      </c>
      <c r="I513" s="1" t="s">
        <v>2225</v>
      </c>
      <c r="N513" s="1">
        <v>41.63999939</v>
      </c>
      <c r="O513" s="1">
        <v>-88.071701050000001</v>
      </c>
      <c r="P513" s="1" t="s">
        <v>153</v>
      </c>
      <c r="Q513" s="1" t="s">
        <v>154</v>
      </c>
      <c r="R513" s="1" t="s">
        <v>174</v>
      </c>
      <c r="S513" s="1" t="s">
        <v>208</v>
      </c>
      <c r="T513" s="1" t="s">
        <v>237</v>
      </c>
      <c r="U513" s="1" t="s">
        <v>935</v>
      </c>
      <c r="V513" s="1" t="s">
        <v>160</v>
      </c>
      <c r="W513" s="1" t="s">
        <v>160</v>
      </c>
      <c r="X513" s="1" t="s">
        <v>160</v>
      </c>
      <c r="Y513" s="1" t="s">
        <v>160</v>
      </c>
      <c r="Z513" s="1" t="s">
        <v>160</v>
      </c>
      <c r="AA513" s="1" t="s">
        <v>160</v>
      </c>
      <c r="AB513" s="1" t="s">
        <v>160</v>
      </c>
      <c r="AC513" s="1" t="s">
        <v>160</v>
      </c>
      <c r="AD513" s="1" t="s">
        <v>160</v>
      </c>
      <c r="AE513" s="1" t="s">
        <v>160</v>
      </c>
      <c r="AF513" s="1" t="s">
        <v>160</v>
      </c>
      <c r="AG513" s="1" t="s">
        <v>160</v>
      </c>
      <c r="AH513" s="1">
        <v>4</v>
      </c>
      <c r="AI513" s="1" t="s">
        <v>160</v>
      </c>
      <c r="AJ513" s="1" t="s">
        <v>164</v>
      </c>
      <c r="AK513" s="1" t="s">
        <v>164</v>
      </c>
      <c r="AL513" s="1" t="s">
        <v>192</v>
      </c>
      <c r="AM513" s="1" t="s">
        <v>164</v>
      </c>
      <c r="AN513" s="1" t="s">
        <v>164</v>
      </c>
      <c r="AO513" s="1" t="s">
        <v>165</v>
      </c>
      <c r="AP513" s="1" t="s">
        <v>165</v>
      </c>
      <c r="AQ513" s="1">
        <v>1997</v>
      </c>
      <c r="AR513" s="1" t="s">
        <v>159</v>
      </c>
      <c r="AS513" s="1" t="s">
        <v>159</v>
      </c>
      <c r="AT513" s="1" t="s">
        <v>841</v>
      </c>
      <c r="AU513" s="1" t="s">
        <v>159</v>
      </c>
      <c r="AV513" s="1" t="s">
        <v>159</v>
      </c>
      <c r="AW513" s="1" t="s">
        <v>159</v>
      </c>
      <c r="AX513" s="1" t="s">
        <v>159</v>
      </c>
      <c r="AY513" s="1" t="s">
        <v>159</v>
      </c>
      <c r="AZ513" s="1" t="s">
        <v>159</v>
      </c>
      <c r="BA513" s="1" t="s">
        <v>159</v>
      </c>
      <c r="BB513" s="1" t="s">
        <v>181</v>
      </c>
      <c r="BC513" s="1" t="s">
        <v>159</v>
      </c>
      <c r="BE513" s="1" t="s">
        <v>2226</v>
      </c>
      <c r="BF513" s="1" t="s">
        <v>160</v>
      </c>
      <c r="BG513" s="1" t="s">
        <v>2226</v>
      </c>
    </row>
    <row r="514" spans="1:59" ht="13" x14ac:dyDescent="0.15">
      <c r="A514" s="2">
        <v>44179.275694444441</v>
      </c>
      <c r="B514" s="2">
        <v>44179.279166666667</v>
      </c>
      <c r="C514" s="1" t="s">
        <v>39</v>
      </c>
      <c r="D514" s="1" t="s">
        <v>2227</v>
      </c>
      <c r="E514" s="1">
        <v>100</v>
      </c>
      <c r="F514" s="1">
        <v>335</v>
      </c>
      <c r="G514" s="1" t="b">
        <v>1</v>
      </c>
      <c r="H514" s="2">
        <v>44179.279166666667</v>
      </c>
      <c r="I514" s="1" t="s">
        <v>2228</v>
      </c>
      <c r="N514" s="1">
        <v>41.804000850000001</v>
      </c>
      <c r="O514" s="1">
        <v>-87.707000730000004</v>
      </c>
      <c r="P514" s="1" t="s">
        <v>153</v>
      </c>
      <c r="Q514" s="1" t="s">
        <v>154</v>
      </c>
      <c r="R514" s="1" t="s">
        <v>174</v>
      </c>
      <c r="S514" s="1" t="s">
        <v>208</v>
      </c>
      <c r="T514" s="1" t="s">
        <v>237</v>
      </c>
      <c r="U514" s="1" t="s">
        <v>935</v>
      </c>
      <c r="V514" s="1" t="s">
        <v>160</v>
      </c>
      <c r="W514" s="1" t="s">
        <v>160</v>
      </c>
      <c r="X514" s="1" t="s">
        <v>160</v>
      </c>
      <c r="Y514" s="1" t="s">
        <v>160</v>
      </c>
      <c r="Z514" s="1" t="s">
        <v>160</v>
      </c>
      <c r="AA514" s="1" t="s">
        <v>160</v>
      </c>
      <c r="AB514" s="1" t="s">
        <v>160</v>
      </c>
      <c r="AC514" s="1" t="s">
        <v>160</v>
      </c>
      <c r="AD514" s="1" t="s">
        <v>160</v>
      </c>
      <c r="AE514" s="1" t="s">
        <v>160</v>
      </c>
      <c r="AF514" s="1" t="s">
        <v>160</v>
      </c>
      <c r="AG514" s="1" t="s">
        <v>160</v>
      </c>
      <c r="AH514" s="1">
        <v>4</v>
      </c>
      <c r="AI514" s="1" t="s">
        <v>160</v>
      </c>
      <c r="AJ514" s="1" t="s">
        <v>164</v>
      </c>
      <c r="AK514" s="1" t="s">
        <v>164</v>
      </c>
      <c r="AL514" s="1" t="s">
        <v>163</v>
      </c>
      <c r="AM514" s="1" t="s">
        <v>164</v>
      </c>
      <c r="AN514" s="1" t="s">
        <v>198</v>
      </c>
      <c r="AO514" s="1" t="s">
        <v>179</v>
      </c>
      <c r="AP514" s="1" t="s">
        <v>179</v>
      </c>
      <c r="AQ514" s="1">
        <v>2000</v>
      </c>
      <c r="AR514" s="1" t="s">
        <v>160</v>
      </c>
      <c r="AS514" s="1" t="s">
        <v>159</v>
      </c>
      <c r="AT514" s="1" t="s">
        <v>841</v>
      </c>
      <c r="AU514" s="1" t="s">
        <v>159</v>
      </c>
      <c r="AV514" s="1" t="s">
        <v>159</v>
      </c>
      <c r="AW514" s="1" t="s">
        <v>159</v>
      </c>
      <c r="AX514" s="1" t="s">
        <v>159</v>
      </c>
      <c r="AY514" s="1" t="s">
        <v>159</v>
      </c>
      <c r="AZ514" s="1" t="s">
        <v>159</v>
      </c>
      <c r="BA514" s="1" t="s">
        <v>159</v>
      </c>
      <c r="BB514" s="1" t="s">
        <v>181</v>
      </c>
      <c r="BC514" s="1" t="s">
        <v>159</v>
      </c>
      <c r="BE514" s="1" t="s">
        <v>2229</v>
      </c>
      <c r="BF514" s="1" t="s">
        <v>160</v>
      </c>
      <c r="BG514" s="1" t="s">
        <v>2229</v>
      </c>
    </row>
    <row r="515" spans="1:59" ht="13" x14ac:dyDescent="0.15">
      <c r="A515" s="2">
        <v>44175.438888888886</v>
      </c>
      <c r="B515" s="2">
        <v>44175.438888888886</v>
      </c>
      <c r="C515" s="1" t="s">
        <v>39</v>
      </c>
      <c r="D515" s="1" t="s">
        <v>234</v>
      </c>
      <c r="E515" s="1">
        <v>4</v>
      </c>
      <c r="F515" s="1">
        <v>21</v>
      </c>
      <c r="G515" s="1" t="b">
        <v>0</v>
      </c>
      <c r="H515" s="2">
        <v>44182.438888888886</v>
      </c>
      <c r="I515" s="1" t="s">
        <v>2230</v>
      </c>
      <c r="P515" s="1" t="s">
        <v>305</v>
      </c>
      <c r="Q515" s="1" t="s">
        <v>154</v>
      </c>
    </row>
    <row r="516" spans="1:59" ht="13" x14ac:dyDescent="0.15">
      <c r="A516" s="2">
        <v>44175.477777777778</v>
      </c>
      <c r="B516" s="2">
        <v>44175.479166666664</v>
      </c>
      <c r="C516" s="1" t="s">
        <v>39</v>
      </c>
      <c r="D516" s="1" t="s">
        <v>234</v>
      </c>
      <c r="E516" s="1">
        <v>96</v>
      </c>
      <c r="F516" s="1">
        <v>107</v>
      </c>
      <c r="G516" s="1" t="b">
        <v>0</v>
      </c>
      <c r="H516" s="2">
        <v>44182.479166666664</v>
      </c>
      <c r="I516" s="1" t="s">
        <v>2231</v>
      </c>
      <c r="P516" s="1" t="s">
        <v>153</v>
      </c>
      <c r="Q516" s="1" t="s">
        <v>154</v>
      </c>
      <c r="R516" s="1" t="s">
        <v>174</v>
      </c>
      <c r="S516" s="1" t="s">
        <v>175</v>
      </c>
      <c r="T516" s="1" t="s">
        <v>176</v>
      </c>
      <c r="U516" s="1" t="s">
        <v>2232</v>
      </c>
      <c r="V516" s="1" t="s">
        <v>160</v>
      </c>
      <c r="W516" s="1" t="s">
        <v>160</v>
      </c>
      <c r="X516" s="1" t="s">
        <v>160</v>
      </c>
      <c r="Y516" s="1" t="s">
        <v>160</v>
      </c>
      <c r="Z516" s="1" t="s">
        <v>160</v>
      </c>
      <c r="AA516" s="1" t="s">
        <v>160</v>
      </c>
      <c r="AB516" s="1" t="s">
        <v>160</v>
      </c>
      <c r="AC516" s="1" t="s">
        <v>160</v>
      </c>
      <c r="AD516" s="1" t="s">
        <v>160</v>
      </c>
      <c r="AE516" s="1" t="s">
        <v>160</v>
      </c>
      <c r="AF516" s="1" t="s">
        <v>160</v>
      </c>
      <c r="AG516" s="1" t="s">
        <v>160</v>
      </c>
      <c r="AI516" s="1" t="s">
        <v>160</v>
      </c>
      <c r="AJ516" s="1" t="s">
        <v>192</v>
      </c>
      <c r="AK516" s="1" t="s">
        <v>198</v>
      </c>
      <c r="AL516" s="1" t="s">
        <v>198</v>
      </c>
      <c r="AM516" s="1" t="s">
        <v>192</v>
      </c>
      <c r="AN516" s="1" t="s">
        <v>164</v>
      </c>
      <c r="AO516" s="1" t="s">
        <v>179</v>
      </c>
      <c r="AP516" s="1" t="s">
        <v>165</v>
      </c>
      <c r="AR516" s="1" t="s">
        <v>160</v>
      </c>
      <c r="AS516" s="1" t="s">
        <v>160</v>
      </c>
      <c r="AT516" s="1" t="s">
        <v>2233</v>
      </c>
      <c r="AU516" s="1" t="s">
        <v>159</v>
      </c>
      <c r="AV516" s="1" t="s">
        <v>160</v>
      </c>
      <c r="AW516" s="1" t="s">
        <v>159</v>
      </c>
      <c r="AX516" s="1" t="s">
        <v>159</v>
      </c>
      <c r="AY516" s="1" t="s">
        <v>159</v>
      </c>
      <c r="AZ516" s="1" t="s">
        <v>160</v>
      </c>
      <c r="BA516" s="1" t="s">
        <v>159</v>
      </c>
      <c r="BB516" s="1" t="s">
        <v>167</v>
      </c>
      <c r="BC516" s="1" t="s">
        <v>160</v>
      </c>
      <c r="BD516" s="1" t="s">
        <v>2234</v>
      </c>
      <c r="BE516" s="1" t="s">
        <v>2235</v>
      </c>
      <c r="BF516" s="1" t="s">
        <v>160</v>
      </c>
    </row>
    <row r="517" spans="1:59" ht="13" x14ac:dyDescent="0.15">
      <c r="A517" s="2">
        <v>44175.474999999999</v>
      </c>
      <c r="B517" s="2">
        <v>44175.487500000003</v>
      </c>
      <c r="C517" s="1" t="s">
        <v>39</v>
      </c>
      <c r="D517" s="1" t="s">
        <v>2236</v>
      </c>
      <c r="E517" s="1">
        <v>54</v>
      </c>
      <c r="F517" s="1">
        <v>1103</v>
      </c>
      <c r="G517" s="1" t="b">
        <v>0</v>
      </c>
      <c r="H517" s="2">
        <v>44182.488194444442</v>
      </c>
      <c r="I517" s="1" t="s">
        <v>2237</v>
      </c>
      <c r="P517" s="1" t="s">
        <v>305</v>
      </c>
      <c r="Q517" s="1" t="s">
        <v>154</v>
      </c>
    </row>
    <row r="518" spans="1:59" ht="13" x14ac:dyDescent="0.15">
      <c r="A518" s="2">
        <v>44175.502083333333</v>
      </c>
      <c r="B518" s="2">
        <v>44175.50277777778</v>
      </c>
      <c r="C518" s="1" t="s">
        <v>39</v>
      </c>
      <c r="D518" s="1" t="s">
        <v>2238</v>
      </c>
      <c r="E518" s="1">
        <v>4</v>
      </c>
      <c r="F518" s="1">
        <v>77</v>
      </c>
      <c r="G518" s="1" t="b">
        <v>0</v>
      </c>
      <c r="H518" s="2">
        <v>44182.50277777778</v>
      </c>
      <c r="I518" s="1" t="s">
        <v>2239</v>
      </c>
      <c r="P518" s="1" t="s">
        <v>305</v>
      </c>
      <c r="Q518" s="1" t="s">
        <v>154</v>
      </c>
    </row>
    <row r="519" spans="1:59" ht="13" x14ac:dyDescent="0.15">
      <c r="A519" s="2">
        <v>44175.643055555556</v>
      </c>
      <c r="B519" s="2">
        <v>44175.643055555556</v>
      </c>
      <c r="C519" s="1" t="s">
        <v>39</v>
      </c>
      <c r="D519" s="1" t="s">
        <v>2240</v>
      </c>
      <c r="E519" s="1">
        <v>4</v>
      </c>
      <c r="F519" s="1">
        <v>13</v>
      </c>
      <c r="G519" s="1" t="b">
        <v>0</v>
      </c>
      <c r="H519" s="2">
        <v>44182.643055555556</v>
      </c>
      <c r="I519" s="1" t="s">
        <v>2241</v>
      </c>
      <c r="P519" s="1" t="s">
        <v>305</v>
      </c>
      <c r="Q519" s="1" t="s">
        <v>154</v>
      </c>
    </row>
    <row r="520" spans="1:59" ht="13" x14ac:dyDescent="0.15">
      <c r="A520" s="2">
        <v>44175.677777777775</v>
      </c>
      <c r="B520" s="2">
        <v>44175.679166666669</v>
      </c>
      <c r="C520" s="1" t="s">
        <v>39</v>
      </c>
      <c r="D520" s="1" t="s">
        <v>234</v>
      </c>
      <c r="E520" s="1">
        <v>96</v>
      </c>
      <c r="F520" s="1">
        <v>110</v>
      </c>
      <c r="G520" s="1" t="b">
        <v>0</v>
      </c>
      <c r="H520" s="2">
        <v>44182.679166666669</v>
      </c>
      <c r="I520" s="1" t="s">
        <v>2242</v>
      </c>
      <c r="P520" s="1" t="s">
        <v>153</v>
      </c>
      <c r="Q520" s="1" t="s">
        <v>154</v>
      </c>
      <c r="R520" s="1" t="s">
        <v>174</v>
      </c>
      <c r="S520" s="1" t="s">
        <v>175</v>
      </c>
      <c r="T520" s="1" t="s">
        <v>176</v>
      </c>
      <c r="U520" s="1" t="s">
        <v>2243</v>
      </c>
      <c r="V520" s="1" t="s">
        <v>160</v>
      </c>
      <c r="W520" s="1" t="s">
        <v>160</v>
      </c>
      <c r="X520" s="1" t="s">
        <v>160</v>
      </c>
      <c r="Y520" s="1" t="s">
        <v>160</v>
      </c>
      <c r="Z520" s="1" t="s">
        <v>160</v>
      </c>
      <c r="AA520" s="1" t="s">
        <v>160</v>
      </c>
      <c r="AB520" s="1" t="s">
        <v>160</v>
      </c>
      <c r="AC520" s="1" t="s">
        <v>160</v>
      </c>
      <c r="AD520" s="1" t="s">
        <v>160</v>
      </c>
      <c r="AE520" s="1" t="s">
        <v>160</v>
      </c>
      <c r="AF520" s="1" t="s">
        <v>160</v>
      </c>
      <c r="AG520" s="1" t="s">
        <v>160</v>
      </c>
      <c r="AI520" s="1" t="s">
        <v>160</v>
      </c>
      <c r="AJ520" s="1" t="s">
        <v>164</v>
      </c>
      <c r="AK520" s="1" t="s">
        <v>164</v>
      </c>
      <c r="AL520" s="1" t="s">
        <v>192</v>
      </c>
      <c r="AM520" s="1" t="s">
        <v>198</v>
      </c>
      <c r="AN520" s="1" t="s">
        <v>163</v>
      </c>
      <c r="AO520" s="1" t="s">
        <v>179</v>
      </c>
      <c r="AP520" s="1" t="s">
        <v>165</v>
      </c>
      <c r="AR520" s="1" t="s">
        <v>160</v>
      </c>
      <c r="AS520" s="1" t="s">
        <v>160</v>
      </c>
      <c r="AT520" s="1" t="s">
        <v>1162</v>
      </c>
      <c r="AU520" s="1" t="s">
        <v>160</v>
      </c>
      <c r="AV520" s="1" t="s">
        <v>160</v>
      </c>
      <c r="AW520" s="1" t="s">
        <v>160</v>
      </c>
      <c r="AX520" s="1" t="s">
        <v>159</v>
      </c>
      <c r="AY520" s="1" t="s">
        <v>160</v>
      </c>
      <c r="AZ520" s="1" t="s">
        <v>159</v>
      </c>
      <c r="BA520" s="1" t="s">
        <v>159</v>
      </c>
      <c r="BB520" s="1" t="s">
        <v>167</v>
      </c>
      <c r="BC520" s="1" t="s">
        <v>160</v>
      </c>
      <c r="BD520" s="1" t="s">
        <v>2244</v>
      </c>
      <c r="BE520" s="1" t="s">
        <v>2245</v>
      </c>
      <c r="BF520" s="1" t="s">
        <v>160</v>
      </c>
    </row>
    <row r="521" spans="1:59" ht="13" x14ac:dyDescent="0.15">
      <c r="A521" s="2">
        <v>44175.679166666669</v>
      </c>
      <c r="B521" s="2">
        <v>44175.679861111108</v>
      </c>
      <c r="C521" s="1" t="s">
        <v>39</v>
      </c>
      <c r="D521" s="1" t="s">
        <v>234</v>
      </c>
      <c r="E521" s="1">
        <v>46</v>
      </c>
      <c r="F521" s="1">
        <v>71</v>
      </c>
      <c r="G521" s="1" t="b">
        <v>0</v>
      </c>
      <c r="H521" s="2">
        <v>44182.680555555555</v>
      </c>
      <c r="I521" s="1" t="s">
        <v>2246</v>
      </c>
      <c r="P521" s="1" t="s">
        <v>153</v>
      </c>
      <c r="Q521" s="1" t="s">
        <v>154</v>
      </c>
      <c r="R521" s="1" t="s">
        <v>236</v>
      </c>
      <c r="S521" s="1" t="s">
        <v>208</v>
      </c>
      <c r="T521" s="1" t="s">
        <v>237</v>
      </c>
      <c r="X521" s="1" t="s">
        <v>159</v>
      </c>
      <c r="Z521" s="1" t="s">
        <v>159</v>
      </c>
      <c r="AC521" s="1" t="s">
        <v>159</v>
      </c>
      <c r="AF521" s="1" t="s">
        <v>160</v>
      </c>
      <c r="AI521" s="1" t="s">
        <v>159</v>
      </c>
    </row>
    <row r="522" spans="1:59" ht="13" x14ac:dyDescent="0.15">
      <c r="A522" s="2">
        <v>44175.738888888889</v>
      </c>
      <c r="B522" s="2">
        <v>44175.742361111108</v>
      </c>
      <c r="C522" s="1" t="s">
        <v>39</v>
      </c>
      <c r="D522" s="1" t="s">
        <v>234</v>
      </c>
      <c r="E522" s="1">
        <v>96</v>
      </c>
      <c r="F522" s="1">
        <v>266</v>
      </c>
      <c r="G522" s="1" t="b">
        <v>0</v>
      </c>
      <c r="H522" s="2">
        <v>44182.742361111108</v>
      </c>
      <c r="I522" s="1" t="s">
        <v>2247</v>
      </c>
      <c r="P522" s="1" t="s">
        <v>153</v>
      </c>
      <c r="Q522" s="1" t="s">
        <v>154</v>
      </c>
      <c r="R522" s="1" t="s">
        <v>174</v>
      </c>
      <c r="S522" s="1" t="s">
        <v>175</v>
      </c>
      <c r="T522" s="1" t="s">
        <v>157</v>
      </c>
      <c r="U522" s="1" t="s">
        <v>1153</v>
      </c>
      <c r="V522" s="1" t="s">
        <v>160</v>
      </c>
      <c r="W522" s="1" t="s">
        <v>160</v>
      </c>
      <c r="X522" s="1" t="s">
        <v>160</v>
      </c>
      <c r="Y522" s="1" t="s">
        <v>160</v>
      </c>
      <c r="Z522" s="1" t="s">
        <v>160</v>
      </c>
      <c r="AA522" s="1" t="s">
        <v>160</v>
      </c>
      <c r="AB522" s="1" t="s">
        <v>160</v>
      </c>
      <c r="AC522" s="1" t="s">
        <v>160</v>
      </c>
      <c r="AD522" s="1" t="s">
        <v>160</v>
      </c>
      <c r="AE522" s="1" t="s">
        <v>160</v>
      </c>
      <c r="AF522" s="1" t="s">
        <v>160</v>
      </c>
      <c r="AG522" s="1" t="s">
        <v>160</v>
      </c>
      <c r="AI522" s="1" t="s">
        <v>160</v>
      </c>
      <c r="AJ522" s="1" t="s">
        <v>163</v>
      </c>
      <c r="AK522" s="1" t="s">
        <v>163</v>
      </c>
      <c r="AL522" s="1" t="s">
        <v>163</v>
      </c>
      <c r="AM522" s="1" t="s">
        <v>163</v>
      </c>
      <c r="AN522" s="1" t="s">
        <v>163</v>
      </c>
      <c r="AO522" s="1" t="s">
        <v>179</v>
      </c>
      <c r="AP522" s="1" t="s">
        <v>179</v>
      </c>
      <c r="AR522" s="1" t="s">
        <v>160</v>
      </c>
      <c r="AS522" s="1" t="s">
        <v>160</v>
      </c>
      <c r="AT522" s="1" t="s">
        <v>2248</v>
      </c>
      <c r="AU522" s="1" t="s">
        <v>159</v>
      </c>
      <c r="AV522" s="1" t="s">
        <v>160</v>
      </c>
      <c r="AW522" s="1" t="s">
        <v>160</v>
      </c>
      <c r="AX522" s="1" t="s">
        <v>159</v>
      </c>
      <c r="AY522" s="1" t="s">
        <v>160</v>
      </c>
      <c r="AZ522" s="1" t="s">
        <v>159</v>
      </c>
      <c r="BA522" s="1" t="s">
        <v>159</v>
      </c>
      <c r="BB522" s="1" t="s">
        <v>241</v>
      </c>
      <c r="BC522" s="1" t="s">
        <v>160</v>
      </c>
      <c r="BD522" s="1" t="s">
        <v>2249</v>
      </c>
      <c r="BE522" s="1" t="s">
        <v>2250</v>
      </c>
      <c r="BF522" s="1" t="s">
        <v>160</v>
      </c>
    </row>
    <row r="523" spans="1:59" ht="13" x14ac:dyDescent="0.15">
      <c r="A523" s="2">
        <v>44175.963888888888</v>
      </c>
      <c r="B523" s="2">
        <v>44175.964583333334</v>
      </c>
      <c r="C523" s="1" t="s">
        <v>39</v>
      </c>
      <c r="D523" s="1" t="s">
        <v>2251</v>
      </c>
      <c r="E523" s="1">
        <v>4</v>
      </c>
      <c r="F523" s="1">
        <v>18</v>
      </c>
      <c r="G523" s="1" t="b">
        <v>0</v>
      </c>
      <c r="H523" s="2">
        <v>44182.964583333334</v>
      </c>
      <c r="I523" s="1" t="s">
        <v>2252</v>
      </c>
      <c r="P523" s="1" t="s">
        <v>153</v>
      </c>
      <c r="Q523" s="1" t="s">
        <v>154</v>
      </c>
    </row>
    <row r="524" spans="1:59" ht="13" x14ac:dyDescent="0.15">
      <c r="A524" s="2">
        <v>44176.1</v>
      </c>
      <c r="B524" s="2">
        <v>44176.100694444445</v>
      </c>
      <c r="C524" s="1" t="s">
        <v>39</v>
      </c>
      <c r="D524" s="1" t="s">
        <v>234</v>
      </c>
      <c r="E524" s="1">
        <v>46</v>
      </c>
      <c r="F524" s="1">
        <v>105</v>
      </c>
      <c r="G524" s="1" t="b">
        <v>0</v>
      </c>
      <c r="H524" s="2">
        <v>44183.101388888892</v>
      </c>
      <c r="I524" s="1" t="s">
        <v>2253</v>
      </c>
      <c r="P524" s="1" t="s">
        <v>153</v>
      </c>
      <c r="Q524" s="1" t="s">
        <v>154</v>
      </c>
      <c r="S524" s="1" t="s">
        <v>156</v>
      </c>
      <c r="T524" s="1" t="s">
        <v>2254</v>
      </c>
      <c r="V524" s="1" t="s">
        <v>160</v>
      </c>
      <c r="W524" s="1" t="s">
        <v>160</v>
      </c>
      <c r="Y524" s="1" t="s">
        <v>160</v>
      </c>
      <c r="Z524" s="1" t="s">
        <v>160</v>
      </c>
      <c r="AA524" s="1" t="s">
        <v>160</v>
      </c>
      <c r="AC524" s="1" t="s">
        <v>160</v>
      </c>
      <c r="AD524" s="1" t="s">
        <v>159</v>
      </c>
      <c r="AE524" s="1" t="s">
        <v>159</v>
      </c>
    </row>
    <row r="525" spans="1:59" ht="13" x14ac:dyDescent="0.15">
      <c r="A525" s="2">
        <v>44176.956944444442</v>
      </c>
      <c r="B525" s="2">
        <v>44176.988194444442</v>
      </c>
      <c r="C525" s="1" t="s">
        <v>39</v>
      </c>
      <c r="D525" s="1" t="s">
        <v>2255</v>
      </c>
      <c r="E525" s="1">
        <v>54</v>
      </c>
      <c r="F525" s="1">
        <v>2727</v>
      </c>
      <c r="G525" s="1" t="b">
        <v>0</v>
      </c>
      <c r="H525" s="2">
        <v>44183.988194444442</v>
      </c>
      <c r="I525" s="1" t="s">
        <v>2256</v>
      </c>
      <c r="P525" s="1" t="s">
        <v>153</v>
      </c>
      <c r="Q525" s="1" t="s">
        <v>154</v>
      </c>
      <c r="R525" s="1" t="s">
        <v>174</v>
      </c>
      <c r="S525" s="1" t="s">
        <v>274</v>
      </c>
      <c r="T525" s="1" t="s">
        <v>237</v>
      </c>
      <c r="U525" s="1" t="s">
        <v>496</v>
      </c>
      <c r="V525" s="1" t="s">
        <v>160</v>
      </c>
      <c r="W525" s="1" t="s">
        <v>159</v>
      </c>
      <c r="X525" s="1" t="s">
        <v>159</v>
      </c>
      <c r="Y525" s="1" t="s">
        <v>159</v>
      </c>
      <c r="Z525" s="1" t="s">
        <v>160</v>
      </c>
      <c r="AA525" s="1" t="s">
        <v>159</v>
      </c>
      <c r="AB525" s="1" t="s">
        <v>160</v>
      </c>
      <c r="AC525" s="1" t="s">
        <v>160</v>
      </c>
      <c r="AD525" s="1" t="s">
        <v>159</v>
      </c>
      <c r="AE525" s="1" t="s">
        <v>159</v>
      </c>
      <c r="AF525" s="1" t="s">
        <v>159</v>
      </c>
      <c r="AG525" s="1" t="s">
        <v>159</v>
      </c>
      <c r="AH525" s="1">
        <v>1</v>
      </c>
      <c r="AI525" s="1" t="s">
        <v>159</v>
      </c>
      <c r="AJ525" s="1" t="s">
        <v>164</v>
      </c>
      <c r="AK525" s="1" t="s">
        <v>163</v>
      </c>
      <c r="AL525" s="1" t="s">
        <v>192</v>
      </c>
      <c r="AM525" s="1" t="s">
        <v>192</v>
      </c>
      <c r="AN525" s="1" t="s">
        <v>164</v>
      </c>
    </row>
    <row r="526" spans="1:59" ht="13" x14ac:dyDescent="0.15">
      <c r="A526" s="2">
        <v>44184.061805555553</v>
      </c>
      <c r="B526" s="2">
        <v>44184.063888888886</v>
      </c>
      <c r="C526" s="1" t="s">
        <v>39</v>
      </c>
      <c r="D526" s="1" t="s">
        <v>2257</v>
      </c>
      <c r="E526" s="1">
        <v>100</v>
      </c>
      <c r="F526" s="1">
        <v>172</v>
      </c>
      <c r="G526" s="1" t="b">
        <v>1</v>
      </c>
      <c r="H526" s="2">
        <v>44184.063888888886</v>
      </c>
      <c r="I526" s="1" t="s">
        <v>2258</v>
      </c>
      <c r="N526" s="1">
        <v>39.225906369999997</v>
      </c>
      <c r="O526" s="1">
        <v>-76.618202210000007</v>
      </c>
      <c r="P526" s="1" t="s">
        <v>153</v>
      </c>
      <c r="Q526" s="1" t="s">
        <v>154</v>
      </c>
      <c r="R526" s="1" t="s">
        <v>174</v>
      </c>
      <c r="S526" s="1" t="s">
        <v>208</v>
      </c>
      <c r="T526" s="1" t="s">
        <v>176</v>
      </c>
      <c r="U526" s="1" t="s">
        <v>418</v>
      </c>
      <c r="V526" s="1" t="s">
        <v>160</v>
      </c>
      <c r="W526" s="1" t="s">
        <v>160</v>
      </c>
      <c r="X526" s="1" t="s">
        <v>160</v>
      </c>
      <c r="Y526" s="1" t="s">
        <v>160</v>
      </c>
      <c r="Z526" s="1" t="s">
        <v>160</v>
      </c>
      <c r="AA526" s="1" t="s">
        <v>160</v>
      </c>
      <c r="AB526" s="1" t="s">
        <v>159</v>
      </c>
      <c r="AC526" s="1" t="s">
        <v>159</v>
      </c>
      <c r="AD526" s="1" t="s">
        <v>159</v>
      </c>
      <c r="AE526" s="1" t="s">
        <v>160</v>
      </c>
      <c r="AF526" s="1" t="s">
        <v>160</v>
      </c>
      <c r="AG526" s="1" t="s">
        <v>160</v>
      </c>
      <c r="AH526" s="1">
        <v>2</v>
      </c>
      <c r="AI526" s="1" t="s">
        <v>160</v>
      </c>
      <c r="AJ526" s="1" t="s">
        <v>163</v>
      </c>
      <c r="AK526" s="1" t="s">
        <v>192</v>
      </c>
      <c r="AL526" s="1" t="s">
        <v>163</v>
      </c>
      <c r="AM526" s="1" t="s">
        <v>163</v>
      </c>
      <c r="AN526" s="1" t="s">
        <v>162</v>
      </c>
      <c r="AO526" s="1" t="s">
        <v>165</v>
      </c>
      <c r="AP526" s="1" t="s">
        <v>165</v>
      </c>
      <c r="AQ526" s="1">
        <v>1985</v>
      </c>
      <c r="AR526" s="1" t="s">
        <v>160</v>
      </c>
      <c r="AS526" s="1" t="s">
        <v>160</v>
      </c>
      <c r="AT526" s="1" t="s">
        <v>180</v>
      </c>
      <c r="AU526" s="1" t="s">
        <v>159</v>
      </c>
      <c r="AV526" s="1" t="s">
        <v>160</v>
      </c>
      <c r="AW526" s="1" t="s">
        <v>160</v>
      </c>
      <c r="AX526" s="1" t="s">
        <v>160</v>
      </c>
      <c r="AY526" s="1" t="s">
        <v>159</v>
      </c>
      <c r="AZ526" s="1" t="s">
        <v>160</v>
      </c>
      <c r="BA526" s="1" t="s">
        <v>160</v>
      </c>
      <c r="BB526" s="1" t="s">
        <v>241</v>
      </c>
      <c r="BC526" s="1" t="s">
        <v>160</v>
      </c>
      <c r="BE526" s="1" t="s">
        <v>2259</v>
      </c>
      <c r="BF526" s="1" t="s">
        <v>159</v>
      </c>
    </row>
    <row r="527" spans="1:59" ht="13" x14ac:dyDescent="0.15">
      <c r="A527" s="2">
        <v>44184.064583333333</v>
      </c>
      <c r="B527" s="2">
        <v>44184.065972222219</v>
      </c>
      <c r="C527" s="1" t="s">
        <v>39</v>
      </c>
      <c r="D527" s="1" t="s">
        <v>2260</v>
      </c>
      <c r="E527" s="1">
        <v>100</v>
      </c>
      <c r="F527" s="1">
        <v>110</v>
      </c>
      <c r="G527" s="1" t="b">
        <v>1</v>
      </c>
      <c r="H527" s="2">
        <v>44184.065972222219</v>
      </c>
      <c r="I527" s="1" t="s">
        <v>2261</v>
      </c>
      <c r="N527" s="1">
        <v>34.216598509999997</v>
      </c>
      <c r="O527" s="1">
        <v>-117.3908005</v>
      </c>
      <c r="P527" s="1" t="s">
        <v>153</v>
      </c>
      <c r="Q527" s="1" t="s">
        <v>154</v>
      </c>
      <c r="R527" s="1" t="s">
        <v>174</v>
      </c>
      <c r="S527" s="1" t="s">
        <v>175</v>
      </c>
      <c r="T527" s="1" t="s">
        <v>176</v>
      </c>
      <c r="U527" s="1" t="s">
        <v>1823</v>
      </c>
      <c r="V527" s="1" t="s">
        <v>160</v>
      </c>
      <c r="W527" s="1" t="s">
        <v>160</v>
      </c>
      <c r="X527" s="1" t="s">
        <v>160</v>
      </c>
      <c r="Y527" s="1" t="s">
        <v>160</v>
      </c>
      <c r="Z527" s="1" t="s">
        <v>160</v>
      </c>
      <c r="AA527" s="1" t="s">
        <v>160</v>
      </c>
      <c r="AB527" s="1" t="s">
        <v>159</v>
      </c>
      <c r="AC527" s="1" t="s">
        <v>160</v>
      </c>
      <c r="AD527" s="1" t="s">
        <v>160</v>
      </c>
      <c r="AE527" s="1" t="s">
        <v>159</v>
      </c>
      <c r="AF527" s="1" t="s">
        <v>160</v>
      </c>
      <c r="AG527" s="1" t="s">
        <v>160</v>
      </c>
      <c r="AH527" s="1">
        <v>3</v>
      </c>
      <c r="AI527" s="1" t="s">
        <v>160</v>
      </c>
      <c r="AJ527" s="1" t="s">
        <v>163</v>
      </c>
      <c r="AK527" s="1" t="s">
        <v>192</v>
      </c>
      <c r="AL527" s="1" t="s">
        <v>163</v>
      </c>
      <c r="AM527" s="1" t="s">
        <v>163</v>
      </c>
      <c r="AN527" s="1" t="s">
        <v>192</v>
      </c>
      <c r="AO527" s="1" t="s">
        <v>165</v>
      </c>
      <c r="AP527" s="1" t="s">
        <v>165</v>
      </c>
      <c r="AQ527" s="1">
        <v>1998</v>
      </c>
      <c r="AR527" s="1" t="s">
        <v>160</v>
      </c>
      <c r="AS527" s="1" t="s">
        <v>160</v>
      </c>
      <c r="AT527" s="1" t="s">
        <v>180</v>
      </c>
      <c r="AU527" s="1" t="s">
        <v>160</v>
      </c>
      <c r="AV527" s="1" t="s">
        <v>160</v>
      </c>
      <c r="AW527" s="1" t="s">
        <v>159</v>
      </c>
      <c r="AX527" s="1" t="s">
        <v>160</v>
      </c>
      <c r="AY527" s="1" t="s">
        <v>160</v>
      </c>
      <c r="AZ527" s="1" t="s">
        <v>160</v>
      </c>
      <c r="BA527" s="1" t="s">
        <v>160</v>
      </c>
      <c r="BB527" s="1" t="s">
        <v>241</v>
      </c>
      <c r="BC527" s="1" t="s">
        <v>160</v>
      </c>
      <c r="BE527" s="1" t="s">
        <v>2262</v>
      </c>
      <c r="BF527" s="1" t="s">
        <v>159</v>
      </c>
    </row>
    <row r="528" spans="1:59" ht="13" x14ac:dyDescent="0.15">
      <c r="A528" s="2">
        <v>44184.065972222219</v>
      </c>
      <c r="B528" s="2">
        <v>44184.067361111112</v>
      </c>
      <c r="C528" s="1" t="s">
        <v>39</v>
      </c>
      <c r="D528" s="1" t="s">
        <v>2263</v>
      </c>
      <c r="E528" s="1">
        <v>100</v>
      </c>
      <c r="F528" s="1">
        <v>110</v>
      </c>
      <c r="G528" s="1" t="b">
        <v>1</v>
      </c>
      <c r="H528" s="2">
        <v>44184.067361111112</v>
      </c>
      <c r="I528" s="1" t="s">
        <v>2264</v>
      </c>
      <c r="N528" s="1">
        <v>36.777893069999998</v>
      </c>
      <c r="O528" s="1">
        <v>-81.767601010000007</v>
      </c>
      <c r="P528" s="1" t="s">
        <v>153</v>
      </c>
      <c r="Q528" s="1" t="s">
        <v>154</v>
      </c>
      <c r="R528" s="1" t="s">
        <v>174</v>
      </c>
      <c r="S528" s="1" t="s">
        <v>175</v>
      </c>
      <c r="T528" s="1" t="s">
        <v>263</v>
      </c>
      <c r="U528" s="1" t="s">
        <v>1554</v>
      </c>
      <c r="V528" s="1" t="s">
        <v>160</v>
      </c>
      <c r="W528" s="1" t="s">
        <v>160</v>
      </c>
      <c r="X528" s="1" t="s">
        <v>160</v>
      </c>
      <c r="Y528" s="1" t="s">
        <v>160</v>
      </c>
      <c r="Z528" s="1" t="s">
        <v>160</v>
      </c>
      <c r="AA528" s="1" t="s">
        <v>160</v>
      </c>
      <c r="AB528" s="1" t="s">
        <v>159</v>
      </c>
      <c r="AC528" s="1" t="s">
        <v>159</v>
      </c>
      <c r="AD528" s="1" t="s">
        <v>159</v>
      </c>
      <c r="AE528" s="1" t="s">
        <v>160</v>
      </c>
      <c r="AF528" s="1" t="s">
        <v>160</v>
      </c>
      <c r="AG528" s="1" t="s">
        <v>160</v>
      </c>
      <c r="AH528" s="1">
        <v>2</v>
      </c>
      <c r="AI528" s="1" t="s">
        <v>160</v>
      </c>
      <c r="AJ528" s="1" t="s">
        <v>163</v>
      </c>
      <c r="AK528" s="1" t="s">
        <v>162</v>
      </c>
      <c r="AL528" s="1" t="s">
        <v>163</v>
      </c>
      <c r="AM528" s="1" t="s">
        <v>163</v>
      </c>
      <c r="AN528" s="1" t="s">
        <v>192</v>
      </c>
      <c r="AO528" s="1" t="s">
        <v>179</v>
      </c>
      <c r="AP528" s="1" t="s">
        <v>179</v>
      </c>
      <c r="AQ528" s="1">
        <v>1998</v>
      </c>
      <c r="AR528" s="1" t="s">
        <v>160</v>
      </c>
      <c r="AS528" s="1" t="s">
        <v>160</v>
      </c>
      <c r="AT528" s="1" t="s">
        <v>180</v>
      </c>
      <c r="AU528" s="1" t="s">
        <v>160</v>
      </c>
      <c r="AV528" s="1" t="s">
        <v>160</v>
      </c>
      <c r="AW528" s="1" t="s">
        <v>160</v>
      </c>
      <c r="AX528" s="1" t="s">
        <v>160</v>
      </c>
      <c r="AY528" s="1" t="s">
        <v>160</v>
      </c>
      <c r="AZ528" s="1" t="s">
        <v>160</v>
      </c>
      <c r="BA528" s="1" t="s">
        <v>160</v>
      </c>
      <c r="BB528" s="1" t="s">
        <v>241</v>
      </c>
      <c r="BC528" s="1" t="s">
        <v>160</v>
      </c>
      <c r="BE528" s="1" t="s">
        <v>2265</v>
      </c>
      <c r="BF528" s="1" t="s">
        <v>159</v>
      </c>
    </row>
    <row r="529" spans="1:59" ht="13" x14ac:dyDescent="0.15">
      <c r="A529" s="2">
        <v>44184.067361111112</v>
      </c>
      <c r="B529" s="2">
        <v>44184.068749999999</v>
      </c>
      <c r="C529" s="1" t="s">
        <v>39</v>
      </c>
      <c r="D529" s="1" t="s">
        <v>2266</v>
      </c>
      <c r="E529" s="1">
        <v>100</v>
      </c>
      <c r="F529" s="1">
        <v>93</v>
      </c>
      <c r="G529" s="1" t="b">
        <v>1</v>
      </c>
      <c r="H529" s="2">
        <v>44184.068749999999</v>
      </c>
      <c r="I529" s="1" t="s">
        <v>2267</v>
      </c>
      <c r="N529" s="1">
        <v>33.312393190000002</v>
      </c>
      <c r="O529" s="1">
        <v>-111.9195023</v>
      </c>
      <c r="P529" s="1" t="s">
        <v>153</v>
      </c>
      <c r="Q529" s="1" t="s">
        <v>154</v>
      </c>
      <c r="R529" s="1" t="s">
        <v>174</v>
      </c>
      <c r="S529" s="1" t="s">
        <v>208</v>
      </c>
      <c r="T529" s="1" t="s">
        <v>176</v>
      </c>
      <c r="U529" s="1" t="s">
        <v>721</v>
      </c>
      <c r="V529" s="1" t="s">
        <v>160</v>
      </c>
      <c r="W529" s="1" t="s">
        <v>160</v>
      </c>
      <c r="X529" s="1" t="s">
        <v>160</v>
      </c>
      <c r="Y529" s="1" t="s">
        <v>160</v>
      </c>
      <c r="Z529" s="1" t="s">
        <v>160</v>
      </c>
      <c r="AA529" s="1" t="s">
        <v>160</v>
      </c>
      <c r="AB529" s="1" t="s">
        <v>159</v>
      </c>
      <c r="AC529" s="1" t="s">
        <v>160</v>
      </c>
      <c r="AD529" s="1" t="s">
        <v>160</v>
      </c>
      <c r="AE529" s="1" t="s">
        <v>159</v>
      </c>
      <c r="AF529" s="1" t="s">
        <v>159</v>
      </c>
      <c r="AG529" s="1" t="s">
        <v>160</v>
      </c>
      <c r="AH529" s="1">
        <v>2</v>
      </c>
      <c r="AI529" s="1" t="s">
        <v>160</v>
      </c>
      <c r="AJ529" s="1" t="s">
        <v>192</v>
      </c>
      <c r="AK529" s="1" t="s">
        <v>163</v>
      </c>
      <c r="AL529" s="1" t="s">
        <v>163</v>
      </c>
      <c r="AM529" s="1" t="s">
        <v>162</v>
      </c>
      <c r="AN529" s="1" t="s">
        <v>163</v>
      </c>
      <c r="AO529" s="1" t="s">
        <v>165</v>
      </c>
      <c r="AP529" s="1" t="s">
        <v>165</v>
      </c>
      <c r="AQ529" s="1">
        <v>1985</v>
      </c>
      <c r="AR529" s="1" t="s">
        <v>160</v>
      </c>
      <c r="AS529" s="1" t="s">
        <v>160</v>
      </c>
      <c r="AT529" s="1" t="s">
        <v>180</v>
      </c>
      <c r="AU529" s="1" t="s">
        <v>160</v>
      </c>
      <c r="AV529" s="1" t="s">
        <v>160</v>
      </c>
      <c r="AW529" s="1" t="s">
        <v>160</v>
      </c>
      <c r="AX529" s="1" t="s">
        <v>160</v>
      </c>
      <c r="AY529" s="1" t="s">
        <v>160</v>
      </c>
      <c r="AZ529" s="1" t="s">
        <v>160</v>
      </c>
      <c r="BA529" s="1" t="s">
        <v>160</v>
      </c>
      <c r="BB529" s="1" t="s">
        <v>241</v>
      </c>
      <c r="BC529" s="1" t="s">
        <v>160</v>
      </c>
      <c r="BE529" s="1" t="s">
        <v>2268</v>
      </c>
      <c r="BF529" s="1" t="s">
        <v>159</v>
      </c>
    </row>
    <row r="530" spans="1:59" ht="13" x14ac:dyDescent="0.15">
      <c r="A530" s="2">
        <v>44184.069444444445</v>
      </c>
      <c r="B530" s="2">
        <v>44184.070833333331</v>
      </c>
      <c r="C530" s="1" t="s">
        <v>39</v>
      </c>
      <c r="D530" s="1" t="s">
        <v>2269</v>
      </c>
      <c r="E530" s="1">
        <v>100</v>
      </c>
      <c r="F530" s="1">
        <v>100</v>
      </c>
      <c r="G530" s="1" t="b">
        <v>1</v>
      </c>
      <c r="H530" s="2">
        <v>44184.070833333331</v>
      </c>
      <c r="I530" s="1" t="s">
        <v>2270</v>
      </c>
      <c r="N530" s="1">
        <v>35.99040222</v>
      </c>
      <c r="O530" s="1">
        <v>-77.846801760000005</v>
      </c>
      <c r="P530" s="1" t="s">
        <v>153</v>
      </c>
      <c r="Q530" s="1" t="s">
        <v>154</v>
      </c>
      <c r="R530" s="1" t="s">
        <v>174</v>
      </c>
      <c r="S530" s="1" t="s">
        <v>175</v>
      </c>
      <c r="T530" s="1" t="s">
        <v>263</v>
      </c>
      <c r="U530" s="1" t="s">
        <v>570</v>
      </c>
      <c r="V530" s="1" t="s">
        <v>160</v>
      </c>
      <c r="W530" s="1" t="s">
        <v>160</v>
      </c>
      <c r="X530" s="1" t="s">
        <v>160</v>
      </c>
      <c r="Y530" s="1" t="s">
        <v>160</v>
      </c>
      <c r="Z530" s="1" t="s">
        <v>160</v>
      </c>
      <c r="AA530" s="1" t="s">
        <v>160</v>
      </c>
      <c r="AB530" s="1" t="s">
        <v>160</v>
      </c>
      <c r="AC530" s="1" t="s">
        <v>159</v>
      </c>
      <c r="AD530" s="1" t="s">
        <v>159</v>
      </c>
      <c r="AE530" s="1" t="s">
        <v>160</v>
      </c>
      <c r="AF530" s="1" t="s">
        <v>160</v>
      </c>
      <c r="AG530" s="1" t="s">
        <v>160</v>
      </c>
      <c r="AH530" s="1">
        <v>2</v>
      </c>
      <c r="AI530" s="1" t="s">
        <v>160</v>
      </c>
      <c r="AJ530" s="1" t="s">
        <v>163</v>
      </c>
      <c r="AK530" s="1" t="s">
        <v>192</v>
      </c>
      <c r="AL530" s="1" t="s">
        <v>163</v>
      </c>
      <c r="AM530" s="1" t="s">
        <v>163</v>
      </c>
      <c r="AN530" s="1" t="s">
        <v>192</v>
      </c>
      <c r="AO530" s="1" t="s">
        <v>165</v>
      </c>
      <c r="AP530" s="1" t="s">
        <v>165</v>
      </c>
      <c r="AQ530" s="1">
        <v>1988</v>
      </c>
      <c r="AR530" s="1" t="s">
        <v>160</v>
      </c>
      <c r="AS530" s="1" t="s">
        <v>160</v>
      </c>
      <c r="AT530" s="1" t="s">
        <v>180</v>
      </c>
      <c r="AU530" s="1" t="s">
        <v>159</v>
      </c>
      <c r="AV530" s="1" t="s">
        <v>160</v>
      </c>
      <c r="AW530" s="1" t="s">
        <v>160</v>
      </c>
      <c r="AX530" s="1" t="s">
        <v>160</v>
      </c>
      <c r="AY530" s="1" t="s">
        <v>160</v>
      </c>
      <c r="AZ530" s="1" t="s">
        <v>160</v>
      </c>
      <c r="BA530" s="1" t="s">
        <v>160</v>
      </c>
      <c r="BB530" s="1" t="s">
        <v>241</v>
      </c>
      <c r="BC530" s="1" t="s">
        <v>160</v>
      </c>
      <c r="BE530" s="1" t="s">
        <v>2271</v>
      </c>
      <c r="BF530" s="1" t="s">
        <v>159</v>
      </c>
    </row>
    <row r="531" spans="1:59" ht="13" x14ac:dyDescent="0.15">
      <c r="A531" s="2">
        <v>44184.070833333331</v>
      </c>
      <c r="B531" s="2">
        <v>44184.072222222225</v>
      </c>
      <c r="C531" s="1" t="s">
        <v>39</v>
      </c>
      <c r="D531" s="1" t="s">
        <v>2272</v>
      </c>
      <c r="E531" s="1">
        <v>100</v>
      </c>
      <c r="F531" s="1">
        <v>86</v>
      </c>
      <c r="G531" s="1" t="b">
        <v>1</v>
      </c>
      <c r="H531" s="2">
        <v>44184.072222222225</v>
      </c>
      <c r="I531" s="1" t="s">
        <v>2273</v>
      </c>
      <c r="N531" s="1">
        <v>38.925796509999998</v>
      </c>
      <c r="O531" s="1">
        <v>-77.393898010000001</v>
      </c>
      <c r="P531" s="1" t="s">
        <v>153</v>
      </c>
      <c r="Q531" s="1" t="s">
        <v>154</v>
      </c>
      <c r="R531" s="1" t="s">
        <v>174</v>
      </c>
      <c r="S531" s="1" t="s">
        <v>274</v>
      </c>
      <c r="T531" s="1" t="s">
        <v>176</v>
      </c>
      <c r="U531" s="1" t="s">
        <v>552</v>
      </c>
      <c r="V531" s="1" t="s">
        <v>160</v>
      </c>
      <c r="W531" s="1" t="s">
        <v>160</v>
      </c>
      <c r="X531" s="1" t="s">
        <v>160</v>
      </c>
      <c r="Y531" s="1" t="s">
        <v>160</v>
      </c>
      <c r="Z531" s="1" t="s">
        <v>160</v>
      </c>
      <c r="AA531" s="1" t="s">
        <v>160</v>
      </c>
      <c r="AB531" s="1" t="s">
        <v>160</v>
      </c>
      <c r="AC531" s="1" t="s">
        <v>159</v>
      </c>
      <c r="AD531" s="1" t="s">
        <v>160</v>
      </c>
      <c r="AE531" s="1" t="s">
        <v>160</v>
      </c>
      <c r="AF531" s="1" t="s">
        <v>160</v>
      </c>
      <c r="AG531" s="1" t="s">
        <v>160</v>
      </c>
      <c r="AH531" s="1">
        <v>2</v>
      </c>
      <c r="AI531" s="1" t="s">
        <v>160</v>
      </c>
      <c r="AJ531" s="1" t="s">
        <v>163</v>
      </c>
      <c r="AK531" s="1" t="s">
        <v>192</v>
      </c>
      <c r="AL531" s="1" t="s">
        <v>163</v>
      </c>
      <c r="AM531" s="1" t="s">
        <v>163</v>
      </c>
      <c r="AN531" s="1" t="s">
        <v>192</v>
      </c>
      <c r="AO531" s="1" t="s">
        <v>165</v>
      </c>
      <c r="AP531" s="1" t="s">
        <v>165</v>
      </c>
      <c r="AQ531" s="1">
        <v>1998</v>
      </c>
      <c r="AR531" s="1" t="s">
        <v>160</v>
      </c>
      <c r="AS531" s="1" t="s">
        <v>160</v>
      </c>
      <c r="AT531" s="1" t="s">
        <v>180</v>
      </c>
      <c r="AU531" s="1" t="s">
        <v>160</v>
      </c>
      <c r="AV531" s="1" t="s">
        <v>160</v>
      </c>
      <c r="AW531" s="1" t="s">
        <v>160</v>
      </c>
      <c r="AX531" s="1" t="s">
        <v>160</v>
      </c>
      <c r="AY531" s="1" t="s">
        <v>160</v>
      </c>
      <c r="AZ531" s="1" t="s">
        <v>160</v>
      </c>
      <c r="BA531" s="1" t="s">
        <v>160</v>
      </c>
      <c r="BB531" s="1" t="s">
        <v>241</v>
      </c>
      <c r="BC531" s="1" t="s">
        <v>160</v>
      </c>
      <c r="BE531" s="1" t="s">
        <v>2274</v>
      </c>
      <c r="BF531" s="1" t="s">
        <v>159</v>
      </c>
    </row>
    <row r="532" spans="1:59" ht="13" x14ac:dyDescent="0.15">
      <c r="A532" s="2">
        <v>44184.072222222225</v>
      </c>
      <c r="B532" s="2">
        <v>44184.073611111111</v>
      </c>
      <c r="C532" s="1" t="s">
        <v>39</v>
      </c>
      <c r="D532" s="1" t="s">
        <v>2275</v>
      </c>
      <c r="E532" s="1">
        <v>100</v>
      </c>
      <c r="F532" s="1">
        <v>145</v>
      </c>
      <c r="G532" s="1" t="b">
        <v>1</v>
      </c>
      <c r="H532" s="2">
        <v>44184.073611111111</v>
      </c>
      <c r="I532" s="1" t="s">
        <v>2276</v>
      </c>
      <c r="N532" s="1">
        <v>32.776702880000002</v>
      </c>
      <c r="O532" s="1">
        <v>-96.805000309999997</v>
      </c>
      <c r="P532" s="1" t="s">
        <v>153</v>
      </c>
      <c r="Q532" s="1" t="s">
        <v>154</v>
      </c>
      <c r="R532" s="1" t="s">
        <v>174</v>
      </c>
      <c r="S532" s="1" t="s">
        <v>175</v>
      </c>
      <c r="T532" s="1" t="s">
        <v>237</v>
      </c>
      <c r="U532" s="1" t="s">
        <v>1554</v>
      </c>
      <c r="V532" s="1" t="s">
        <v>160</v>
      </c>
      <c r="W532" s="1" t="s">
        <v>160</v>
      </c>
      <c r="X532" s="1" t="s">
        <v>160</v>
      </c>
      <c r="Y532" s="1" t="s">
        <v>160</v>
      </c>
      <c r="Z532" s="1" t="s">
        <v>160</v>
      </c>
      <c r="AA532" s="1" t="s">
        <v>160</v>
      </c>
      <c r="AB532" s="1" t="s">
        <v>159</v>
      </c>
      <c r="AC532" s="1" t="s">
        <v>160</v>
      </c>
      <c r="AD532" s="1" t="s">
        <v>160</v>
      </c>
      <c r="AE532" s="1" t="s">
        <v>160</v>
      </c>
      <c r="AF532" s="1" t="s">
        <v>160</v>
      </c>
      <c r="AG532" s="1" t="s">
        <v>160</v>
      </c>
      <c r="AH532" s="1">
        <v>2</v>
      </c>
      <c r="AI532" s="1" t="s">
        <v>160</v>
      </c>
      <c r="AJ532" s="1" t="s">
        <v>192</v>
      </c>
      <c r="AK532" s="1" t="s">
        <v>163</v>
      </c>
      <c r="AL532" s="1" t="s">
        <v>192</v>
      </c>
      <c r="AM532" s="1" t="s">
        <v>163</v>
      </c>
      <c r="AN532" s="1" t="s">
        <v>163</v>
      </c>
      <c r="AO532" s="1" t="s">
        <v>165</v>
      </c>
      <c r="AP532" s="1" t="s">
        <v>165</v>
      </c>
      <c r="AQ532" s="1">
        <v>1997</v>
      </c>
      <c r="AR532" s="1" t="s">
        <v>160</v>
      </c>
      <c r="AS532" s="1" t="s">
        <v>160</v>
      </c>
      <c r="AT532" s="1" t="s">
        <v>180</v>
      </c>
      <c r="AU532" s="1" t="s">
        <v>160</v>
      </c>
      <c r="AV532" s="1" t="s">
        <v>160</v>
      </c>
      <c r="AW532" s="1" t="s">
        <v>160</v>
      </c>
      <c r="AX532" s="1" t="s">
        <v>160</v>
      </c>
      <c r="AY532" s="1" t="s">
        <v>160</v>
      </c>
      <c r="AZ532" s="1" t="s">
        <v>159</v>
      </c>
      <c r="BA532" s="1" t="s">
        <v>160</v>
      </c>
      <c r="BB532" s="1" t="s">
        <v>241</v>
      </c>
      <c r="BC532" s="1" t="s">
        <v>160</v>
      </c>
      <c r="BE532" s="1" t="s">
        <v>2277</v>
      </c>
      <c r="BF532" s="1" t="s">
        <v>159</v>
      </c>
    </row>
    <row r="533" spans="1:59" ht="13" x14ac:dyDescent="0.15">
      <c r="A533" s="2">
        <v>44184.074305555558</v>
      </c>
      <c r="B533" s="2">
        <v>44184.074999999997</v>
      </c>
      <c r="C533" s="1" t="s">
        <v>39</v>
      </c>
      <c r="D533" s="1" t="s">
        <v>2278</v>
      </c>
      <c r="E533" s="1">
        <v>100</v>
      </c>
      <c r="F533" s="1">
        <v>82</v>
      </c>
      <c r="G533" s="1" t="b">
        <v>1</v>
      </c>
      <c r="H533" s="2">
        <v>44184.074999999997</v>
      </c>
      <c r="I533" s="1" t="s">
        <v>2279</v>
      </c>
      <c r="N533" s="1">
        <v>40.43060303</v>
      </c>
      <c r="O533" s="1">
        <v>-74.402000430000001</v>
      </c>
      <c r="P533" s="1" t="s">
        <v>153</v>
      </c>
      <c r="Q533" s="1" t="s">
        <v>154</v>
      </c>
      <c r="R533" s="1" t="s">
        <v>174</v>
      </c>
      <c r="S533" s="1" t="s">
        <v>208</v>
      </c>
      <c r="T533" s="1" t="s">
        <v>263</v>
      </c>
      <c r="U533" s="1" t="s">
        <v>418</v>
      </c>
      <c r="V533" s="1" t="s">
        <v>160</v>
      </c>
      <c r="W533" s="1" t="s">
        <v>160</v>
      </c>
      <c r="X533" s="1" t="s">
        <v>160</v>
      </c>
      <c r="Y533" s="1" t="s">
        <v>160</v>
      </c>
      <c r="Z533" s="1" t="s">
        <v>160</v>
      </c>
      <c r="AA533" s="1" t="s">
        <v>160</v>
      </c>
      <c r="AB533" s="1" t="s">
        <v>159</v>
      </c>
      <c r="AC533" s="1" t="s">
        <v>159</v>
      </c>
      <c r="AD533" s="1" t="s">
        <v>160</v>
      </c>
      <c r="AE533" s="1" t="s">
        <v>160</v>
      </c>
      <c r="AF533" s="1" t="s">
        <v>160</v>
      </c>
      <c r="AG533" s="1" t="s">
        <v>160</v>
      </c>
      <c r="AI533" s="1" t="s">
        <v>160</v>
      </c>
      <c r="AJ533" s="1" t="s">
        <v>192</v>
      </c>
      <c r="AK533" s="1" t="s">
        <v>163</v>
      </c>
      <c r="AL533" s="1" t="s">
        <v>163</v>
      </c>
      <c r="AM533" s="1" t="s">
        <v>162</v>
      </c>
      <c r="AN533" s="1" t="s">
        <v>192</v>
      </c>
      <c r="AO533" s="1" t="s">
        <v>165</v>
      </c>
      <c r="AP533" s="1" t="s">
        <v>165</v>
      </c>
      <c r="AQ533" s="1">
        <v>1996</v>
      </c>
      <c r="AR533" s="1" t="s">
        <v>160</v>
      </c>
      <c r="AS533" s="1" t="s">
        <v>160</v>
      </c>
      <c r="AT533" s="1" t="s">
        <v>180</v>
      </c>
      <c r="AU533" s="1" t="s">
        <v>160</v>
      </c>
      <c r="AV533" s="1" t="s">
        <v>160</v>
      </c>
      <c r="AW533" s="1" t="s">
        <v>160</v>
      </c>
      <c r="AX533" s="1" t="s">
        <v>160</v>
      </c>
      <c r="AY533" s="1" t="s">
        <v>160</v>
      </c>
      <c r="AZ533" s="1" t="s">
        <v>160</v>
      </c>
      <c r="BA533" s="1" t="s">
        <v>160</v>
      </c>
      <c r="BB533" s="1" t="s">
        <v>241</v>
      </c>
      <c r="BC533" s="1" t="s">
        <v>160</v>
      </c>
      <c r="BE533" s="1" t="s">
        <v>2280</v>
      </c>
      <c r="BF533" s="1" t="s">
        <v>159</v>
      </c>
    </row>
    <row r="534" spans="1:59" ht="13" x14ac:dyDescent="0.15">
      <c r="A534" s="2">
        <v>44184.075694444444</v>
      </c>
      <c r="B534" s="2">
        <v>44184.07708333333</v>
      </c>
      <c r="C534" s="1" t="s">
        <v>39</v>
      </c>
      <c r="D534" s="1" t="s">
        <v>2281</v>
      </c>
      <c r="E534" s="1">
        <v>100</v>
      </c>
      <c r="F534" s="1">
        <v>109</v>
      </c>
      <c r="G534" s="1" t="b">
        <v>1</v>
      </c>
      <c r="H534" s="2">
        <v>44184.07708333333</v>
      </c>
      <c r="I534" s="1" t="s">
        <v>2282</v>
      </c>
      <c r="N534" s="1">
        <v>34.20370483</v>
      </c>
      <c r="O534" s="1">
        <v>-84.10310364</v>
      </c>
      <c r="P534" s="1" t="s">
        <v>153</v>
      </c>
      <c r="Q534" s="1" t="s">
        <v>154</v>
      </c>
      <c r="R534" s="1" t="s">
        <v>174</v>
      </c>
      <c r="S534" s="1" t="s">
        <v>274</v>
      </c>
      <c r="T534" s="1" t="s">
        <v>263</v>
      </c>
      <c r="U534" s="1" t="s">
        <v>1606</v>
      </c>
      <c r="V534" s="1" t="s">
        <v>160</v>
      </c>
      <c r="W534" s="1" t="s">
        <v>160</v>
      </c>
      <c r="X534" s="1" t="s">
        <v>160</v>
      </c>
      <c r="Y534" s="1" t="s">
        <v>160</v>
      </c>
      <c r="Z534" s="1" t="s">
        <v>160</v>
      </c>
      <c r="AA534" s="1" t="s">
        <v>160</v>
      </c>
      <c r="AB534" s="1" t="s">
        <v>160</v>
      </c>
      <c r="AC534" s="1" t="s">
        <v>159</v>
      </c>
      <c r="AD534" s="1" t="s">
        <v>160</v>
      </c>
      <c r="AE534" s="1" t="s">
        <v>160</v>
      </c>
      <c r="AF534" s="1" t="s">
        <v>159</v>
      </c>
      <c r="AG534" s="1" t="s">
        <v>160</v>
      </c>
      <c r="AH534" s="1">
        <v>3</v>
      </c>
      <c r="AI534" s="1" t="s">
        <v>160</v>
      </c>
      <c r="AJ534" s="1" t="s">
        <v>192</v>
      </c>
      <c r="AK534" s="1" t="s">
        <v>163</v>
      </c>
      <c r="AL534" s="1" t="s">
        <v>163</v>
      </c>
      <c r="AM534" s="1" t="s">
        <v>192</v>
      </c>
      <c r="AN534" s="1" t="s">
        <v>163</v>
      </c>
      <c r="AO534" s="1" t="s">
        <v>165</v>
      </c>
      <c r="AP534" s="1" t="s">
        <v>165</v>
      </c>
      <c r="AQ534" s="1">
        <v>1985</v>
      </c>
      <c r="AR534" s="1" t="s">
        <v>160</v>
      </c>
      <c r="AS534" s="1" t="s">
        <v>160</v>
      </c>
      <c r="AT534" s="1" t="s">
        <v>180</v>
      </c>
      <c r="AU534" s="1" t="s">
        <v>160</v>
      </c>
      <c r="AV534" s="1" t="s">
        <v>159</v>
      </c>
      <c r="AW534" s="1" t="s">
        <v>160</v>
      </c>
      <c r="AX534" s="1" t="s">
        <v>160</v>
      </c>
      <c r="AY534" s="1" t="s">
        <v>160</v>
      </c>
      <c r="AZ534" s="1" t="s">
        <v>160</v>
      </c>
      <c r="BA534" s="1" t="s">
        <v>160</v>
      </c>
      <c r="BB534" s="1" t="s">
        <v>241</v>
      </c>
      <c r="BC534" s="1" t="s">
        <v>160</v>
      </c>
      <c r="BE534" s="1" t="s">
        <v>2280</v>
      </c>
      <c r="BF534" s="1" t="s">
        <v>159</v>
      </c>
    </row>
    <row r="535" spans="1:59" ht="13" x14ac:dyDescent="0.15">
      <c r="A535" s="2">
        <v>44184.07708333333</v>
      </c>
      <c r="B535" s="2">
        <v>44184.077777777777</v>
      </c>
      <c r="C535" s="1" t="s">
        <v>39</v>
      </c>
      <c r="D535" s="1" t="s">
        <v>2283</v>
      </c>
      <c r="E535" s="1">
        <v>100</v>
      </c>
      <c r="F535" s="1">
        <v>80</v>
      </c>
      <c r="G535" s="1" t="b">
        <v>1</v>
      </c>
      <c r="H535" s="2">
        <v>44184.077777777777</v>
      </c>
      <c r="I535" s="1" t="s">
        <v>2284</v>
      </c>
      <c r="N535" s="1">
        <v>37.393295289999998</v>
      </c>
      <c r="O535" s="1">
        <v>-94.716201780000006</v>
      </c>
      <c r="P535" s="1" t="s">
        <v>153</v>
      </c>
      <c r="Q535" s="1" t="s">
        <v>154</v>
      </c>
      <c r="R535" s="1" t="s">
        <v>174</v>
      </c>
      <c r="S535" s="1" t="s">
        <v>208</v>
      </c>
      <c r="T535" s="1" t="s">
        <v>176</v>
      </c>
      <c r="U535" s="1" t="s">
        <v>418</v>
      </c>
      <c r="V535" s="1" t="s">
        <v>160</v>
      </c>
      <c r="W535" s="1" t="s">
        <v>160</v>
      </c>
      <c r="X535" s="1" t="s">
        <v>160</v>
      </c>
      <c r="Y535" s="1" t="s">
        <v>160</v>
      </c>
      <c r="Z535" s="1" t="s">
        <v>160</v>
      </c>
      <c r="AA535" s="1" t="s">
        <v>160</v>
      </c>
      <c r="AB535" s="1" t="s">
        <v>159</v>
      </c>
      <c r="AC535" s="1" t="s">
        <v>160</v>
      </c>
      <c r="AD535" s="1" t="s">
        <v>160</v>
      </c>
      <c r="AE535" s="1" t="s">
        <v>159</v>
      </c>
      <c r="AF535" s="1" t="s">
        <v>160</v>
      </c>
      <c r="AG535" s="1" t="s">
        <v>160</v>
      </c>
      <c r="AI535" s="1" t="s">
        <v>160</v>
      </c>
      <c r="AJ535" s="1" t="s">
        <v>163</v>
      </c>
      <c r="AK535" s="1" t="s">
        <v>162</v>
      </c>
      <c r="AL535" s="1" t="s">
        <v>192</v>
      </c>
      <c r="AM535" s="1" t="s">
        <v>163</v>
      </c>
      <c r="AN535" s="1" t="s">
        <v>163</v>
      </c>
      <c r="AO535" s="1" t="s">
        <v>179</v>
      </c>
      <c r="AP535" s="1" t="s">
        <v>179</v>
      </c>
      <c r="AQ535" s="1">
        <v>1997</v>
      </c>
      <c r="AR535" s="1" t="s">
        <v>160</v>
      </c>
      <c r="AS535" s="1" t="s">
        <v>160</v>
      </c>
      <c r="AT535" s="1" t="s">
        <v>180</v>
      </c>
      <c r="AU535" s="1" t="s">
        <v>160</v>
      </c>
      <c r="AV535" s="1" t="s">
        <v>160</v>
      </c>
      <c r="AW535" s="1" t="s">
        <v>160</v>
      </c>
      <c r="AX535" s="1" t="s">
        <v>160</v>
      </c>
      <c r="AY535" s="1" t="s">
        <v>159</v>
      </c>
      <c r="AZ535" s="1" t="s">
        <v>160</v>
      </c>
      <c r="BA535" s="1" t="s">
        <v>160</v>
      </c>
      <c r="BB535" s="1" t="s">
        <v>241</v>
      </c>
      <c r="BC535" s="1" t="s">
        <v>160</v>
      </c>
      <c r="BE535" s="1" t="s">
        <v>2285</v>
      </c>
      <c r="BF535" s="1" t="s">
        <v>159</v>
      </c>
    </row>
    <row r="536" spans="1:59" ht="13" x14ac:dyDescent="0.15">
      <c r="A536" s="2">
        <v>44184.07916666667</v>
      </c>
      <c r="B536" s="2">
        <v>44184.080555555556</v>
      </c>
      <c r="C536" s="1" t="s">
        <v>39</v>
      </c>
      <c r="D536" s="1" t="s">
        <v>2286</v>
      </c>
      <c r="E536" s="1">
        <v>100</v>
      </c>
      <c r="F536" s="1">
        <v>134</v>
      </c>
      <c r="G536" s="1" t="b">
        <v>1</v>
      </c>
      <c r="H536" s="2">
        <v>44184.080555555556</v>
      </c>
      <c r="I536" s="1" t="s">
        <v>2287</v>
      </c>
      <c r="N536" s="1">
        <v>39.215103149999997</v>
      </c>
      <c r="O536" s="1">
        <v>-76.753997799999993</v>
      </c>
      <c r="P536" s="1" t="s">
        <v>153</v>
      </c>
      <c r="Q536" s="1" t="s">
        <v>154</v>
      </c>
      <c r="R536" s="1" t="s">
        <v>174</v>
      </c>
      <c r="S536" s="1" t="s">
        <v>208</v>
      </c>
      <c r="T536" s="1" t="s">
        <v>263</v>
      </c>
      <c r="U536" s="1" t="s">
        <v>1823</v>
      </c>
      <c r="V536" s="1" t="s">
        <v>160</v>
      </c>
      <c r="W536" s="1" t="s">
        <v>160</v>
      </c>
      <c r="X536" s="1" t="s">
        <v>160</v>
      </c>
      <c r="Y536" s="1" t="s">
        <v>160</v>
      </c>
      <c r="Z536" s="1" t="s">
        <v>160</v>
      </c>
      <c r="AA536" s="1" t="s">
        <v>160</v>
      </c>
      <c r="AB536" s="1" t="s">
        <v>159</v>
      </c>
      <c r="AC536" s="1" t="s">
        <v>159</v>
      </c>
      <c r="AD536" s="1" t="s">
        <v>159</v>
      </c>
      <c r="AE536" s="1" t="s">
        <v>160</v>
      </c>
      <c r="AF536" s="1" t="s">
        <v>160</v>
      </c>
      <c r="AG536" s="1" t="s">
        <v>160</v>
      </c>
      <c r="AH536" s="1">
        <v>2</v>
      </c>
      <c r="AI536" s="1" t="s">
        <v>160</v>
      </c>
      <c r="AJ536" s="1" t="s">
        <v>163</v>
      </c>
      <c r="AK536" s="1" t="s">
        <v>192</v>
      </c>
      <c r="AL536" s="1" t="s">
        <v>163</v>
      </c>
      <c r="AM536" s="1" t="s">
        <v>163</v>
      </c>
      <c r="AO536" s="1" t="s">
        <v>165</v>
      </c>
      <c r="AP536" s="1" t="s">
        <v>165</v>
      </c>
      <c r="AQ536" s="1">
        <v>1996</v>
      </c>
      <c r="AR536" s="1" t="s">
        <v>160</v>
      </c>
      <c r="AS536" s="1" t="s">
        <v>160</v>
      </c>
      <c r="AT536" s="1" t="s">
        <v>180</v>
      </c>
      <c r="AU536" s="1" t="s">
        <v>160</v>
      </c>
      <c r="AV536" s="1" t="s">
        <v>160</v>
      </c>
      <c r="AW536" s="1" t="s">
        <v>160</v>
      </c>
      <c r="AX536" s="1" t="s">
        <v>159</v>
      </c>
      <c r="AY536" s="1" t="s">
        <v>160</v>
      </c>
      <c r="AZ536" s="1" t="s">
        <v>160</v>
      </c>
      <c r="BA536" s="1" t="s">
        <v>160</v>
      </c>
      <c r="BB536" s="1" t="s">
        <v>241</v>
      </c>
      <c r="BC536" s="1" t="s">
        <v>160</v>
      </c>
      <c r="BE536" s="1" t="s">
        <v>2285</v>
      </c>
      <c r="BF536" s="1" t="s">
        <v>159</v>
      </c>
    </row>
    <row r="537" spans="1:59" ht="13" x14ac:dyDescent="0.15">
      <c r="A537" s="2">
        <v>44187.029861111114</v>
      </c>
      <c r="B537" s="2">
        <v>44187.030555555553</v>
      </c>
      <c r="C537" s="1" t="s">
        <v>39</v>
      </c>
      <c r="D537" s="1" t="s">
        <v>2288</v>
      </c>
      <c r="E537" s="1">
        <v>4</v>
      </c>
      <c r="F537" s="1">
        <v>43</v>
      </c>
      <c r="G537" s="1" t="b">
        <v>0</v>
      </c>
      <c r="H537" s="2">
        <v>44194.030555555553</v>
      </c>
      <c r="I537" s="1" t="s">
        <v>2289</v>
      </c>
      <c r="P537" s="1" t="s">
        <v>153</v>
      </c>
      <c r="Q537" s="1" t="s">
        <v>154</v>
      </c>
    </row>
    <row r="538" spans="1:59" ht="13" x14ac:dyDescent="0.15">
      <c r="A538" s="4">
        <v>44286.580347222225</v>
      </c>
      <c r="B538" s="4">
        <v>44286.584027777775</v>
      </c>
      <c r="C538" t="s">
        <v>39</v>
      </c>
      <c r="D538" t="s">
        <v>2290</v>
      </c>
      <c r="E538">
        <v>100</v>
      </c>
      <c r="F538">
        <v>317</v>
      </c>
      <c r="G538" t="b">
        <v>1</v>
      </c>
      <c r="H538" s="4">
        <v>44286.584039351852</v>
      </c>
      <c r="I538" t="s">
        <v>2291</v>
      </c>
      <c r="N538">
        <v>35.717803955078097</v>
      </c>
      <c r="O538">
        <v>-78.842796325683494</v>
      </c>
      <c r="P538" t="s">
        <v>153</v>
      </c>
      <c r="Q538" t="s">
        <v>154</v>
      </c>
      <c r="R538" t="s">
        <v>174</v>
      </c>
      <c r="S538" t="s">
        <v>208</v>
      </c>
      <c r="T538" t="s">
        <v>157</v>
      </c>
      <c r="U538" t="s">
        <v>2292</v>
      </c>
      <c r="V538" t="s">
        <v>160</v>
      </c>
      <c r="W538" t="s">
        <v>159</v>
      </c>
      <c r="X538" t="s">
        <v>159</v>
      </c>
      <c r="Y538" t="s">
        <v>159</v>
      </c>
      <c r="Z538" t="s">
        <v>159</v>
      </c>
      <c r="AA538" t="s">
        <v>159</v>
      </c>
      <c r="AB538" t="s">
        <v>159</v>
      </c>
      <c r="AC538" t="s">
        <v>160</v>
      </c>
      <c r="AD538" t="s">
        <v>159</v>
      </c>
      <c r="AE538" t="s">
        <v>159</v>
      </c>
      <c r="AF538" t="s">
        <v>159</v>
      </c>
      <c r="AG538" t="s">
        <v>160</v>
      </c>
      <c r="AH538">
        <v>1</v>
      </c>
      <c r="AI538" t="s">
        <v>159</v>
      </c>
      <c r="AJ538" t="s">
        <v>162</v>
      </c>
      <c r="AK538" t="s">
        <v>162</v>
      </c>
      <c r="AL538" t="s">
        <v>163</v>
      </c>
      <c r="AM538" t="s">
        <v>163</v>
      </c>
      <c r="AN538" t="s">
        <v>192</v>
      </c>
      <c r="AO538" t="s">
        <v>165</v>
      </c>
      <c r="AP538" t="s">
        <v>165</v>
      </c>
      <c r="AQ538">
        <v>2000</v>
      </c>
      <c r="AR538" t="s">
        <v>160</v>
      </c>
      <c r="AS538" t="s">
        <v>159</v>
      </c>
      <c r="AT538" t="s">
        <v>166</v>
      </c>
      <c r="AU538" t="s">
        <v>159</v>
      </c>
      <c r="AV538" t="s">
        <v>159</v>
      </c>
      <c r="AW538" t="s">
        <v>159</v>
      </c>
      <c r="AX538" t="s">
        <v>159</v>
      </c>
      <c r="AY538" t="s">
        <v>160</v>
      </c>
      <c r="AZ538" t="s">
        <v>159</v>
      </c>
      <c r="BA538" t="s">
        <v>159</v>
      </c>
      <c r="BB538" t="s">
        <v>181</v>
      </c>
      <c r="BC538" t="s">
        <v>159</v>
      </c>
      <c r="BD538" t="s">
        <v>2293</v>
      </c>
      <c r="BE538" t="s">
        <v>2294</v>
      </c>
      <c r="BF538" t="s">
        <v>160</v>
      </c>
      <c r="BG538" t="s">
        <v>2295</v>
      </c>
    </row>
    <row r="539" spans="1:59" ht="42" x14ac:dyDescent="0.15">
      <c r="A539" s="4">
        <v>44286.678449074076</v>
      </c>
      <c r="B539" s="4">
        <v>44286.682326388887</v>
      </c>
      <c r="C539" t="s">
        <v>39</v>
      </c>
      <c r="D539" t="s">
        <v>2296</v>
      </c>
      <c r="E539">
        <v>100</v>
      </c>
      <c r="F539">
        <v>335</v>
      </c>
      <c r="G539" t="b">
        <v>1</v>
      </c>
      <c r="H539" s="4">
        <v>44286.682337962964</v>
      </c>
      <c r="I539" t="s">
        <v>2297</v>
      </c>
      <c r="N539">
        <v>35.089202880859297</v>
      </c>
      <c r="O539">
        <v>-80.819396972656193</v>
      </c>
      <c r="P539" t="s">
        <v>153</v>
      </c>
      <c r="Q539" t="s">
        <v>154</v>
      </c>
      <c r="R539" t="s">
        <v>155</v>
      </c>
      <c r="S539" t="s">
        <v>175</v>
      </c>
      <c r="T539" t="s">
        <v>157</v>
      </c>
      <c r="U539" t="s">
        <v>2298</v>
      </c>
      <c r="V539" t="s">
        <v>159</v>
      </c>
      <c r="W539" t="s">
        <v>159</v>
      </c>
      <c r="X539" t="s">
        <v>159</v>
      </c>
      <c r="Y539" t="s">
        <v>159</v>
      </c>
      <c r="Z539" t="s">
        <v>159</v>
      </c>
      <c r="AA539" t="s">
        <v>159</v>
      </c>
      <c r="AB539" t="s">
        <v>159</v>
      </c>
      <c r="AC539" t="s">
        <v>159</v>
      </c>
      <c r="AD539" t="s">
        <v>159</v>
      </c>
      <c r="AE539" t="s">
        <v>159</v>
      </c>
      <c r="AF539" t="s">
        <v>159</v>
      </c>
      <c r="AG539" t="s">
        <v>159</v>
      </c>
      <c r="AH539">
        <v>0</v>
      </c>
      <c r="AI539" t="s">
        <v>159</v>
      </c>
      <c r="AJ539" t="s">
        <v>164</v>
      </c>
      <c r="AK539" t="s">
        <v>164</v>
      </c>
      <c r="AL539" t="s">
        <v>164</v>
      </c>
      <c r="AM539" t="s">
        <v>164</v>
      </c>
      <c r="AN539" t="s">
        <v>192</v>
      </c>
      <c r="AO539" t="s">
        <v>165</v>
      </c>
      <c r="AP539" t="s">
        <v>165</v>
      </c>
      <c r="AQ539">
        <v>1999</v>
      </c>
      <c r="AR539" t="s">
        <v>160</v>
      </c>
      <c r="AS539" t="s">
        <v>159</v>
      </c>
      <c r="AT539" t="s">
        <v>180</v>
      </c>
      <c r="AU539" t="s">
        <v>159</v>
      </c>
      <c r="AV539" t="s">
        <v>159</v>
      </c>
      <c r="AW539" t="s">
        <v>159</v>
      </c>
      <c r="AX539" t="s">
        <v>159</v>
      </c>
      <c r="AY539" t="s">
        <v>159</v>
      </c>
      <c r="AZ539" t="s">
        <v>160</v>
      </c>
      <c r="BA539" t="s">
        <v>159</v>
      </c>
      <c r="BB539" t="s">
        <v>181</v>
      </c>
      <c r="BC539" t="s">
        <v>159</v>
      </c>
      <c r="BD539" t="s">
        <v>182</v>
      </c>
      <c r="BE539" t="s">
        <v>2299</v>
      </c>
      <c r="BF539" t="s">
        <v>160</v>
      </c>
      <c r="BG539" s="5" t="s">
        <v>2300</v>
      </c>
    </row>
    <row r="540" spans="1:59" s="7" customFormat="1" ht="42" x14ac:dyDescent="0.15">
      <c r="A540" s="6">
        <v>44286.827928240738</v>
      </c>
      <c r="B540" s="6">
        <v>44286.831458333334</v>
      </c>
      <c r="C540" s="7" t="s">
        <v>39</v>
      </c>
      <c r="D540" s="7" t="s">
        <v>2301</v>
      </c>
      <c r="E540" s="7">
        <v>100</v>
      </c>
      <c r="F540" s="7">
        <v>304</v>
      </c>
      <c r="G540" s="7" t="b">
        <v>1</v>
      </c>
      <c r="H540" s="6">
        <v>44286.831458333334</v>
      </c>
      <c r="I540" s="7" t="s">
        <v>2302</v>
      </c>
      <c r="N540" s="7">
        <v>35.650894165038999</v>
      </c>
      <c r="O540" s="7">
        <v>-81.239097595214801</v>
      </c>
      <c r="P540" s="7" t="s">
        <v>153</v>
      </c>
      <c r="Q540" s="7" t="s">
        <v>154</v>
      </c>
      <c r="R540" s="7" t="s">
        <v>155</v>
      </c>
      <c r="S540" s="7" t="s">
        <v>156</v>
      </c>
      <c r="T540" s="7" t="s">
        <v>176</v>
      </c>
      <c r="U540" s="7" t="s">
        <v>2303</v>
      </c>
      <c r="V540" s="7" t="s">
        <v>159</v>
      </c>
      <c r="W540" s="7" t="s">
        <v>159</v>
      </c>
      <c r="X540" s="7" t="s">
        <v>159</v>
      </c>
      <c r="Y540" s="7" t="s">
        <v>159</v>
      </c>
      <c r="Z540" s="7" t="s">
        <v>159</v>
      </c>
      <c r="AA540" s="7" t="s">
        <v>159</v>
      </c>
      <c r="AB540" s="7" t="s">
        <v>159</v>
      </c>
      <c r="AC540" s="7" t="s">
        <v>160</v>
      </c>
      <c r="AD540" s="7" t="s">
        <v>159</v>
      </c>
      <c r="AE540" s="7" t="s">
        <v>159</v>
      </c>
      <c r="AF540" s="7" t="s">
        <v>159</v>
      </c>
      <c r="AG540" s="7" t="s">
        <v>159</v>
      </c>
      <c r="AI540" s="7" t="s">
        <v>159</v>
      </c>
      <c r="AJ540" s="7" t="s">
        <v>162</v>
      </c>
      <c r="AK540" s="7" t="s">
        <v>163</v>
      </c>
      <c r="AL540" s="7" t="s">
        <v>162</v>
      </c>
      <c r="AM540" s="7" t="s">
        <v>162</v>
      </c>
      <c r="AN540" s="7" t="s">
        <v>163</v>
      </c>
      <c r="AO540" s="7" t="s">
        <v>165</v>
      </c>
      <c r="AP540" s="7" t="s">
        <v>165</v>
      </c>
      <c r="AQ540" s="7">
        <v>1994</v>
      </c>
      <c r="AR540" s="7" t="s">
        <v>160</v>
      </c>
      <c r="AS540" s="7" t="s">
        <v>159</v>
      </c>
      <c r="AT540" s="7" t="s">
        <v>1366</v>
      </c>
      <c r="AU540" s="7" t="s">
        <v>159</v>
      </c>
      <c r="AV540" s="7" t="s">
        <v>159</v>
      </c>
      <c r="AW540" s="7" t="s">
        <v>159</v>
      </c>
      <c r="AX540" s="7" t="s">
        <v>159</v>
      </c>
      <c r="AY540" s="7" t="s">
        <v>159</v>
      </c>
      <c r="AZ540" s="7" t="s">
        <v>159</v>
      </c>
      <c r="BA540" s="7" t="s">
        <v>159</v>
      </c>
      <c r="BB540" s="7" t="s">
        <v>181</v>
      </c>
      <c r="BC540" s="7" t="s">
        <v>159</v>
      </c>
      <c r="BD540" s="7" t="s">
        <v>2304</v>
      </c>
      <c r="BE540" s="7" t="s">
        <v>2305</v>
      </c>
      <c r="BF540" s="7" t="s">
        <v>160</v>
      </c>
      <c r="BG540" s="8" t="s">
        <v>2306</v>
      </c>
    </row>
    <row r="541" spans="1:59" ht="13" x14ac:dyDescent="0.15">
      <c r="A541" s="4">
        <v>44286.875254629631</v>
      </c>
      <c r="B541" s="4">
        <v>44286.877858796295</v>
      </c>
      <c r="C541" t="s">
        <v>39</v>
      </c>
      <c r="D541" t="s">
        <v>2307</v>
      </c>
      <c r="E541">
        <v>100</v>
      </c>
      <c r="F541">
        <v>224</v>
      </c>
      <c r="G541" t="b">
        <v>1</v>
      </c>
      <c r="H541" s="4">
        <v>44286.877858796295</v>
      </c>
      <c r="I541" t="s">
        <v>2308</v>
      </c>
      <c r="N541">
        <v>35.291595458984297</v>
      </c>
      <c r="O541">
        <v>-80.820098876953097</v>
      </c>
      <c r="P541" t="s">
        <v>153</v>
      </c>
      <c r="Q541" t="s">
        <v>154</v>
      </c>
      <c r="R541" t="s">
        <v>174</v>
      </c>
      <c r="S541" t="s">
        <v>208</v>
      </c>
      <c r="T541" t="s">
        <v>157</v>
      </c>
      <c r="U541" t="s">
        <v>496</v>
      </c>
      <c r="V541" t="s">
        <v>160</v>
      </c>
      <c r="W541" t="s">
        <v>159</v>
      </c>
      <c r="X541" t="s">
        <v>159</v>
      </c>
      <c r="Y541" t="s">
        <v>159</v>
      </c>
      <c r="Z541" t="s">
        <v>159</v>
      </c>
      <c r="AA541" t="s">
        <v>159</v>
      </c>
      <c r="AB541" t="s">
        <v>159</v>
      </c>
      <c r="AC541" t="s">
        <v>159</v>
      </c>
      <c r="AD541" t="s">
        <v>159</v>
      </c>
      <c r="AE541" t="s">
        <v>159</v>
      </c>
      <c r="AF541" t="s">
        <v>159</v>
      </c>
      <c r="AG541" t="s">
        <v>159</v>
      </c>
      <c r="AH541">
        <v>0</v>
      </c>
      <c r="AI541" t="s">
        <v>159</v>
      </c>
      <c r="AJ541" t="s">
        <v>198</v>
      </c>
      <c r="AK541" t="s">
        <v>198</v>
      </c>
      <c r="AL541" t="s">
        <v>198</v>
      </c>
      <c r="AM541" t="s">
        <v>198</v>
      </c>
      <c r="AN541" t="s">
        <v>198</v>
      </c>
      <c r="AO541" t="s">
        <v>165</v>
      </c>
      <c r="AP541" t="s">
        <v>165</v>
      </c>
      <c r="AQ541">
        <v>2000</v>
      </c>
      <c r="AR541" t="s">
        <v>160</v>
      </c>
      <c r="AS541" t="s">
        <v>159</v>
      </c>
      <c r="AT541" t="s">
        <v>327</v>
      </c>
      <c r="AU541" t="s">
        <v>159</v>
      </c>
      <c r="AV541" t="s">
        <v>159</v>
      </c>
      <c r="AW541" t="s">
        <v>159</v>
      </c>
      <c r="AX541" t="s">
        <v>159</v>
      </c>
      <c r="AY541" t="s">
        <v>159</v>
      </c>
      <c r="AZ541" t="s">
        <v>159</v>
      </c>
      <c r="BA541" t="s">
        <v>159</v>
      </c>
      <c r="BB541" t="s">
        <v>181</v>
      </c>
      <c r="BC541" t="s">
        <v>159</v>
      </c>
      <c r="BE541" t="s">
        <v>2309</v>
      </c>
      <c r="BF541" t="s">
        <v>159</v>
      </c>
    </row>
    <row r="542" spans="1:59" ht="13" x14ac:dyDescent="0.15">
      <c r="A542" s="4">
        <v>44286.891539351855</v>
      </c>
      <c r="B542" s="4">
        <v>44286.893391203703</v>
      </c>
      <c r="C542" t="s">
        <v>39</v>
      </c>
      <c r="D542" t="s">
        <v>2310</v>
      </c>
      <c r="E542">
        <v>100</v>
      </c>
      <c r="F542">
        <v>160</v>
      </c>
      <c r="G542" t="b">
        <v>1</v>
      </c>
      <c r="H542" s="4">
        <v>44286.893391203703</v>
      </c>
      <c r="I542" t="s">
        <v>2311</v>
      </c>
      <c r="N542">
        <v>30.547805786132798</v>
      </c>
      <c r="O542">
        <v>-96.271499633789006</v>
      </c>
      <c r="P542" t="s">
        <v>153</v>
      </c>
      <c r="Q542" t="s">
        <v>154</v>
      </c>
      <c r="R542" t="s">
        <v>174</v>
      </c>
      <c r="S542" t="s">
        <v>274</v>
      </c>
      <c r="T542" t="s">
        <v>237</v>
      </c>
      <c r="U542" t="s">
        <v>2312</v>
      </c>
      <c r="V542" t="s">
        <v>160</v>
      </c>
      <c r="W542" t="s">
        <v>160</v>
      </c>
      <c r="X542" t="s">
        <v>160</v>
      </c>
      <c r="Y542" t="s">
        <v>160</v>
      </c>
      <c r="Z542" t="s">
        <v>159</v>
      </c>
      <c r="AA542" t="s">
        <v>160</v>
      </c>
      <c r="AB542" t="s">
        <v>160</v>
      </c>
      <c r="AC542" t="s">
        <v>160</v>
      </c>
      <c r="AD542" t="s">
        <v>159</v>
      </c>
      <c r="AE542" t="s">
        <v>160</v>
      </c>
      <c r="AF542" t="s">
        <v>160</v>
      </c>
      <c r="AG542" t="s">
        <v>160</v>
      </c>
      <c r="AH542">
        <v>3</v>
      </c>
      <c r="AI542" t="s">
        <v>160</v>
      </c>
      <c r="AJ542" t="s">
        <v>192</v>
      </c>
      <c r="AK542" t="s">
        <v>164</v>
      </c>
      <c r="AL542" t="s">
        <v>198</v>
      </c>
      <c r="AM542" t="s">
        <v>192</v>
      </c>
      <c r="AN542" t="s">
        <v>163</v>
      </c>
      <c r="AO542" t="s">
        <v>179</v>
      </c>
      <c r="AP542" t="s">
        <v>179</v>
      </c>
      <c r="AQ542">
        <v>1988</v>
      </c>
      <c r="AR542" t="s">
        <v>160</v>
      </c>
      <c r="AS542" t="s">
        <v>159</v>
      </c>
      <c r="AT542" t="s">
        <v>180</v>
      </c>
      <c r="AU542" t="s">
        <v>159</v>
      </c>
      <c r="AV542" t="s">
        <v>159</v>
      </c>
      <c r="AW542" t="s">
        <v>159</v>
      </c>
      <c r="AX542" t="s">
        <v>159</v>
      </c>
      <c r="AY542" t="s">
        <v>159</v>
      </c>
      <c r="AZ542" t="s">
        <v>159</v>
      </c>
      <c r="BA542" t="s">
        <v>159</v>
      </c>
      <c r="BB542" t="s">
        <v>241</v>
      </c>
      <c r="BC542" t="s">
        <v>159</v>
      </c>
      <c r="BE542" t="s">
        <v>728</v>
      </c>
      <c r="BF542" t="s">
        <v>159</v>
      </c>
    </row>
    <row r="543" spans="1:59" ht="13" x14ac:dyDescent="0.15">
      <c r="A543" s="4">
        <v>44286.89503472222</v>
      </c>
      <c r="B543" s="4">
        <v>44286.900416666664</v>
      </c>
      <c r="C543" t="s">
        <v>39</v>
      </c>
      <c r="D543" t="s">
        <v>2313</v>
      </c>
      <c r="E543">
        <v>100</v>
      </c>
      <c r="F543">
        <v>464</v>
      </c>
      <c r="G543" t="b">
        <v>1</v>
      </c>
      <c r="H543" s="4">
        <v>44286.900416666664</v>
      </c>
      <c r="I543" t="s">
        <v>2314</v>
      </c>
      <c r="N543">
        <v>35.6427001953125</v>
      </c>
      <c r="O543">
        <v>139.76770019531199</v>
      </c>
      <c r="P543" t="s">
        <v>153</v>
      </c>
      <c r="Q543" t="s">
        <v>154</v>
      </c>
      <c r="R543" t="s">
        <v>174</v>
      </c>
      <c r="S543" t="s">
        <v>274</v>
      </c>
      <c r="T543" t="s">
        <v>263</v>
      </c>
      <c r="U543" t="s">
        <v>2315</v>
      </c>
      <c r="V543" t="s">
        <v>160</v>
      </c>
      <c r="W543" t="s">
        <v>159</v>
      </c>
      <c r="X543" t="s">
        <v>159</v>
      </c>
      <c r="Y543" t="s">
        <v>159</v>
      </c>
      <c r="Z543" t="s">
        <v>159</v>
      </c>
      <c r="AA543" t="s">
        <v>160</v>
      </c>
      <c r="AB543" t="s">
        <v>160</v>
      </c>
      <c r="AC543" t="s">
        <v>159</v>
      </c>
      <c r="AD543" t="s">
        <v>160</v>
      </c>
      <c r="AE543" t="s">
        <v>160</v>
      </c>
      <c r="AF543" t="s">
        <v>159</v>
      </c>
      <c r="AG543" t="s">
        <v>159</v>
      </c>
      <c r="AH543">
        <v>2</v>
      </c>
      <c r="AI543" t="s">
        <v>159</v>
      </c>
      <c r="AJ543" t="s">
        <v>192</v>
      </c>
      <c r="AK543" t="s">
        <v>164</v>
      </c>
      <c r="AL543" t="s">
        <v>164</v>
      </c>
      <c r="AM543" t="s">
        <v>192</v>
      </c>
      <c r="AN543" t="s">
        <v>163</v>
      </c>
      <c r="AO543" t="s">
        <v>165</v>
      </c>
      <c r="AP543" t="s">
        <v>165</v>
      </c>
      <c r="AQ543">
        <v>1990</v>
      </c>
      <c r="AR543" t="s">
        <v>160</v>
      </c>
      <c r="AS543" t="s">
        <v>159</v>
      </c>
      <c r="AT543" t="s">
        <v>180</v>
      </c>
      <c r="AU543" t="s">
        <v>159</v>
      </c>
      <c r="AV543" t="s">
        <v>160</v>
      </c>
      <c r="AW543" t="s">
        <v>159</v>
      </c>
      <c r="AX543" t="s">
        <v>159</v>
      </c>
      <c r="AY543" t="s">
        <v>160</v>
      </c>
      <c r="AZ543" t="s">
        <v>160</v>
      </c>
      <c r="BB543" t="s">
        <v>241</v>
      </c>
      <c r="BC543" t="s">
        <v>159</v>
      </c>
      <c r="BE543" t="s">
        <v>1052</v>
      </c>
      <c r="BF543" t="s">
        <v>159</v>
      </c>
    </row>
    <row r="544" spans="1:59" ht="13" x14ac:dyDescent="0.15">
      <c r="A544" s="4">
        <v>44286.89880787037</v>
      </c>
      <c r="B544" s="4">
        <v>44286.902928240743</v>
      </c>
      <c r="C544" t="s">
        <v>39</v>
      </c>
      <c r="D544" t="s">
        <v>2316</v>
      </c>
      <c r="E544">
        <v>100</v>
      </c>
      <c r="F544">
        <v>356</v>
      </c>
      <c r="G544" t="b">
        <v>1</v>
      </c>
      <c r="H544" s="4">
        <v>44286.902928240743</v>
      </c>
      <c r="I544" t="s">
        <v>2317</v>
      </c>
      <c r="N544">
        <v>27.9447937011718</v>
      </c>
      <c r="O544">
        <v>-82.240898132324205</v>
      </c>
      <c r="P544" t="s">
        <v>153</v>
      </c>
      <c r="Q544" t="s">
        <v>154</v>
      </c>
      <c r="R544" t="s">
        <v>174</v>
      </c>
      <c r="S544" t="s">
        <v>226</v>
      </c>
      <c r="T544" t="s">
        <v>176</v>
      </c>
      <c r="U544" t="s">
        <v>976</v>
      </c>
      <c r="V544" t="s">
        <v>160</v>
      </c>
      <c r="W544" t="s">
        <v>160</v>
      </c>
      <c r="X544" t="s">
        <v>159</v>
      </c>
      <c r="Y544" t="s">
        <v>159</v>
      </c>
      <c r="Z544" t="s">
        <v>160</v>
      </c>
      <c r="AA544" t="s">
        <v>159</v>
      </c>
      <c r="AB544" t="s">
        <v>159</v>
      </c>
      <c r="AC544" t="s">
        <v>159</v>
      </c>
      <c r="AD544" t="s">
        <v>159</v>
      </c>
      <c r="AE544" t="s">
        <v>159</v>
      </c>
      <c r="AF544" t="s">
        <v>159</v>
      </c>
      <c r="AG544" t="s">
        <v>160</v>
      </c>
      <c r="AH544">
        <v>1</v>
      </c>
      <c r="AI544" t="s">
        <v>160</v>
      </c>
      <c r="AJ544" t="s">
        <v>163</v>
      </c>
      <c r="AK544" t="s">
        <v>162</v>
      </c>
      <c r="AL544" t="s">
        <v>163</v>
      </c>
      <c r="AM544" t="s">
        <v>192</v>
      </c>
      <c r="AN544" t="s">
        <v>162</v>
      </c>
      <c r="AO544" t="s">
        <v>179</v>
      </c>
      <c r="AP544" t="s">
        <v>179</v>
      </c>
      <c r="AQ544">
        <v>1997</v>
      </c>
      <c r="AR544" t="s">
        <v>160</v>
      </c>
      <c r="AS544" t="s">
        <v>159</v>
      </c>
      <c r="AT544" t="s">
        <v>180</v>
      </c>
      <c r="AU544" t="s">
        <v>159</v>
      </c>
      <c r="AV544" t="s">
        <v>159</v>
      </c>
      <c r="AW544" t="s">
        <v>159</v>
      </c>
      <c r="AX544" t="s">
        <v>159</v>
      </c>
      <c r="AY544" t="s">
        <v>159</v>
      </c>
      <c r="AZ544" t="s">
        <v>159</v>
      </c>
      <c r="BA544" t="s">
        <v>159</v>
      </c>
      <c r="BB544" t="s">
        <v>167</v>
      </c>
      <c r="BC544" t="s">
        <v>159</v>
      </c>
      <c r="BD544" t="s">
        <v>193</v>
      </c>
      <c r="BE544" t="s">
        <v>2318</v>
      </c>
      <c r="BF544" t="s">
        <v>159</v>
      </c>
    </row>
    <row r="545" spans="1:59" ht="13" x14ac:dyDescent="0.15">
      <c r="A545" s="4">
        <v>44286.90084490741</v>
      </c>
      <c r="B545" s="4">
        <v>44286.903402777774</v>
      </c>
      <c r="C545" t="s">
        <v>39</v>
      </c>
      <c r="D545" t="s">
        <v>2319</v>
      </c>
      <c r="E545">
        <v>100</v>
      </c>
      <c r="F545">
        <v>221</v>
      </c>
      <c r="G545" t="b">
        <v>1</v>
      </c>
      <c r="H545" s="4">
        <v>44286.903414351851</v>
      </c>
      <c r="I545" t="s">
        <v>2320</v>
      </c>
      <c r="N545">
        <v>29.9609985351562</v>
      </c>
      <c r="O545">
        <v>-95.494697570800696</v>
      </c>
      <c r="P545" t="s">
        <v>153</v>
      </c>
      <c r="Q545" t="s">
        <v>154</v>
      </c>
      <c r="R545" t="s">
        <v>174</v>
      </c>
      <c r="S545" t="s">
        <v>274</v>
      </c>
      <c r="T545" t="s">
        <v>263</v>
      </c>
      <c r="U545" t="s">
        <v>2321</v>
      </c>
      <c r="V545" t="s">
        <v>159</v>
      </c>
      <c r="W545" t="s">
        <v>159</v>
      </c>
      <c r="X545" t="s">
        <v>159</v>
      </c>
      <c r="Y545" t="s">
        <v>159</v>
      </c>
      <c r="Z545" t="s">
        <v>159</v>
      </c>
      <c r="AA545" t="s">
        <v>160</v>
      </c>
      <c r="AB545" t="s">
        <v>160</v>
      </c>
      <c r="AC545" t="s">
        <v>160</v>
      </c>
      <c r="AD545" t="s">
        <v>160</v>
      </c>
      <c r="AE545" t="s">
        <v>159</v>
      </c>
      <c r="AF545" t="s">
        <v>160</v>
      </c>
      <c r="AG545" t="s">
        <v>159</v>
      </c>
      <c r="AH545">
        <v>2</v>
      </c>
      <c r="AI545" t="s">
        <v>159</v>
      </c>
      <c r="AJ545" t="s">
        <v>192</v>
      </c>
      <c r="AK545" t="s">
        <v>163</v>
      </c>
      <c r="AL545" t="s">
        <v>164</v>
      </c>
      <c r="AM545" t="s">
        <v>163</v>
      </c>
      <c r="AN545" t="s">
        <v>192</v>
      </c>
      <c r="AO545" t="s">
        <v>165</v>
      </c>
      <c r="AP545" t="s">
        <v>165</v>
      </c>
      <c r="AQ545">
        <v>1991</v>
      </c>
      <c r="AR545" t="s">
        <v>160</v>
      </c>
      <c r="AS545" t="s">
        <v>159</v>
      </c>
      <c r="AT545" t="s">
        <v>180</v>
      </c>
      <c r="AU545" t="s">
        <v>160</v>
      </c>
      <c r="AV545" t="s">
        <v>160</v>
      </c>
      <c r="AW545" t="s">
        <v>159</v>
      </c>
      <c r="AX545" t="s">
        <v>160</v>
      </c>
      <c r="AY545" t="s">
        <v>159</v>
      </c>
      <c r="AZ545" t="s">
        <v>160</v>
      </c>
      <c r="BA545" t="s">
        <v>159</v>
      </c>
      <c r="BB545" t="s">
        <v>241</v>
      </c>
      <c r="BC545" t="s">
        <v>159</v>
      </c>
      <c r="BE545" t="s">
        <v>2322</v>
      </c>
      <c r="BF545" t="s">
        <v>159</v>
      </c>
    </row>
    <row r="546" spans="1:59" ht="13" x14ac:dyDescent="0.15">
      <c r="A546" s="4">
        <v>44286.909004629626</v>
      </c>
      <c r="B546" s="4">
        <v>44286.914085648146</v>
      </c>
      <c r="C546" t="s">
        <v>39</v>
      </c>
      <c r="D546" t="s">
        <v>2323</v>
      </c>
      <c r="E546">
        <v>100</v>
      </c>
      <c r="F546">
        <v>439</v>
      </c>
      <c r="G546" t="b">
        <v>1</v>
      </c>
      <c r="H546" s="4">
        <v>44286.914097222223</v>
      </c>
      <c r="I546" t="s">
        <v>2324</v>
      </c>
      <c r="N546">
        <v>33.967498779296797</v>
      </c>
      <c r="O546">
        <v>-118.14640045166</v>
      </c>
      <c r="P546" t="s">
        <v>153</v>
      </c>
      <c r="Q546" t="s">
        <v>154</v>
      </c>
      <c r="R546" t="s">
        <v>174</v>
      </c>
      <c r="S546" t="s">
        <v>274</v>
      </c>
      <c r="T546" t="s">
        <v>263</v>
      </c>
      <c r="U546" t="s">
        <v>463</v>
      </c>
      <c r="V546" t="s">
        <v>160</v>
      </c>
      <c r="W546" t="s">
        <v>160</v>
      </c>
      <c r="X546" t="s">
        <v>159</v>
      </c>
      <c r="Y546" t="s">
        <v>160</v>
      </c>
      <c r="Z546" t="s">
        <v>160</v>
      </c>
      <c r="AA546" t="s">
        <v>159</v>
      </c>
      <c r="AB546" t="s">
        <v>159</v>
      </c>
      <c r="AC546" t="s">
        <v>159</v>
      </c>
      <c r="AD546" t="s">
        <v>160</v>
      </c>
      <c r="AE546" t="s">
        <v>159</v>
      </c>
      <c r="AF546" t="s">
        <v>159</v>
      </c>
      <c r="AG546" t="s">
        <v>159</v>
      </c>
      <c r="AH546">
        <v>0</v>
      </c>
      <c r="AI546" t="s">
        <v>160</v>
      </c>
      <c r="AJ546" t="s">
        <v>164</v>
      </c>
      <c r="AK546" t="s">
        <v>192</v>
      </c>
      <c r="AL546" t="s">
        <v>164</v>
      </c>
      <c r="AM546" t="s">
        <v>163</v>
      </c>
      <c r="AN546" t="s">
        <v>192</v>
      </c>
      <c r="AO546" t="s">
        <v>179</v>
      </c>
      <c r="AP546" t="s">
        <v>179</v>
      </c>
      <c r="AQ546">
        <v>2000</v>
      </c>
      <c r="AR546" t="s">
        <v>160</v>
      </c>
      <c r="AS546" t="s">
        <v>159</v>
      </c>
      <c r="AT546" t="s">
        <v>180</v>
      </c>
      <c r="AU546" t="s">
        <v>159</v>
      </c>
      <c r="AV546" t="s">
        <v>159</v>
      </c>
      <c r="AW546" t="s">
        <v>159</v>
      </c>
      <c r="AX546" t="s">
        <v>159</v>
      </c>
      <c r="AY546" t="s">
        <v>159</v>
      </c>
      <c r="AZ546" t="s">
        <v>159</v>
      </c>
      <c r="BA546" t="s">
        <v>159</v>
      </c>
      <c r="BB546" t="s">
        <v>167</v>
      </c>
      <c r="BC546" t="s">
        <v>159</v>
      </c>
      <c r="BD546" t="s">
        <v>182</v>
      </c>
      <c r="BE546" t="s">
        <v>2325</v>
      </c>
      <c r="BF546" t="s">
        <v>159</v>
      </c>
    </row>
    <row r="547" spans="1:59" ht="13" x14ac:dyDescent="0.15">
      <c r="A547" s="4">
        <v>44286.909444444442</v>
      </c>
      <c r="B547" s="4">
        <v>44286.915567129632</v>
      </c>
      <c r="C547" t="s">
        <v>39</v>
      </c>
      <c r="D547" t="s">
        <v>2326</v>
      </c>
      <c r="E547">
        <v>100</v>
      </c>
      <c r="F547">
        <v>529</v>
      </c>
      <c r="G547" t="b">
        <v>1</v>
      </c>
      <c r="H547" s="4">
        <v>44286.915567129632</v>
      </c>
      <c r="I547" t="s">
        <v>2327</v>
      </c>
      <c r="N547">
        <v>37.770294189453097</v>
      </c>
      <c r="O547">
        <v>-122.440704345703</v>
      </c>
      <c r="P547" t="s">
        <v>153</v>
      </c>
      <c r="Q547" t="s">
        <v>154</v>
      </c>
      <c r="R547" t="s">
        <v>174</v>
      </c>
      <c r="S547" t="s">
        <v>208</v>
      </c>
      <c r="T547" t="s">
        <v>237</v>
      </c>
      <c r="U547" t="s">
        <v>1606</v>
      </c>
      <c r="V547" t="s">
        <v>160</v>
      </c>
      <c r="W547" t="s">
        <v>159</v>
      </c>
      <c r="X547" t="s">
        <v>159</v>
      </c>
      <c r="Y547" t="s">
        <v>159</v>
      </c>
      <c r="Z547" t="s">
        <v>159</v>
      </c>
      <c r="AA547" t="s">
        <v>159</v>
      </c>
      <c r="AB547" t="s">
        <v>159</v>
      </c>
      <c r="AC547" t="s">
        <v>160</v>
      </c>
      <c r="AD547" t="s">
        <v>159</v>
      </c>
      <c r="AE547" t="s">
        <v>159</v>
      </c>
      <c r="AF547" t="s">
        <v>159</v>
      </c>
      <c r="AG547" t="s">
        <v>159</v>
      </c>
      <c r="AH547">
        <v>0</v>
      </c>
      <c r="AI547" t="s">
        <v>160</v>
      </c>
      <c r="AJ547" t="s">
        <v>163</v>
      </c>
      <c r="AK547" t="s">
        <v>164</v>
      </c>
      <c r="AL547" t="s">
        <v>192</v>
      </c>
      <c r="AM547" t="s">
        <v>192</v>
      </c>
      <c r="AN547" t="s">
        <v>164</v>
      </c>
      <c r="AO547" t="s">
        <v>179</v>
      </c>
      <c r="AP547" t="s">
        <v>179</v>
      </c>
      <c r="AQ547">
        <v>1999</v>
      </c>
      <c r="AR547" t="s">
        <v>160</v>
      </c>
      <c r="AS547" t="s">
        <v>159</v>
      </c>
      <c r="AT547" t="s">
        <v>180</v>
      </c>
      <c r="AU547" t="s">
        <v>159</v>
      </c>
      <c r="AV547" t="s">
        <v>159</v>
      </c>
      <c r="AW547" t="s">
        <v>159</v>
      </c>
      <c r="AX547" t="s">
        <v>159</v>
      </c>
      <c r="AY547" t="s">
        <v>159</v>
      </c>
      <c r="AZ547" t="s">
        <v>159</v>
      </c>
      <c r="BA547" t="s">
        <v>159</v>
      </c>
      <c r="BB547" t="s">
        <v>167</v>
      </c>
      <c r="BC547" t="s">
        <v>159</v>
      </c>
      <c r="BD547" t="s">
        <v>2328</v>
      </c>
      <c r="BE547" t="s">
        <v>2329</v>
      </c>
      <c r="BF547" t="s">
        <v>159</v>
      </c>
    </row>
    <row r="548" spans="1:59" s="7" customFormat="1" ht="13" x14ac:dyDescent="0.15">
      <c r="A548" s="6">
        <v>44286.909259259257</v>
      </c>
      <c r="B548" s="6">
        <v>44286.916087962964</v>
      </c>
      <c r="C548" s="7" t="s">
        <v>39</v>
      </c>
      <c r="D548" s="7" t="s">
        <v>2330</v>
      </c>
      <c r="E548" s="7">
        <v>100</v>
      </c>
      <c r="F548" s="7">
        <v>590</v>
      </c>
      <c r="G548" s="7" t="b">
        <v>1</v>
      </c>
      <c r="H548" s="6">
        <v>44286.91609953704</v>
      </c>
      <c r="I548" s="7" t="s">
        <v>2331</v>
      </c>
      <c r="N548" s="7">
        <v>33.9776000976562</v>
      </c>
      <c r="O548" s="7">
        <v>-117.737503051757</v>
      </c>
      <c r="P548" s="7" t="s">
        <v>153</v>
      </c>
      <c r="Q548" s="7" t="s">
        <v>154</v>
      </c>
      <c r="R548" s="7" t="s">
        <v>174</v>
      </c>
      <c r="S548" s="7" t="s">
        <v>226</v>
      </c>
      <c r="T548" s="7" t="s">
        <v>176</v>
      </c>
      <c r="U548" s="7" t="s">
        <v>868</v>
      </c>
      <c r="V548" s="7" t="s">
        <v>160</v>
      </c>
      <c r="W548" s="7" t="s">
        <v>159</v>
      </c>
      <c r="X548" s="7" t="s">
        <v>160</v>
      </c>
      <c r="Y548" s="7" t="s">
        <v>159</v>
      </c>
      <c r="Z548" s="7" t="s">
        <v>159</v>
      </c>
      <c r="AA548" s="7" t="s">
        <v>160</v>
      </c>
      <c r="AB548" s="7" t="s">
        <v>159</v>
      </c>
      <c r="AC548" s="7" t="s">
        <v>159</v>
      </c>
      <c r="AD548" s="7" t="s">
        <v>159</v>
      </c>
      <c r="AE548" s="7" t="s">
        <v>160</v>
      </c>
      <c r="AF548" s="7" t="s">
        <v>160</v>
      </c>
      <c r="AG548" s="7" t="s">
        <v>160</v>
      </c>
      <c r="AH548" s="7">
        <v>2</v>
      </c>
      <c r="AI548" s="7" t="s">
        <v>160</v>
      </c>
      <c r="AJ548" s="7" t="s">
        <v>198</v>
      </c>
      <c r="AK548" s="7" t="s">
        <v>163</v>
      </c>
      <c r="AL548" s="7" t="s">
        <v>192</v>
      </c>
      <c r="AM548" s="7" t="s">
        <v>162</v>
      </c>
      <c r="AN548" s="7" t="s">
        <v>163</v>
      </c>
      <c r="AO548" s="7" t="s">
        <v>179</v>
      </c>
      <c r="AP548" s="7" t="s">
        <v>179</v>
      </c>
      <c r="AQ548" s="7">
        <v>2001</v>
      </c>
      <c r="AR548" s="7" t="s">
        <v>160</v>
      </c>
      <c r="AS548" s="7" t="s">
        <v>159</v>
      </c>
      <c r="AT548" s="7" t="s">
        <v>180</v>
      </c>
      <c r="AU548" s="7" t="s">
        <v>159</v>
      </c>
      <c r="AV548" s="7" t="s">
        <v>159</v>
      </c>
      <c r="AW548" s="7" t="s">
        <v>159</v>
      </c>
      <c r="AX548" s="7" t="s">
        <v>159</v>
      </c>
      <c r="AY548" s="7" t="s">
        <v>159</v>
      </c>
      <c r="AZ548" s="7" t="s">
        <v>159</v>
      </c>
      <c r="BA548" s="7" t="s">
        <v>159</v>
      </c>
      <c r="BB548" s="7" t="s">
        <v>167</v>
      </c>
      <c r="BC548" s="7" t="s">
        <v>159</v>
      </c>
      <c r="BD548" s="7" t="s">
        <v>2332</v>
      </c>
      <c r="BE548" s="7" t="s">
        <v>2333</v>
      </c>
      <c r="BF548" s="7" t="s">
        <v>159</v>
      </c>
    </row>
    <row r="549" spans="1:59" ht="13" x14ac:dyDescent="0.15">
      <c r="A549" s="4">
        <v>44286.90929398148</v>
      </c>
      <c r="B549" s="4">
        <v>44286.916585648149</v>
      </c>
      <c r="C549" t="s">
        <v>39</v>
      </c>
      <c r="D549" t="s">
        <v>2334</v>
      </c>
      <c r="E549">
        <v>100</v>
      </c>
      <c r="F549">
        <v>630</v>
      </c>
      <c r="G549" t="b">
        <v>1</v>
      </c>
      <c r="H549" s="4">
        <v>44286.916585648149</v>
      </c>
      <c r="I549" t="s">
        <v>2335</v>
      </c>
      <c r="N549">
        <v>40.698104858398402</v>
      </c>
      <c r="O549">
        <v>-111.99990081787099</v>
      </c>
      <c r="P549" t="s">
        <v>153</v>
      </c>
      <c r="Q549" t="s">
        <v>154</v>
      </c>
      <c r="R549" t="s">
        <v>174</v>
      </c>
      <c r="S549" t="s">
        <v>274</v>
      </c>
      <c r="T549" t="s">
        <v>176</v>
      </c>
      <c r="U549" t="s">
        <v>2336</v>
      </c>
      <c r="W549" t="s">
        <v>159</v>
      </c>
      <c r="X549" t="s">
        <v>160</v>
      </c>
      <c r="Y549" t="s">
        <v>160</v>
      </c>
      <c r="Z549" t="s">
        <v>159</v>
      </c>
      <c r="AA549" t="s">
        <v>160</v>
      </c>
      <c r="AB549" t="s">
        <v>159</v>
      </c>
      <c r="AC549" t="s">
        <v>159</v>
      </c>
      <c r="AD549" t="s">
        <v>159</v>
      </c>
      <c r="AE549" t="s">
        <v>159</v>
      </c>
      <c r="AF549" t="s">
        <v>159</v>
      </c>
      <c r="AG549" t="s">
        <v>159</v>
      </c>
      <c r="AH549">
        <v>0</v>
      </c>
      <c r="AI549" t="s">
        <v>160</v>
      </c>
      <c r="AJ549" t="s">
        <v>192</v>
      </c>
      <c r="AK549" t="s">
        <v>164</v>
      </c>
      <c r="AL549" t="s">
        <v>163</v>
      </c>
      <c r="AM549" t="s">
        <v>192</v>
      </c>
      <c r="AN549" t="s">
        <v>192</v>
      </c>
      <c r="AO549" t="s">
        <v>179</v>
      </c>
      <c r="AP549" t="s">
        <v>179</v>
      </c>
      <c r="AQ549">
        <v>2000</v>
      </c>
      <c r="AR549" t="s">
        <v>160</v>
      </c>
      <c r="AS549" t="s">
        <v>159</v>
      </c>
      <c r="AT549" t="s">
        <v>180</v>
      </c>
      <c r="AU549" t="s">
        <v>159</v>
      </c>
      <c r="AV549" t="s">
        <v>159</v>
      </c>
      <c r="AW549" t="s">
        <v>159</v>
      </c>
      <c r="AX549" t="s">
        <v>159</v>
      </c>
      <c r="AY549" t="s">
        <v>159</v>
      </c>
      <c r="AZ549" t="s">
        <v>159</v>
      </c>
      <c r="BA549" t="s">
        <v>159</v>
      </c>
      <c r="BB549" t="s">
        <v>167</v>
      </c>
      <c r="BC549" t="s">
        <v>159</v>
      </c>
      <c r="BD549" t="s">
        <v>193</v>
      </c>
      <c r="BE549" t="s">
        <v>2337</v>
      </c>
      <c r="BF549" t="s">
        <v>159</v>
      </c>
    </row>
    <row r="550" spans="1:59" ht="13" x14ac:dyDescent="0.15">
      <c r="A550" s="4">
        <v>44286.920486111114</v>
      </c>
      <c r="B550" s="4">
        <v>44286.926874999997</v>
      </c>
      <c r="C550" t="s">
        <v>39</v>
      </c>
      <c r="D550" t="s">
        <v>2338</v>
      </c>
      <c r="E550">
        <v>100</v>
      </c>
      <c r="F550">
        <v>551</v>
      </c>
      <c r="G550" t="b">
        <v>1</v>
      </c>
      <c r="H550" s="4">
        <v>44286.926886574074</v>
      </c>
      <c r="I550" t="s">
        <v>2339</v>
      </c>
      <c r="N550">
        <v>33.210906982421797</v>
      </c>
      <c r="O550">
        <v>-117.22320556640599</v>
      </c>
      <c r="P550" t="s">
        <v>153</v>
      </c>
      <c r="Q550" t="s">
        <v>154</v>
      </c>
      <c r="R550" t="s">
        <v>174</v>
      </c>
      <c r="S550" t="s">
        <v>226</v>
      </c>
      <c r="T550" t="s">
        <v>176</v>
      </c>
      <c r="U550" t="s">
        <v>2340</v>
      </c>
      <c r="V550" t="s">
        <v>159</v>
      </c>
      <c r="W550" t="s">
        <v>159</v>
      </c>
      <c r="X550" t="s">
        <v>159</v>
      </c>
      <c r="Y550" t="s">
        <v>159</v>
      </c>
      <c r="Z550" t="s">
        <v>159</v>
      </c>
      <c r="AA550" t="s">
        <v>159</v>
      </c>
      <c r="AB550" t="s">
        <v>159</v>
      </c>
      <c r="AC550" t="s">
        <v>160</v>
      </c>
      <c r="AD550" t="s">
        <v>159</v>
      </c>
      <c r="AE550" t="s">
        <v>159</v>
      </c>
      <c r="AF550" t="s">
        <v>159</v>
      </c>
      <c r="AG550" t="s">
        <v>160</v>
      </c>
      <c r="AH550">
        <v>1</v>
      </c>
      <c r="AI550" t="s">
        <v>160</v>
      </c>
      <c r="AJ550" t="s">
        <v>163</v>
      </c>
      <c r="AK550" t="s">
        <v>163</v>
      </c>
      <c r="AL550" t="s">
        <v>163</v>
      </c>
      <c r="AM550" t="s">
        <v>163</v>
      </c>
      <c r="AN550" t="s">
        <v>164</v>
      </c>
      <c r="AO550" t="s">
        <v>179</v>
      </c>
      <c r="AP550" t="s">
        <v>179</v>
      </c>
      <c r="AQ550">
        <v>2000</v>
      </c>
      <c r="AR550" t="s">
        <v>160</v>
      </c>
      <c r="AS550" t="s">
        <v>159</v>
      </c>
      <c r="AT550" t="s">
        <v>210</v>
      </c>
      <c r="AU550" t="s">
        <v>159</v>
      </c>
      <c r="AV550" t="s">
        <v>159</v>
      </c>
      <c r="AW550" t="s">
        <v>159</v>
      </c>
      <c r="AX550" t="s">
        <v>159</v>
      </c>
      <c r="AY550" t="s">
        <v>159</v>
      </c>
      <c r="AZ550" t="s">
        <v>159</v>
      </c>
      <c r="BA550" t="s">
        <v>159</v>
      </c>
      <c r="BB550" t="s">
        <v>181</v>
      </c>
      <c r="BC550" t="s">
        <v>159</v>
      </c>
      <c r="BD550" t="s">
        <v>193</v>
      </c>
      <c r="BE550" t="s">
        <v>2341</v>
      </c>
      <c r="BF550" t="s">
        <v>160</v>
      </c>
      <c r="BG550" t="s">
        <v>2341</v>
      </c>
    </row>
    <row r="551" spans="1:59" ht="13" x14ac:dyDescent="0.15">
      <c r="A551" s="4">
        <v>44286.925428240742</v>
      </c>
      <c r="B551" s="4">
        <v>44286.93849537037</v>
      </c>
      <c r="C551" t="s">
        <v>39</v>
      </c>
      <c r="D551" t="s">
        <v>2342</v>
      </c>
      <c r="E551">
        <v>100</v>
      </c>
      <c r="F551">
        <v>1129</v>
      </c>
      <c r="G551" t="b">
        <v>1</v>
      </c>
      <c r="H551" s="4">
        <v>44286.938506944447</v>
      </c>
      <c r="I551" t="s">
        <v>2343</v>
      </c>
      <c r="N551">
        <v>38.610595703125</v>
      </c>
      <c r="O551">
        <v>-121.27890014648401</v>
      </c>
      <c r="P551" t="s">
        <v>153</v>
      </c>
      <c r="Q551" t="s">
        <v>154</v>
      </c>
      <c r="R551" t="s">
        <v>174</v>
      </c>
      <c r="S551" t="s">
        <v>274</v>
      </c>
      <c r="T551" t="s">
        <v>176</v>
      </c>
      <c r="U551" t="s">
        <v>2344</v>
      </c>
      <c r="V551" t="s">
        <v>160</v>
      </c>
      <c r="W551" t="s">
        <v>160</v>
      </c>
      <c r="X551" t="s">
        <v>160</v>
      </c>
      <c r="Y551" t="s">
        <v>160</v>
      </c>
      <c r="Z551" t="s">
        <v>160</v>
      </c>
      <c r="AA551" t="s">
        <v>159</v>
      </c>
      <c r="AB551" t="s">
        <v>160</v>
      </c>
      <c r="AC551" t="s">
        <v>160</v>
      </c>
      <c r="AD551" t="s">
        <v>159</v>
      </c>
      <c r="AE551" t="s">
        <v>160</v>
      </c>
      <c r="AF551" t="s">
        <v>160</v>
      </c>
      <c r="AG551" t="s">
        <v>160</v>
      </c>
      <c r="AH551">
        <v>5</v>
      </c>
      <c r="AI551" t="s">
        <v>160</v>
      </c>
      <c r="AJ551" t="s">
        <v>192</v>
      </c>
      <c r="AK551" t="s">
        <v>163</v>
      </c>
      <c r="AL551" t="s">
        <v>163</v>
      </c>
      <c r="AM551" t="s">
        <v>163</v>
      </c>
      <c r="AN551" t="s">
        <v>192</v>
      </c>
      <c r="AO551" t="s">
        <v>179</v>
      </c>
      <c r="AP551" t="s">
        <v>179</v>
      </c>
      <c r="AQ551">
        <v>1990</v>
      </c>
      <c r="AR551" t="s">
        <v>160</v>
      </c>
      <c r="AS551" t="s">
        <v>159</v>
      </c>
      <c r="AT551" t="s">
        <v>312</v>
      </c>
      <c r="AU551" t="s">
        <v>159</v>
      </c>
      <c r="AV551" t="s">
        <v>160</v>
      </c>
      <c r="AW551" t="s">
        <v>159</v>
      </c>
      <c r="AX551" t="s">
        <v>159</v>
      </c>
      <c r="AY551" t="s">
        <v>160</v>
      </c>
      <c r="AZ551" t="s">
        <v>160</v>
      </c>
      <c r="BA551" t="s">
        <v>159</v>
      </c>
      <c r="BB551" t="s">
        <v>222</v>
      </c>
      <c r="BC551" t="s">
        <v>159</v>
      </c>
      <c r="BD551" t="s">
        <v>2345</v>
      </c>
      <c r="BE551" t="s">
        <v>2346</v>
      </c>
      <c r="BF551" t="s">
        <v>160</v>
      </c>
      <c r="BG551" t="s">
        <v>2346</v>
      </c>
    </row>
    <row r="552" spans="1:59" ht="13" x14ac:dyDescent="0.15">
      <c r="A552" s="4">
        <v>44286.941087962965</v>
      </c>
      <c r="B552" s="4">
        <v>44286.945740740739</v>
      </c>
      <c r="C552" t="s">
        <v>39</v>
      </c>
      <c r="D552" t="s">
        <v>2347</v>
      </c>
      <c r="E552">
        <v>100</v>
      </c>
      <c r="F552">
        <v>402</v>
      </c>
      <c r="G552" t="b">
        <v>1</v>
      </c>
      <c r="H552" s="4">
        <v>44286.945740740739</v>
      </c>
      <c r="I552" t="s">
        <v>2348</v>
      </c>
      <c r="N552">
        <v>33.2398071289062</v>
      </c>
      <c r="O552">
        <v>-117.383102416992</v>
      </c>
      <c r="P552" t="s">
        <v>153</v>
      </c>
      <c r="Q552" t="s">
        <v>154</v>
      </c>
      <c r="R552" t="s">
        <v>155</v>
      </c>
      <c r="S552" t="s">
        <v>274</v>
      </c>
      <c r="T552" t="s">
        <v>263</v>
      </c>
      <c r="U552" t="s">
        <v>418</v>
      </c>
      <c r="V552" t="s">
        <v>160</v>
      </c>
      <c r="W552" t="s">
        <v>160</v>
      </c>
      <c r="X552" t="s">
        <v>159</v>
      </c>
      <c r="Y552" t="s">
        <v>160</v>
      </c>
      <c r="Z552" t="s">
        <v>160</v>
      </c>
      <c r="AA552" t="s">
        <v>160</v>
      </c>
      <c r="AB552" t="s">
        <v>160</v>
      </c>
      <c r="AC552" t="s">
        <v>159</v>
      </c>
      <c r="AD552" t="s">
        <v>159</v>
      </c>
      <c r="AE552" t="s">
        <v>159</v>
      </c>
      <c r="AF552" t="s">
        <v>160</v>
      </c>
      <c r="AG552" t="s">
        <v>160</v>
      </c>
      <c r="AH552">
        <v>4</v>
      </c>
      <c r="AI552" t="s">
        <v>159</v>
      </c>
      <c r="AJ552" t="s">
        <v>192</v>
      </c>
      <c r="AK552" t="s">
        <v>192</v>
      </c>
      <c r="AL552" t="s">
        <v>192</v>
      </c>
      <c r="AM552" t="s">
        <v>192</v>
      </c>
      <c r="AN552" t="s">
        <v>192</v>
      </c>
      <c r="AO552" t="s">
        <v>179</v>
      </c>
      <c r="AP552" t="s">
        <v>179</v>
      </c>
      <c r="AQ552">
        <v>1989</v>
      </c>
      <c r="AR552" t="s">
        <v>160</v>
      </c>
      <c r="AS552" t="s">
        <v>159</v>
      </c>
      <c r="AT552" t="s">
        <v>203</v>
      </c>
      <c r="AY552" t="s">
        <v>160</v>
      </c>
      <c r="BB552" t="s">
        <v>241</v>
      </c>
      <c r="BC552" t="s">
        <v>159</v>
      </c>
      <c r="BE552" t="s">
        <v>2349</v>
      </c>
      <c r="BF552" t="s">
        <v>159</v>
      </c>
    </row>
    <row r="553" spans="1:59" ht="13" x14ac:dyDescent="0.15">
      <c r="A553" s="4">
        <v>44286.982465277775</v>
      </c>
      <c r="B553" s="4">
        <v>44286.985115740739</v>
      </c>
      <c r="C553" t="s">
        <v>39</v>
      </c>
      <c r="D553" t="s">
        <v>2350</v>
      </c>
      <c r="E553">
        <v>100</v>
      </c>
      <c r="F553">
        <v>229</v>
      </c>
      <c r="G553" t="b">
        <v>1</v>
      </c>
      <c r="H553" s="4">
        <v>44286.985127314816</v>
      </c>
      <c r="I553" t="s">
        <v>2351</v>
      </c>
      <c r="N553">
        <v>30.6293029785156</v>
      </c>
      <c r="O553">
        <v>-97.668701171875</v>
      </c>
      <c r="P553" t="s">
        <v>153</v>
      </c>
      <c r="Q553" t="s">
        <v>154</v>
      </c>
      <c r="R553" t="s">
        <v>174</v>
      </c>
      <c r="S553" t="s">
        <v>208</v>
      </c>
      <c r="T553" t="s">
        <v>263</v>
      </c>
      <c r="U553" t="s">
        <v>340</v>
      </c>
      <c r="V553" t="s">
        <v>160</v>
      </c>
      <c r="W553" t="s">
        <v>160</v>
      </c>
      <c r="X553" t="s">
        <v>160</v>
      </c>
      <c r="Y553" t="s">
        <v>159</v>
      </c>
      <c r="Z553" t="s">
        <v>160</v>
      </c>
      <c r="AA553" t="s">
        <v>160</v>
      </c>
      <c r="AB553" t="s">
        <v>160</v>
      </c>
      <c r="AC553" t="s">
        <v>159</v>
      </c>
      <c r="AD553" t="s">
        <v>160</v>
      </c>
      <c r="AE553" t="s">
        <v>159</v>
      </c>
      <c r="AF553" t="s">
        <v>160</v>
      </c>
      <c r="AG553" t="s">
        <v>160</v>
      </c>
      <c r="AH553">
        <v>0</v>
      </c>
      <c r="AI553" t="s">
        <v>159</v>
      </c>
      <c r="AJ553" t="s">
        <v>192</v>
      </c>
      <c r="AK553" t="s">
        <v>198</v>
      </c>
      <c r="AL553" t="s">
        <v>164</v>
      </c>
      <c r="AM553" t="s">
        <v>163</v>
      </c>
      <c r="AN553" t="s">
        <v>192</v>
      </c>
      <c r="AO553" t="s">
        <v>179</v>
      </c>
      <c r="AP553" t="s">
        <v>179</v>
      </c>
      <c r="AQ553">
        <v>1985</v>
      </c>
      <c r="AR553" t="s">
        <v>160</v>
      </c>
      <c r="AS553" t="s">
        <v>159</v>
      </c>
      <c r="AT553" t="s">
        <v>180</v>
      </c>
      <c r="AU553" t="s">
        <v>160</v>
      </c>
      <c r="AV553" t="s">
        <v>159</v>
      </c>
      <c r="AW553" t="s">
        <v>159</v>
      </c>
      <c r="AX553" t="s">
        <v>159</v>
      </c>
      <c r="AY553" t="s">
        <v>159</v>
      </c>
      <c r="AZ553" t="s">
        <v>159</v>
      </c>
      <c r="BA553" t="s">
        <v>159</v>
      </c>
      <c r="BB553" t="s">
        <v>181</v>
      </c>
      <c r="BC553" t="s">
        <v>159</v>
      </c>
      <c r="BD553" t="s">
        <v>1082</v>
      </c>
      <c r="BE553" t="s">
        <v>901</v>
      </c>
      <c r="BF553" t="s">
        <v>159</v>
      </c>
    </row>
    <row r="554" spans="1:59" ht="13" x14ac:dyDescent="0.15">
      <c r="A554" s="4">
        <v>44286.986770833333</v>
      </c>
      <c r="B554" s="4">
        <v>44286.988611111112</v>
      </c>
      <c r="C554" t="s">
        <v>39</v>
      </c>
      <c r="D554" t="s">
        <v>2352</v>
      </c>
      <c r="E554">
        <v>100</v>
      </c>
      <c r="F554">
        <v>158</v>
      </c>
      <c r="G554" t="b">
        <v>1</v>
      </c>
      <c r="H554" s="4">
        <v>44286.988611111112</v>
      </c>
      <c r="I554" t="s">
        <v>2353</v>
      </c>
      <c r="N554">
        <v>35.858505249023402</v>
      </c>
      <c r="O554">
        <v>-84.120597839355398</v>
      </c>
      <c r="P554" t="s">
        <v>153</v>
      </c>
      <c r="Q554" t="s">
        <v>154</v>
      </c>
      <c r="R554" t="s">
        <v>155</v>
      </c>
      <c r="S554" t="s">
        <v>175</v>
      </c>
      <c r="T554" t="s">
        <v>176</v>
      </c>
      <c r="U554" t="s">
        <v>2354</v>
      </c>
      <c r="V554" t="s">
        <v>159</v>
      </c>
      <c r="W554" t="s">
        <v>159</v>
      </c>
      <c r="X554" t="s">
        <v>159</v>
      </c>
      <c r="Y554" t="s">
        <v>160</v>
      </c>
      <c r="Z554" t="s">
        <v>160</v>
      </c>
      <c r="AA554" t="s">
        <v>160</v>
      </c>
      <c r="AB554" t="s">
        <v>159</v>
      </c>
      <c r="AC554" t="s">
        <v>159</v>
      </c>
      <c r="AD554" t="s">
        <v>160</v>
      </c>
      <c r="AE554" t="s">
        <v>160</v>
      </c>
      <c r="AF554" t="s">
        <v>159</v>
      </c>
      <c r="AG554" t="s">
        <v>160</v>
      </c>
      <c r="AH554">
        <v>1</v>
      </c>
      <c r="AI554" t="s">
        <v>160</v>
      </c>
      <c r="AJ554" t="s">
        <v>164</v>
      </c>
      <c r="AK554" t="s">
        <v>198</v>
      </c>
      <c r="AL554" t="s">
        <v>192</v>
      </c>
      <c r="AM554" t="s">
        <v>163</v>
      </c>
      <c r="AN554" t="s">
        <v>192</v>
      </c>
      <c r="AO554" t="s">
        <v>165</v>
      </c>
      <c r="AP554" t="s">
        <v>165</v>
      </c>
      <c r="AQ554">
        <v>1992</v>
      </c>
      <c r="AR554" t="s">
        <v>160</v>
      </c>
      <c r="AS554" t="s">
        <v>159</v>
      </c>
      <c r="AT554" t="s">
        <v>180</v>
      </c>
      <c r="AU554" t="s">
        <v>159</v>
      </c>
      <c r="AV554" t="s">
        <v>159</v>
      </c>
      <c r="AW554" t="s">
        <v>159</v>
      </c>
      <c r="AX554" t="s">
        <v>159</v>
      </c>
      <c r="AY554" t="s">
        <v>159</v>
      </c>
      <c r="AZ554" t="s">
        <v>159</v>
      </c>
      <c r="BA554" t="s">
        <v>159</v>
      </c>
      <c r="BB554" t="s">
        <v>241</v>
      </c>
      <c r="BC554" t="s">
        <v>159</v>
      </c>
      <c r="BD554" t="s">
        <v>2355</v>
      </c>
      <c r="BE554" t="s">
        <v>920</v>
      </c>
      <c r="BF554" t="s">
        <v>159</v>
      </c>
    </row>
    <row r="555" spans="1:59" ht="13" x14ac:dyDescent="0.15">
      <c r="A555" s="4">
        <v>44286.989074074074</v>
      </c>
      <c r="B555" s="4">
        <v>44286.991030092591</v>
      </c>
      <c r="C555" t="s">
        <v>39</v>
      </c>
      <c r="D555" t="s">
        <v>2356</v>
      </c>
      <c r="E555">
        <v>100</v>
      </c>
      <c r="F555">
        <v>168</v>
      </c>
      <c r="G555" t="b">
        <v>1</v>
      </c>
      <c r="H555" s="4">
        <v>44286.991030092591</v>
      </c>
      <c r="I555" t="s">
        <v>2357</v>
      </c>
      <c r="N555">
        <v>37.437103271484297</v>
      </c>
      <c r="O555">
        <v>-121.89540100097599</v>
      </c>
      <c r="P555" t="s">
        <v>153</v>
      </c>
      <c r="Q555" t="s">
        <v>154</v>
      </c>
      <c r="R555" t="s">
        <v>174</v>
      </c>
      <c r="S555" t="s">
        <v>274</v>
      </c>
      <c r="T555" t="s">
        <v>263</v>
      </c>
      <c r="U555" t="s">
        <v>900</v>
      </c>
      <c r="V555" t="s">
        <v>160</v>
      </c>
      <c r="W555" t="s">
        <v>160</v>
      </c>
      <c r="X555" t="s">
        <v>160</v>
      </c>
      <c r="Y555" t="s">
        <v>160</v>
      </c>
      <c r="Z555" t="s">
        <v>160</v>
      </c>
      <c r="AA555" t="s">
        <v>159</v>
      </c>
      <c r="AB555" t="s">
        <v>160</v>
      </c>
      <c r="AC555" t="s">
        <v>159</v>
      </c>
      <c r="AD555" t="s">
        <v>160</v>
      </c>
      <c r="AE555" t="s">
        <v>160</v>
      </c>
      <c r="AF555" t="s">
        <v>159</v>
      </c>
      <c r="AG555" t="s">
        <v>160</v>
      </c>
      <c r="AH555">
        <v>2</v>
      </c>
      <c r="AI555" t="s">
        <v>160</v>
      </c>
      <c r="AJ555" t="s">
        <v>164</v>
      </c>
      <c r="AK555" t="s">
        <v>164</v>
      </c>
      <c r="AL555" t="s">
        <v>163</v>
      </c>
      <c r="AM555" t="s">
        <v>162</v>
      </c>
      <c r="AN555" t="s">
        <v>192</v>
      </c>
      <c r="AO555" t="s">
        <v>179</v>
      </c>
      <c r="AP555" t="s">
        <v>179</v>
      </c>
      <c r="AQ555">
        <v>1992</v>
      </c>
      <c r="AR555" t="s">
        <v>160</v>
      </c>
      <c r="AS555" t="s">
        <v>159</v>
      </c>
      <c r="AT555" t="s">
        <v>180</v>
      </c>
      <c r="AU555" t="s">
        <v>159</v>
      </c>
      <c r="AV555" t="s">
        <v>159</v>
      </c>
      <c r="AW555" t="s">
        <v>159</v>
      </c>
      <c r="AX555" t="s">
        <v>159</v>
      </c>
      <c r="AY555" t="s">
        <v>159</v>
      </c>
      <c r="AZ555" t="s">
        <v>159</v>
      </c>
      <c r="BA555" t="s">
        <v>159</v>
      </c>
      <c r="BB555" t="s">
        <v>241</v>
      </c>
      <c r="BC555" t="s">
        <v>159</v>
      </c>
      <c r="BD555" t="s">
        <v>2358</v>
      </c>
      <c r="BE555" t="s">
        <v>942</v>
      </c>
      <c r="BF555" t="s">
        <v>159</v>
      </c>
    </row>
    <row r="556" spans="1:59" ht="13" x14ac:dyDescent="0.15">
      <c r="A556" s="4">
        <v>44286.992291666669</v>
      </c>
      <c r="B556" s="4">
        <v>44286.993657407409</v>
      </c>
      <c r="C556" t="s">
        <v>39</v>
      </c>
      <c r="D556" t="s">
        <v>2359</v>
      </c>
      <c r="E556">
        <v>100</v>
      </c>
      <c r="F556">
        <v>117</v>
      </c>
      <c r="G556" t="b">
        <v>1</v>
      </c>
      <c r="H556" s="4">
        <v>44286.993657407409</v>
      </c>
      <c r="I556" t="s">
        <v>2360</v>
      </c>
      <c r="N556">
        <v>40.662704467773402</v>
      </c>
      <c r="O556">
        <v>-73.913803100585895</v>
      </c>
      <c r="P556" t="s">
        <v>153</v>
      </c>
      <c r="Q556" t="s">
        <v>154</v>
      </c>
      <c r="R556" t="s">
        <v>174</v>
      </c>
      <c r="S556" t="s">
        <v>274</v>
      </c>
      <c r="T556" t="s">
        <v>263</v>
      </c>
      <c r="U556" t="s">
        <v>251</v>
      </c>
      <c r="V556" t="s">
        <v>160</v>
      </c>
      <c r="W556" t="s">
        <v>160</v>
      </c>
      <c r="X556" t="s">
        <v>159</v>
      </c>
      <c r="Y556" t="s">
        <v>159</v>
      </c>
      <c r="Z556" t="s">
        <v>160</v>
      </c>
      <c r="AA556" t="s">
        <v>159</v>
      </c>
      <c r="AB556" t="s">
        <v>160</v>
      </c>
      <c r="AC556" t="s">
        <v>160</v>
      </c>
      <c r="AD556" t="s">
        <v>159</v>
      </c>
      <c r="AE556" t="s">
        <v>160</v>
      </c>
      <c r="AF556" t="s">
        <v>160</v>
      </c>
      <c r="AG556" t="s">
        <v>160</v>
      </c>
      <c r="AH556">
        <v>1</v>
      </c>
      <c r="AI556" t="s">
        <v>160</v>
      </c>
      <c r="AJ556" t="s">
        <v>192</v>
      </c>
      <c r="AK556" t="s">
        <v>164</v>
      </c>
      <c r="AL556" t="s">
        <v>198</v>
      </c>
      <c r="AM556" t="s">
        <v>192</v>
      </c>
      <c r="AN556" t="s">
        <v>163</v>
      </c>
      <c r="AO556" t="s">
        <v>179</v>
      </c>
      <c r="AP556" t="s">
        <v>179</v>
      </c>
      <c r="AQ556">
        <v>1988</v>
      </c>
      <c r="AR556" t="s">
        <v>160</v>
      </c>
      <c r="AS556" t="s">
        <v>159</v>
      </c>
      <c r="AT556" t="s">
        <v>180</v>
      </c>
      <c r="AU556" t="s">
        <v>160</v>
      </c>
      <c r="AV556" t="s">
        <v>159</v>
      </c>
      <c r="AW556" t="s">
        <v>159</v>
      </c>
      <c r="AX556" t="s">
        <v>159</v>
      </c>
      <c r="AY556" t="s">
        <v>159</v>
      </c>
      <c r="AZ556" t="s">
        <v>159</v>
      </c>
      <c r="BA556" t="s">
        <v>159</v>
      </c>
      <c r="BB556" t="s">
        <v>241</v>
      </c>
      <c r="BC556" t="s">
        <v>159</v>
      </c>
      <c r="BD556" t="s">
        <v>703</v>
      </c>
      <c r="BE556" t="s">
        <v>957</v>
      </c>
      <c r="BF556" t="s">
        <v>159</v>
      </c>
    </row>
    <row r="557" spans="1:59" ht="13" x14ac:dyDescent="0.15">
      <c r="A557" s="4">
        <v>44286.995671296296</v>
      </c>
      <c r="B557" s="4">
        <v>44286.996828703705</v>
      </c>
      <c r="C557" t="s">
        <v>39</v>
      </c>
      <c r="D557" t="s">
        <v>2361</v>
      </c>
      <c r="E557">
        <v>100</v>
      </c>
      <c r="F557">
        <v>99</v>
      </c>
      <c r="G557" t="b">
        <v>1</v>
      </c>
      <c r="H557" s="4">
        <v>44286.996840277781</v>
      </c>
      <c r="I557" t="s">
        <v>2362</v>
      </c>
      <c r="N557">
        <v>41.146194458007798</v>
      </c>
      <c r="O557">
        <v>-73.996597290039006</v>
      </c>
      <c r="P557" t="s">
        <v>153</v>
      </c>
      <c r="Q557" t="s">
        <v>154</v>
      </c>
      <c r="R557" t="s">
        <v>155</v>
      </c>
      <c r="S557" t="s">
        <v>274</v>
      </c>
      <c r="T557" t="s">
        <v>263</v>
      </c>
      <c r="U557" t="s">
        <v>2363</v>
      </c>
      <c r="V557" t="s">
        <v>160</v>
      </c>
      <c r="W557" t="s">
        <v>159</v>
      </c>
      <c r="X557" t="s">
        <v>159</v>
      </c>
      <c r="Y557" t="s">
        <v>159</v>
      </c>
      <c r="Z557" t="s">
        <v>160</v>
      </c>
      <c r="AA557" t="s">
        <v>160</v>
      </c>
      <c r="AB557" t="s">
        <v>159</v>
      </c>
      <c r="AC557" t="s">
        <v>160</v>
      </c>
      <c r="AD557" t="s">
        <v>160</v>
      </c>
      <c r="AE557" t="s">
        <v>159</v>
      </c>
      <c r="AF557" t="s">
        <v>160</v>
      </c>
      <c r="AG557" t="s">
        <v>159</v>
      </c>
      <c r="AH557">
        <v>2</v>
      </c>
      <c r="AI557" t="s">
        <v>159</v>
      </c>
      <c r="AJ557" t="s">
        <v>192</v>
      </c>
      <c r="AK557" t="s">
        <v>164</v>
      </c>
      <c r="AL557" t="s">
        <v>163</v>
      </c>
      <c r="AM557" t="s">
        <v>163</v>
      </c>
      <c r="AN557" t="s">
        <v>192</v>
      </c>
      <c r="AO557" t="s">
        <v>179</v>
      </c>
      <c r="AP557" t="s">
        <v>179</v>
      </c>
      <c r="AQ557">
        <v>1985</v>
      </c>
      <c r="AR557" t="s">
        <v>160</v>
      </c>
      <c r="AS557" t="s">
        <v>159</v>
      </c>
      <c r="AT557" t="s">
        <v>180</v>
      </c>
      <c r="AU557" t="s">
        <v>159</v>
      </c>
      <c r="AV557" t="s">
        <v>159</v>
      </c>
      <c r="AW557" t="s">
        <v>160</v>
      </c>
      <c r="AX557" t="s">
        <v>159</v>
      </c>
      <c r="AY557" t="s">
        <v>159</v>
      </c>
      <c r="AZ557" t="s">
        <v>159</v>
      </c>
      <c r="BA557" t="s">
        <v>159</v>
      </c>
      <c r="BB557" t="s">
        <v>222</v>
      </c>
      <c r="BC557" t="s">
        <v>159</v>
      </c>
      <c r="BD557" t="s">
        <v>2364</v>
      </c>
      <c r="BE557" t="s">
        <v>1087</v>
      </c>
      <c r="BF557" t="s">
        <v>159</v>
      </c>
    </row>
    <row r="558" spans="1:59" ht="13" x14ac:dyDescent="0.15">
      <c r="A558" s="4">
        <v>44286.999502314815</v>
      </c>
      <c r="B558" s="4">
        <v>44287.000798611109</v>
      </c>
      <c r="C558" t="s">
        <v>39</v>
      </c>
      <c r="D558" t="s">
        <v>2365</v>
      </c>
      <c r="E558">
        <v>100</v>
      </c>
      <c r="F558">
        <v>112</v>
      </c>
      <c r="G558" t="b">
        <v>1</v>
      </c>
      <c r="H558" s="4">
        <v>44287.000810185185</v>
      </c>
      <c r="I558" t="s">
        <v>2366</v>
      </c>
      <c r="N558">
        <v>41.769699096679602</v>
      </c>
      <c r="O558">
        <v>-87.698501586914006</v>
      </c>
      <c r="P558" t="s">
        <v>153</v>
      </c>
      <c r="Q558" t="s">
        <v>154</v>
      </c>
      <c r="R558" t="s">
        <v>155</v>
      </c>
      <c r="S558" t="s">
        <v>274</v>
      </c>
      <c r="T558" t="s">
        <v>263</v>
      </c>
      <c r="U558" t="s">
        <v>2367</v>
      </c>
      <c r="V558" t="s">
        <v>160</v>
      </c>
      <c r="W558" t="s">
        <v>159</v>
      </c>
      <c r="X558" t="s">
        <v>159</v>
      </c>
      <c r="Y558" t="s">
        <v>159</v>
      </c>
      <c r="Z558" t="s">
        <v>160</v>
      </c>
      <c r="AA558" t="s">
        <v>160</v>
      </c>
      <c r="AB558" t="s">
        <v>159</v>
      </c>
      <c r="AC558" t="s">
        <v>160</v>
      </c>
      <c r="AD558" t="s">
        <v>160</v>
      </c>
      <c r="AE558" t="s">
        <v>159</v>
      </c>
      <c r="AF558" t="s">
        <v>159</v>
      </c>
      <c r="AG558" t="s">
        <v>160</v>
      </c>
      <c r="AH558">
        <v>2</v>
      </c>
      <c r="AI558" t="s">
        <v>159</v>
      </c>
      <c r="AJ558" t="s">
        <v>164</v>
      </c>
      <c r="AK558" t="s">
        <v>192</v>
      </c>
      <c r="AL558" t="s">
        <v>163</v>
      </c>
      <c r="AM558" t="s">
        <v>162</v>
      </c>
      <c r="AN558" t="s">
        <v>164</v>
      </c>
      <c r="AO558" t="s">
        <v>165</v>
      </c>
      <c r="AP558" t="s">
        <v>165</v>
      </c>
      <c r="AQ558" t="s">
        <v>2368</v>
      </c>
      <c r="AR558" t="s">
        <v>160</v>
      </c>
      <c r="AS558" t="s">
        <v>160</v>
      </c>
      <c r="AT558" t="s">
        <v>180</v>
      </c>
      <c r="AU558" t="s">
        <v>159</v>
      </c>
      <c r="AV558" t="s">
        <v>159</v>
      </c>
      <c r="AW558" t="s">
        <v>159</v>
      </c>
      <c r="AX558" t="s">
        <v>159</v>
      </c>
      <c r="AY558" t="s">
        <v>159</v>
      </c>
      <c r="AZ558" t="s">
        <v>159</v>
      </c>
      <c r="BA558" t="s">
        <v>159</v>
      </c>
      <c r="BB558" t="s">
        <v>241</v>
      </c>
      <c r="BC558" t="s">
        <v>160</v>
      </c>
      <c r="BD558" t="s">
        <v>2368</v>
      </c>
      <c r="BE558" t="s">
        <v>1105</v>
      </c>
      <c r="BF558" t="s">
        <v>159</v>
      </c>
    </row>
    <row r="559" spans="1:59" ht="13" x14ac:dyDescent="0.15">
      <c r="A559" s="4">
        <v>44286.993761574071</v>
      </c>
      <c r="B559" s="4">
        <v>44287.002418981479</v>
      </c>
      <c r="C559" t="s">
        <v>39</v>
      </c>
      <c r="D559" t="s">
        <v>2369</v>
      </c>
      <c r="E559">
        <v>100</v>
      </c>
      <c r="F559">
        <v>748</v>
      </c>
      <c r="G559" t="b">
        <v>1</v>
      </c>
      <c r="H559" s="4">
        <v>44287.002430555556</v>
      </c>
      <c r="I559" t="s">
        <v>2370</v>
      </c>
      <c r="N559">
        <v>38.9541015625</v>
      </c>
      <c r="O559">
        <v>-104.54720306396401</v>
      </c>
      <c r="P559" t="s">
        <v>153</v>
      </c>
      <c r="Q559" t="s">
        <v>154</v>
      </c>
      <c r="R559" t="s">
        <v>174</v>
      </c>
      <c r="S559" t="s">
        <v>274</v>
      </c>
      <c r="T559" t="s">
        <v>176</v>
      </c>
      <c r="U559" t="s">
        <v>261</v>
      </c>
      <c r="V559" t="s">
        <v>160</v>
      </c>
      <c r="W559" t="s">
        <v>160</v>
      </c>
      <c r="X559" t="s">
        <v>159</v>
      </c>
      <c r="Y559" t="s">
        <v>159</v>
      </c>
      <c r="Z559" t="s">
        <v>160</v>
      </c>
      <c r="AA559" t="s">
        <v>160</v>
      </c>
      <c r="AB559" t="s">
        <v>160</v>
      </c>
      <c r="AC559" t="s">
        <v>160</v>
      </c>
      <c r="AD559" t="s">
        <v>160</v>
      </c>
      <c r="AE559" t="s">
        <v>160</v>
      </c>
      <c r="AF559" t="s">
        <v>160</v>
      </c>
      <c r="AG559" t="s">
        <v>160</v>
      </c>
      <c r="AH559">
        <v>3</v>
      </c>
      <c r="AI559" t="s">
        <v>160</v>
      </c>
      <c r="AJ559" t="s">
        <v>163</v>
      </c>
      <c r="AK559" t="s">
        <v>162</v>
      </c>
      <c r="AL559" t="s">
        <v>163</v>
      </c>
      <c r="AM559" t="s">
        <v>162</v>
      </c>
      <c r="AN559" t="s">
        <v>163</v>
      </c>
      <c r="AO559" t="s">
        <v>179</v>
      </c>
      <c r="AP559" t="s">
        <v>179</v>
      </c>
      <c r="AQ559" s="9">
        <v>35911</v>
      </c>
      <c r="AR559" t="s">
        <v>160</v>
      </c>
      <c r="AS559" t="s">
        <v>160</v>
      </c>
      <c r="AT559" t="s">
        <v>180</v>
      </c>
      <c r="AU559" t="s">
        <v>160</v>
      </c>
      <c r="AV559" t="s">
        <v>159</v>
      </c>
      <c r="AW559" t="s">
        <v>159</v>
      </c>
      <c r="AX559" t="s">
        <v>159</v>
      </c>
      <c r="AY559" t="s">
        <v>159</v>
      </c>
      <c r="AZ559" t="s">
        <v>159</v>
      </c>
      <c r="BA559" t="s">
        <v>159</v>
      </c>
      <c r="BB559" t="s">
        <v>167</v>
      </c>
      <c r="BC559" t="s">
        <v>159</v>
      </c>
      <c r="BE559" t="s">
        <v>2371</v>
      </c>
      <c r="BF559" t="s">
        <v>159</v>
      </c>
    </row>
    <row r="560" spans="1:59" ht="13" x14ac:dyDescent="0.15">
      <c r="A560" s="4">
        <v>44287.00105324074</v>
      </c>
      <c r="B560" s="4">
        <v>44287.004259259258</v>
      </c>
      <c r="C560" t="s">
        <v>39</v>
      </c>
      <c r="D560" t="s">
        <v>2372</v>
      </c>
      <c r="E560">
        <v>100</v>
      </c>
      <c r="F560">
        <v>277</v>
      </c>
      <c r="G560" t="b">
        <v>1</v>
      </c>
      <c r="H560" s="4">
        <v>44287.004259259258</v>
      </c>
      <c r="I560" t="s">
        <v>2373</v>
      </c>
      <c r="N560">
        <v>33.720901489257798</v>
      </c>
      <c r="O560">
        <v>-116.21720123291</v>
      </c>
      <c r="P560" t="s">
        <v>153</v>
      </c>
      <c r="Q560" t="s">
        <v>154</v>
      </c>
      <c r="R560" t="s">
        <v>155</v>
      </c>
      <c r="S560" t="s">
        <v>310</v>
      </c>
      <c r="T560" t="s">
        <v>263</v>
      </c>
      <c r="U560" t="s">
        <v>900</v>
      </c>
      <c r="V560" t="s">
        <v>160</v>
      </c>
      <c r="W560" t="s">
        <v>159</v>
      </c>
      <c r="X560" t="s">
        <v>160</v>
      </c>
      <c r="Y560" t="s">
        <v>160</v>
      </c>
      <c r="Z560" t="s">
        <v>160</v>
      </c>
      <c r="AA560" t="s">
        <v>160</v>
      </c>
      <c r="AB560" t="s">
        <v>160</v>
      </c>
      <c r="AC560" t="s">
        <v>159</v>
      </c>
      <c r="AD560" t="s">
        <v>160</v>
      </c>
      <c r="AE560" t="s">
        <v>159</v>
      </c>
      <c r="AF560" t="s">
        <v>160</v>
      </c>
      <c r="AG560" t="s">
        <v>160</v>
      </c>
      <c r="AH560">
        <v>2</v>
      </c>
      <c r="AI560" t="s">
        <v>159</v>
      </c>
      <c r="AJ560" t="s">
        <v>192</v>
      </c>
      <c r="AK560" t="s">
        <v>192</v>
      </c>
      <c r="AL560" t="s">
        <v>164</v>
      </c>
      <c r="AM560" t="s">
        <v>192</v>
      </c>
      <c r="AN560" t="s">
        <v>163</v>
      </c>
      <c r="AO560" t="s">
        <v>179</v>
      </c>
      <c r="AP560" t="s">
        <v>179</v>
      </c>
      <c r="AQ560">
        <v>1984</v>
      </c>
      <c r="AR560" t="s">
        <v>160</v>
      </c>
      <c r="AS560" t="s">
        <v>159</v>
      </c>
      <c r="AT560" t="s">
        <v>180</v>
      </c>
      <c r="AU560" t="s">
        <v>159</v>
      </c>
      <c r="AV560" t="s">
        <v>159</v>
      </c>
      <c r="AW560" t="s">
        <v>159</v>
      </c>
      <c r="AX560" t="s">
        <v>159</v>
      </c>
      <c r="AY560" t="s">
        <v>159</v>
      </c>
      <c r="AZ560" t="s">
        <v>159</v>
      </c>
      <c r="BA560" t="s">
        <v>159</v>
      </c>
      <c r="BB560" t="s">
        <v>241</v>
      </c>
      <c r="BC560" t="s">
        <v>159</v>
      </c>
      <c r="BD560" t="s">
        <v>2374</v>
      </c>
      <c r="BE560" t="s">
        <v>1140</v>
      </c>
      <c r="BF560" t="s">
        <v>159</v>
      </c>
    </row>
    <row r="561" spans="1:59" ht="13" x14ac:dyDescent="0.15">
      <c r="A561" s="4">
        <v>44287.003437500003</v>
      </c>
      <c r="B561" s="4">
        <v>44287.006851851853</v>
      </c>
      <c r="C561" t="s">
        <v>39</v>
      </c>
      <c r="D561" t="s">
        <v>2375</v>
      </c>
      <c r="E561">
        <v>100</v>
      </c>
      <c r="F561">
        <v>295</v>
      </c>
      <c r="G561" t="b">
        <v>1</v>
      </c>
      <c r="H561" s="4">
        <v>44287.006863425922</v>
      </c>
      <c r="I561" t="s">
        <v>2376</v>
      </c>
      <c r="N561">
        <v>29.673095703125</v>
      </c>
      <c r="O561">
        <v>-95.585601806640597</v>
      </c>
      <c r="P561" t="s">
        <v>153</v>
      </c>
      <c r="Q561" t="s">
        <v>154</v>
      </c>
      <c r="R561" t="s">
        <v>174</v>
      </c>
      <c r="S561" t="s">
        <v>208</v>
      </c>
      <c r="T561" t="s">
        <v>157</v>
      </c>
      <c r="U561" t="s">
        <v>1153</v>
      </c>
      <c r="V561" t="s">
        <v>160</v>
      </c>
      <c r="W561" t="s">
        <v>160</v>
      </c>
      <c r="X561" t="s">
        <v>159</v>
      </c>
      <c r="Y561" t="s">
        <v>159</v>
      </c>
      <c r="Z561" t="s">
        <v>160</v>
      </c>
      <c r="AA561" t="s">
        <v>159</v>
      </c>
      <c r="AB561" t="s">
        <v>159</v>
      </c>
      <c r="AC561" t="s">
        <v>159</v>
      </c>
      <c r="AD561" t="s">
        <v>160</v>
      </c>
      <c r="AE561" t="s">
        <v>160</v>
      </c>
      <c r="AF561" t="s">
        <v>160</v>
      </c>
      <c r="AG561" t="s">
        <v>159</v>
      </c>
      <c r="AH561">
        <v>3</v>
      </c>
      <c r="AI561" t="s">
        <v>160</v>
      </c>
      <c r="AJ561" t="s">
        <v>162</v>
      </c>
      <c r="AK561" t="s">
        <v>163</v>
      </c>
      <c r="AL561" t="s">
        <v>162</v>
      </c>
      <c r="AM561" t="s">
        <v>163</v>
      </c>
      <c r="AN561" t="s">
        <v>163</v>
      </c>
      <c r="AO561" t="s">
        <v>165</v>
      </c>
      <c r="AP561" t="s">
        <v>165</v>
      </c>
      <c r="AQ561" s="9">
        <v>35171</v>
      </c>
      <c r="AR561" t="s">
        <v>160</v>
      </c>
      <c r="AS561" t="s">
        <v>159</v>
      </c>
      <c r="AT561" t="s">
        <v>180</v>
      </c>
      <c r="AU561" t="s">
        <v>160</v>
      </c>
      <c r="AV561" t="s">
        <v>160</v>
      </c>
      <c r="AW561" t="s">
        <v>159</v>
      </c>
      <c r="AX561" t="s">
        <v>159</v>
      </c>
      <c r="AY561" t="s">
        <v>159</v>
      </c>
      <c r="AZ561" t="s">
        <v>159</v>
      </c>
      <c r="BA561" t="s">
        <v>159</v>
      </c>
      <c r="BB561" t="s">
        <v>167</v>
      </c>
      <c r="BC561" t="s">
        <v>159</v>
      </c>
      <c r="BE561" t="s">
        <v>2377</v>
      </c>
      <c r="BF561" t="s">
        <v>159</v>
      </c>
    </row>
    <row r="562" spans="1:59" ht="13" x14ac:dyDescent="0.15">
      <c r="A562" s="4">
        <v>44287.00613425926</v>
      </c>
      <c r="B562" s="4">
        <v>44287.007337962961</v>
      </c>
      <c r="C562" t="s">
        <v>39</v>
      </c>
      <c r="D562" t="s">
        <v>2378</v>
      </c>
      <c r="E562">
        <v>100</v>
      </c>
      <c r="F562">
        <v>103</v>
      </c>
      <c r="G562" t="b">
        <v>1</v>
      </c>
      <c r="H562" s="4">
        <v>44287.007337962961</v>
      </c>
      <c r="I562" t="s">
        <v>2379</v>
      </c>
      <c r="N562">
        <v>29.780502319335898</v>
      </c>
      <c r="O562">
        <v>-95.512901306152301</v>
      </c>
      <c r="P562" t="s">
        <v>153</v>
      </c>
      <c r="Q562" t="s">
        <v>154</v>
      </c>
      <c r="R562" t="s">
        <v>174</v>
      </c>
      <c r="S562" t="s">
        <v>208</v>
      </c>
      <c r="T562" t="s">
        <v>263</v>
      </c>
      <c r="U562" t="s">
        <v>2380</v>
      </c>
      <c r="V562" t="s">
        <v>160</v>
      </c>
      <c r="W562" t="s">
        <v>159</v>
      </c>
      <c r="X562" t="s">
        <v>159</v>
      </c>
      <c r="Y562" t="s">
        <v>159</v>
      </c>
      <c r="Z562" t="s">
        <v>160</v>
      </c>
      <c r="AA562" t="s">
        <v>160</v>
      </c>
      <c r="AB562" t="s">
        <v>159</v>
      </c>
      <c r="AC562" t="s">
        <v>159</v>
      </c>
      <c r="AD562" t="s">
        <v>160</v>
      </c>
      <c r="AE562" t="s">
        <v>160</v>
      </c>
      <c r="AF562" t="s">
        <v>159</v>
      </c>
      <c r="AG562" t="s">
        <v>160</v>
      </c>
      <c r="AH562">
        <v>2</v>
      </c>
      <c r="AI562" t="s">
        <v>159</v>
      </c>
      <c r="AJ562" t="s">
        <v>164</v>
      </c>
      <c r="AK562" t="s">
        <v>198</v>
      </c>
      <c r="AL562" t="s">
        <v>163</v>
      </c>
      <c r="AM562" t="s">
        <v>192</v>
      </c>
      <c r="AN562" t="s">
        <v>164</v>
      </c>
      <c r="AO562" t="s">
        <v>179</v>
      </c>
      <c r="AP562" t="s">
        <v>179</v>
      </c>
      <c r="AQ562">
        <v>1982</v>
      </c>
      <c r="AR562" t="s">
        <v>160</v>
      </c>
      <c r="AS562" t="s">
        <v>159</v>
      </c>
      <c r="AT562" t="s">
        <v>180</v>
      </c>
      <c r="AU562" t="s">
        <v>159</v>
      </c>
      <c r="AV562" t="s">
        <v>159</v>
      </c>
      <c r="AW562" t="s">
        <v>159</v>
      </c>
      <c r="AX562" t="s">
        <v>159</v>
      </c>
      <c r="AY562" t="s">
        <v>160</v>
      </c>
      <c r="AZ562" t="s">
        <v>159</v>
      </c>
      <c r="BA562" t="s">
        <v>159</v>
      </c>
      <c r="BB562" t="s">
        <v>241</v>
      </c>
      <c r="BC562" t="s">
        <v>159</v>
      </c>
      <c r="BD562" t="s">
        <v>2381</v>
      </c>
      <c r="BE562" t="s">
        <v>1172</v>
      </c>
      <c r="BF562" t="s">
        <v>159</v>
      </c>
    </row>
    <row r="563" spans="1:59" ht="13" x14ac:dyDescent="0.15">
      <c r="A563" s="4">
        <v>44287.00608796296</v>
      </c>
      <c r="B563" s="4">
        <v>44287.008611111109</v>
      </c>
      <c r="C563" t="s">
        <v>39</v>
      </c>
      <c r="D563" t="s">
        <v>2382</v>
      </c>
      <c r="E563">
        <v>100</v>
      </c>
      <c r="F563">
        <v>218</v>
      </c>
      <c r="G563" t="b">
        <v>1</v>
      </c>
      <c r="H563" s="4">
        <v>44287.008611111109</v>
      </c>
      <c r="I563" t="s">
        <v>2383</v>
      </c>
      <c r="N563">
        <v>38.6159057617187</v>
      </c>
      <c r="O563">
        <v>-122.861602783203</v>
      </c>
      <c r="P563" t="s">
        <v>153</v>
      </c>
      <c r="Q563" t="s">
        <v>154</v>
      </c>
      <c r="R563" t="s">
        <v>174</v>
      </c>
      <c r="S563" t="s">
        <v>274</v>
      </c>
      <c r="T563" t="s">
        <v>157</v>
      </c>
      <c r="U563" t="s">
        <v>2384</v>
      </c>
      <c r="V563" t="s">
        <v>160</v>
      </c>
      <c r="W563" t="s">
        <v>160</v>
      </c>
      <c r="X563" t="s">
        <v>160</v>
      </c>
      <c r="Y563" t="s">
        <v>160</v>
      </c>
      <c r="Z563" t="s">
        <v>160</v>
      </c>
      <c r="AA563" t="s">
        <v>159</v>
      </c>
      <c r="AB563" t="s">
        <v>160</v>
      </c>
      <c r="AC563" t="s">
        <v>159</v>
      </c>
      <c r="AD563" t="s">
        <v>160</v>
      </c>
      <c r="AE563" t="s">
        <v>160</v>
      </c>
      <c r="AF563" t="s">
        <v>159</v>
      </c>
      <c r="AG563" t="s">
        <v>160</v>
      </c>
      <c r="AH563">
        <v>0</v>
      </c>
      <c r="AI563" t="s">
        <v>160</v>
      </c>
      <c r="AJ563" t="s">
        <v>164</v>
      </c>
      <c r="AK563" t="s">
        <v>163</v>
      </c>
      <c r="AL563" t="s">
        <v>164</v>
      </c>
      <c r="AM563" t="s">
        <v>162</v>
      </c>
      <c r="AN563" t="s">
        <v>192</v>
      </c>
      <c r="AO563" t="s">
        <v>179</v>
      </c>
      <c r="AP563" t="s">
        <v>179</v>
      </c>
      <c r="AQ563">
        <v>1989</v>
      </c>
      <c r="AR563" t="s">
        <v>160</v>
      </c>
      <c r="AS563" t="s">
        <v>159</v>
      </c>
      <c r="AT563" t="s">
        <v>459</v>
      </c>
      <c r="AU563" t="s">
        <v>160</v>
      </c>
      <c r="AV563" t="s">
        <v>159</v>
      </c>
      <c r="AW563" t="s">
        <v>160</v>
      </c>
      <c r="AX563" t="s">
        <v>160</v>
      </c>
      <c r="AY563" t="s">
        <v>159</v>
      </c>
      <c r="AZ563" t="s">
        <v>159</v>
      </c>
      <c r="BA563" t="s">
        <v>159</v>
      </c>
      <c r="BB563" t="s">
        <v>167</v>
      </c>
      <c r="BC563" t="s">
        <v>159</v>
      </c>
      <c r="BE563" t="s">
        <v>2385</v>
      </c>
      <c r="BF563" t="s">
        <v>160</v>
      </c>
      <c r="BG563" t="s">
        <v>2385</v>
      </c>
    </row>
    <row r="564" spans="1:59" ht="13" x14ac:dyDescent="0.15">
      <c r="A564" s="4">
        <v>44287.007685185185</v>
      </c>
      <c r="B564" s="4">
        <v>44287.009768518517</v>
      </c>
      <c r="C564" t="s">
        <v>39</v>
      </c>
      <c r="D564" t="s">
        <v>2386</v>
      </c>
      <c r="E564">
        <v>100</v>
      </c>
      <c r="F564">
        <v>179</v>
      </c>
      <c r="G564" t="b">
        <v>1</v>
      </c>
      <c r="H564" s="4">
        <v>44287.009768518517</v>
      </c>
      <c r="I564" t="s">
        <v>2387</v>
      </c>
      <c r="N564">
        <v>25.909194946288999</v>
      </c>
      <c r="O564">
        <v>-80.3927001953125</v>
      </c>
      <c r="P564" t="s">
        <v>153</v>
      </c>
      <c r="Q564" t="s">
        <v>154</v>
      </c>
      <c r="R564" t="s">
        <v>174</v>
      </c>
      <c r="S564" t="s">
        <v>274</v>
      </c>
      <c r="T564" t="s">
        <v>237</v>
      </c>
      <c r="U564" t="s">
        <v>2388</v>
      </c>
      <c r="V564" t="s">
        <v>160</v>
      </c>
      <c r="W564" t="s">
        <v>159</v>
      </c>
      <c r="X564" t="s">
        <v>159</v>
      </c>
      <c r="Y564" t="s">
        <v>159</v>
      </c>
      <c r="Z564" t="s">
        <v>160</v>
      </c>
      <c r="AA564" t="s">
        <v>160</v>
      </c>
      <c r="AB564" t="s">
        <v>159</v>
      </c>
      <c r="AC564" t="s">
        <v>159</v>
      </c>
      <c r="AD564" t="s">
        <v>160</v>
      </c>
      <c r="AE564" t="s">
        <v>160</v>
      </c>
      <c r="AF564" t="s">
        <v>159</v>
      </c>
      <c r="AG564" t="s">
        <v>160</v>
      </c>
      <c r="AH564">
        <v>2</v>
      </c>
      <c r="AI564" t="s">
        <v>160</v>
      </c>
      <c r="AJ564" t="s">
        <v>192</v>
      </c>
      <c r="AK564" t="s">
        <v>164</v>
      </c>
      <c r="AL564" t="s">
        <v>163</v>
      </c>
      <c r="AM564" t="s">
        <v>192</v>
      </c>
      <c r="AN564" t="s">
        <v>163</v>
      </c>
      <c r="AO564" t="s">
        <v>179</v>
      </c>
      <c r="AP564" t="s">
        <v>179</v>
      </c>
      <c r="AQ564">
        <v>1984</v>
      </c>
      <c r="AR564" t="s">
        <v>160</v>
      </c>
      <c r="AS564" t="s">
        <v>159</v>
      </c>
      <c r="AT564" t="s">
        <v>180</v>
      </c>
      <c r="AU564" t="s">
        <v>159</v>
      </c>
      <c r="AV564" t="s">
        <v>159</v>
      </c>
      <c r="AW564" t="s">
        <v>159</v>
      </c>
      <c r="AX564" t="s">
        <v>159</v>
      </c>
      <c r="AY564" t="s">
        <v>159</v>
      </c>
      <c r="AZ564" t="s">
        <v>159</v>
      </c>
      <c r="BA564" t="s">
        <v>159</v>
      </c>
      <c r="BB564" t="s">
        <v>241</v>
      </c>
      <c r="BC564" t="s">
        <v>160</v>
      </c>
      <c r="BD564" t="s">
        <v>2389</v>
      </c>
      <c r="BE564" t="s">
        <v>1193</v>
      </c>
      <c r="BF564" t="s">
        <v>159</v>
      </c>
    </row>
    <row r="565" spans="1:59" ht="13" x14ac:dyDescent="0.15">
      <c r="A565" s="4">
        <v>44287.007650462961</v>
      </c>
      <c r="B565" s="4">
        <v>44287.01122685185</v>
      </c>
      <c r="C565" t="s">
        <v>39</v>
      </c>
      <c r="D565" t="s">
        <v>2390</v>
      </c>
      <c r="E565">
        <v>100</v>
      </c>
      <c r="F565">
        <v>309</v>
      </c>
      <c r="G565" t="b">
        <v>1</v>
      </c>
      <c r="H565" s="4">
        <v>44287.011238425926</v>
      </c>
      <c r="I565" t="s">
        <v>2391</v>
      </c>
      <c r="N565">
        <v>33.957305908203097</v>
      </c>
      <c r="O565">
        <v>-118.311798095703</v>
      </c>
      <c r="P565" t="s">
        <v>153</v>
      </c>
      <c r="Q565" t="s">
        <v>154</v>
      </c>
      <c r="R565" t="s">
        <v>174</v>
      </c>
      <c r="S565" t="s">
        <v>208</v>
      </c>
      <c r="T565" t="s">
        <v>176</v>
      </c>
      <c r="U565" t="s">
        <v>1153</v>
      </c>
      <c r="V565" t="s">
        <v>160</v>
      </c>
      <c r="W565" t="s">
        <v>159</v>
      </c>
      <c r="X565" t="s">
        <v>159</v>
      </c>
      <c r="Y565" t="s">
        <v>159</v>
      </c>
      <c r="Z565" t="s">
        <v>159</v>
      </c>
      <c r="AA565" t="s">
        <v>159</v>
      </c>
      <c r="AB565" t="s">
        <v>159</v>
      </c>
      <c r="AC565" t="s">
        <v>160</v>
      </c>
      <c r="AD565" t="s">
        <v>160</v>
      </c>
      <c r="AE565" t="s">
        <v>160</v>
      </c>
      <c r="AF565" t="s">
        <v>160</v>
      </c>
      <c r="AG565" t="s">
        <v>160</v>
      </c>
      <c r="AH565">
        <v>4</v>
      </c>
      <c r="AI565" t="s">
        <v>160</v>
      </c>
      <c r="AJ565" t="s">
        <v>163</v>
      </c>
      <c r="AK565" t="s">
        <v>162</v>
      </c>
      <c r="AL565" t="s">
        <v>163</v>
      </c>
      <c r="AM565" t="s">
        <v>162</v>
      </c>
      <c r="AN565" t="s">
        <v>192</v>
      </c>
      <c r="AO565" t="s">
        <v>179</v>
      </c>
      <c r="AP565" t="s">
        <v>179</v>
      </c>
      <c r="AQ565" s="9">
        <v>35725</v>
      </c>
      <c r="AR565" t="s">
        <v>160</v>
      </c>
      <c r="AS565" t="s">
        <v>160</v>
      </c>
      <c r="AT565" t="s">
        <v>180</v>
      </c>
      <c r="AU565" t="s">
        <v>159</v>
      </c>
      <c r="AV565" t="s">
        <v>159</v>
      </c>
      <c r="AW565" t="s">
        <v>159</v>
      </c>
      <c r="AX565" t="s">
        <v>159</v>
      </c>
      <c r="AY565" t="s">
        <v>159</v>
      </c>
      <c r="AZ565" t="s">
        <v>159</v>
      </c>
      <c r="BA565" t="s">
        <v>159</v>
      </c>
      <c r="BB565" t="s">
        <v>167</v>
      </c>
      <c r="BC565" t="s">
        <v>159</v>
      </c>
      <c r="BE565" t="s">
        <v>2392</v>
      </c>
      <c r="BF565" t="s">
        <v>159</v>
      </c>
    </row>
    <row r="566" spans="1:59" ht="13" x14ac:dyDescent="0.15">
      <c r="A566" s="4">
        <v>44287.009398148148</v>
      </c>
      <c r="B566" s="4">
        <v>44287.012002314812</v>
      </c>
      <c r="C566" t="s">
        <v>39</v>
      </c>
      <c r="D566" t="s">
        <v>2393</v>
      </c>
      <c r="E566">
        <v>100</v>
      </c>
      <c r="F566">
        <v>224</v>
      </c>
      <c r="G566" t="b">
        <v>1</v>
      </c>
      <c r="H566" s="4">
        <v>44287.012002314812</v>
      </c>
      <c r="I566" t="s">
        <v>2394</v>
      </c>
      <c r="N566">
        <v>34.012100219726499</v>
      </c>
      <c r="O566">
        <v>-117.688301086425</v>
      </c>
      <c r="P566" t="s">
        <v>153</v>
      </c>
      <c r="Q566" t="s">
        <v>154</v>
      </c>
      <c r="R566" t="s">
        <v>174</v>
      </c>
      <c r="S566" t="s">
        <v>226</v>
      </c>
      <c r="T566" t="s">
        <v>263</v>
      </c>
      <c r="U566" t="s">
        <v>2395</v>
      </c>
      <c r="V566" t="s">
        <v>159</v>
      </c>
      <c r="W566" t="s">
        <v>159</v>
      </c>
      <c r="X566" t="s">
        <v>159</v>
      </c>
      <c r="Y566" t="s">
        <v>159</v>
      </c>
      <c r="Z566" t="s">
        <v>160</v>
      </c>
      <c r="AA566" t="s">
        <v>159</v>
      </c>
      <c r="AB566" t="s">
        <v>159</v>
      </c>
      <c r="AC566" t="s">
        <v>160</v>
      </c>
      <c r="AD566" t="s">
        <v>160</v>
      </c>
      <c r="AE566" t="s">
        <v>159</v>
      </c>
      <c r="AF566" t="s">
        <v>160</v>
      </c>
      <c r="AG566" t="s">
        <v>160</v>
      </c>
      <c r="AH566">
        <v>1</v>
      </c>
      <c r="AI566" t="s">
        <v>160</v>
      </c>
      <c r="AJ566" t="s">
        <v>198</v>
      </c>
      <c r="AK566" t="s">
        <v>192</v>
      </c>
      <c r="AL566" t="s">
        <v>164</v>
      </c>
      <c r="AM566" t="s">
        <v>162</v>
      </c>
      <c r="AN566" t="s">
        <v>163</v>
      </c>
      <c r="AO566" t="s">
        <v>165</v>
      </c>
      <c r="AP566" t="s">
        <v>165</v>
      </c>
      <c r="AQ566">
        <v>1988</v>
      </c>
      <c r="AR566" t="s">
        <v>160</v>
      </c>
      <c r="AS566" t="s">
        <v>159</v>
      </c>
      <c r="AT566" t="s">
        <v>459</v>
      </c>
      <c r="AU566" t="s">
        <v>159</v>
      </c>
      <c r="AV566" t="s">
        <v>159</v>
      </c>
      <c r="AW566" t="s">
        <v>159</v>
      </c>
      <c r="AX566" t="s">
        <v>160</v>
      </c>
      <c r="AY566" t="s">
        <v>159</v>
      </c>
      <c r="AZ566" t="s">
        <v>160</v>
      </c>
      <c r="BA566" t="s">
        <v>159</v>
      </c>
      <c r="BB566" t="s">
        <v>167</v>
      </c>
      <c r="BC566" t="s">
        <v>160</v>
      </c>
      <c r="BD566" t="s">
        <v>1082</v>
      </c>
      <c r="BE566" t="s">
        <v>2396</v>
      </c>
      <c r="BF566" t="s">
        <v>160</v>
      </c>
      <c r="BG566" t="s">
        <v>2396</v>
      </c>
    </row>
    <row r="567" spans="1:59" ht="13" x14ac:dyDescent="0.15">
      <c r="A567" s="4">
        <v>44287.012939814813</v>
      </c>
      <c r="B567" s="4">
        <v>44287.014687499999</v>
      </c>
      <c r="C567" t="s">
        <v>39</v>
      </c>
      <c r="D567" t="s">
        <v>2397</v>
      </c>
      <c r="E567">
        <v>100</v>
      </c>
      <c r="F567">
        <v>150</v>
      </c>
      <c r="G567" t="b">
        <v>1</v>
      </c>
      <c r="H567" s="4">
        <v>44287.014687499999</v>
      </c>
      <c r="I567" t="s">
        <v>2398</v>
      </c>
      <c r="N567">
        <v>34.235992431640597</v>
      </c>
      <c r="O567">
        <v>-118.52349853515599</v>
      </c>
      <c r="P567" t="s">
        <v>153</v>
      </c>
      <c r="Q567" t="s">
        <v>154</v>
      </c>
      <c r="R567" t="s">
        <v>155</v>
      </c>
      <c r="S567" t="s">
        <v>208</v>
      </c>
      <c r="T567" t="s">
        <v>157</v>
      </c>
      <c r="U567" t="s">
        <v>2399</v>
      </c>
      <c r="V567" t="s">
        <v>160</v>
      </c>
      <c r="W567" t="s">
        <v>160</v>
      </c>
      <c r="X567" t="s">
        <v>160</v>
      </c>
      <c r="Y567" t="s">
        <v>160</v>
      </c>
      <c r="Z567" t="s">
        <v>159</v>
      </c>
      <c r="AA567" t="s">
        <v>160</v>
      </c>
      <c r="AB567" t="s">
        <v>160</v>
      </c>
      <c r="AC567" t="s">
        <v>159</v>
      </c>
      <c r="AD567" t="s">
        <v>159</v>
      </c>
      <c r="AE567" t="s">
        <v>160</v>
      </c>
      <c r="AF567" t="s">
        <v>160</v>
      </c>
      <c r="AG567" t="s">
        <v>160</v>
      </c>
      <c r="AH567">
        <v>1</v>
      </c>
      <c r="AI567" t="s">
        <v>160</v>
      </c>
      <c r="AJ567" t="s">
        <v>164</v>
      </c>
      <c r="AK567" t="s">
        <v>163</v>
      </c>
      <c r="AL567" t="s">
        <v>192</v>
      </c>
      <c r="AM567" t="s">
        <v>162</v>
      </c>
      <c r="AN567" t="s">
        <v>164</v>
      </c>
      <c r="AO567" t="s">
        <v>179</v>
      </c>
      <c r="AP567" t="s">
        <v>179</v>
      </c>
      <c r="AQ567">
        <v>1990</v>
      </c>
      <c r="AR567" t="s">
        <v>160</v>
      </c>
      <c r="AS567" t="s">
        <v>160</v>
      </c>
      <c r="AT567" t="s">
        <v>459</v>
      </c>
      <c r="AU567" t="s">
        <v>160</v>
      </c>
      <c r="AV567" t="s">
        <v>159</v>
      </c>
      <c r="AW567" t="s">
        <v>159</v>
      </c>
      <c r="AX567" t="s">
        <v>159</v>
      </c>
      <c r="AY567" t="s">
        <v>159</v>
      </c>
      <c r="AZ567" t="s">
        <v>160</v>
      </c>
      <c r="BA567" t="s">
        <v>159</v>
      </c>
      <c r="BB567" t="s">
        <v>181</v>
      </c>
      <c r="BC567" t="s">
        <v>160</v>
      </c>
      <c r="BD567" t="s">
        <v>703</v>
      </c>
      <c r="BE567" t="s">
        <v>2400</v>
      </c>
      <c r="BF567" t="s">
        <v>160</v>
      </c>
      <c r="BG567" t="s">
        <v>2400</v>
      </c>
    </row>
    <row r="568" spans="1:59" ht="13" x14ac:dyDescent="0.15">
      <c r="A568" s="4">
        <v>44287.012233796297</v>
      </c>
      <c r="B568" s="4">
        <v>44287.015682870369</v>
      </c>
      <c r="C568" t="s">
        <v>39</v>
      </c>
      <c r="D568" t="s">
        <v>2401</v>
      </c>
      <c r="E568">
        <v>100</v>
      </c>
      <c r="F568">
        <v>297</v>
      </c>
      <c r="G568" t="b">
        <v>1</v>
      </c>
      <c r="H568" s="4">
        <v>44287.015694444446</v>
      </c>
      <c r="I568" t="s">
        <v>2402</v>
      </c>
      <c r="N568">
        <v>47.697494506835902</v>
      </c>
      <c r="O568">
        <v>-116.780799865722</v>
      </c>
      <c r="P568" t="s">
        <v>153</v>
      </c>
      <c r="Q568" t="s">
        <v>154</v>
      </c>
      <c r="R568" t="s">
        <v>174</v>
      </c>
      <c r="S568" t="s">
        <v>175</v>
      </c>
      <c r="T568" t="s">
        <v>157</v>
      </c>
      <c r="U568" t="s">
        <v>261</v>
      </c>
      <c r="V568" t="s">
        <v>159</v>
      </c>
      <c r="W568" t="s">
        <v>159</v>
      </c>
      <c r="X568" t="s">
        <v>159</v>
      </c>
      <c r="Y568" t="s">
        <v>159</v>
      </c>
      <c r="Z568" t="s">
        <v>159</v>
      </c>
      <c r="AA568" t="s">
        <v>159</v>
      </c>
      <c r="AB568" t="s">
        <v>159</v>
      </c>
      <c r="AC568" t="s">
        <v>159</v>
      </c>
      <c r="AD568" t="s">
        <v>159</v>
      </c>
      <c r="AE568" t="s">
        <v>160</v>
      </c>
      <c r="AF568" t="s">
        <v>160</v>
      </c>
      <c r="AG568" t="s">
        <v>160</v>
      </c>
      <c r="AH568">
        <v>4</v>
      </c>
      <c r="AI568" t="s">
        <v>160</v>
      </c>
      <c r="AJ568" t="s">
        <v>163</v>
      </c>
      <c r="AK568" t="s">
        <v>162</v>
      </c>
      <c r="AL568" t="s">
        <v>163</v>
      </c>
      <c r="AM568" t="s">
        <v>163</v>
      </c>
      <c r="AN568" t="s">
        <v>163</v>
      </c>
      <c r="AO568" t="s">
        <v>179</v>
      </c>
      <c r="AP568" t="s">
        <v>179</v>
      </c>
      <c r="AQ568" s="9">
        <v>35079</v>
      </c>
      <c r="AR568" t="s">
        <v>160</v>
      </c>
      <c r="AS568" t="s">
        <v>160</v>
      </c>
      <c r="AT568" t="s">
        <v>180</v>
      </c>
      <c r="AU568" t="s">
        <v>159</v>
      </c>
      <c r="AV568" t="s">
        <v>159</v>
      </c>
      <c r="AW568" t="s">
        <v>159</v>
      </c>
      <c r="AX568" t="s">
        <v>159</v>
      </c>
      <c r="AY568" t="s">
        <v>159</v>
      </c>
      <c r="AZ568" t="s">
        <v>159</v>
      </c>
      <c r="BA568" t="s">
        <v>159</v>
      </c>
      <c r="BB568" t="s">
        <v>181</v>
      </c>
      <c r="BC568" t="s">
        <v>159</v>
      </c>
      <c r="BE568" t="s">
        <v>2403</v>
      </c>
      <c r="BF568" t="s">
        <v>159</v>
      </c>
    </row>
    <row r="569" spans="1:59" ht="13" x14ac:dyDescent="0.15">
      <c r="A569" s="4">
        <v>44287.015740740739</v>
      </c>
      <c r="B569" s="4">
        <v>44287.017314814817</v>
      </c>
      <c r="C569" t="s">
        <v>39</v>
      </c>
      <c r="D569" t="s">
        <v>2404</v>
      </c>
      <c r="E569">
        <v>100</v>
      </c>
      <c r="F569">
        <v>135</v>
      </c>
      <c r="G569" t="b">
        <v>1</v>
      </c>
      <c r="H569" s="4">
        <v>44287.017314814817</v>
      </c>
      <c r="I569" t="s">
        <v>2405</v>
      </c>
      <c r="N569">
        <v>38.684097290038999</v>
      </c>
      <c r="O569">
        <v>-121.06759643554599</v>
      </c>
      <c r="P569" t="s">
        <v>153</v>
      </c>
      <c r="Q569" t="s">
        <v>154</v>
      </c>
      <c r="R569" t="s">
        <v>155</v>
      </c>
      <c r="S569" t="s">
        <v>208</v>
      </c>
      <c r="T569" t="s">
        <v>263</v>
      </c>
      <c r="U569" t="s">
        <v>2406</v>
      </c>
      <c r="V569" t="s">
        <v>159</v>
      </c>
      <c r="W569" t="s">
        <v>159</v>
      </c>
      <c r="X569" t="s">
        <v>160</v>
      </c>
      <c r="Y569" t="s">
        <v>160</v>
      </c>
      <c r="Z569" t="s">
        <v>160</v>
      </c>
      <c r="AA569" t="s">
        <v>159</v>
      </c>
      <c r="AB569" t="s">
        <v>160</v>
      </c>
      <c r="AC569" t="s">
        <v>159</v>
      </c>
      <c r="AD569" t="s">
        <v>159</v>
      </c>
      <c r="AE569" t="s">
        <v>160</v>
      </c>
      <c r="AF569" t="s">
        <v>160</v>
      </c>
      <c r="AG569" t="s">
        <v>160</v>
      </c>
      <c r="AH569">
        <v>2</v>
      </c>
      <c r="AI569" t="s">
        <v>160</v>
      </c>
      <c r="AJ569" t="s">
        <v>192</v>
      </c>
      <c r="AK569" t="s">
        <v>162</v>
      </c>
      <c r="AL569" t="s">
        <v>198</v>
      </c>
      <c r="AM569" t="s">
        <v>163</v>
      </c>
      <c r="AN569" t="s">
        <v>164</v>
      </c>
      <c r="AO569" t="s">
        <v>179</v>
      </c>
      <c r="AP569" t="s">
        <v>179</v>
      </c>
      <c r="AQ569">
        <v>1992</v>
      </c>
      <c r="AR569" t="s">
        <v>160</v>
      </c>
      <c r="AS569" t="s">
        <v>160</v>
      </c>
      <c r="AT569" t="s">
        <v>459</v>
      </c>
      <c r="AU569" t="s">
        <v>160</v>
      </c>
      <c r="AV569" t="s">
        <v>160</v>
      </c>
      <c r="AW569" t="s">
        <v>159</v>
      </c>
      <c r="AX569" t="s">
        <v>159</v>
      </c>
      <c r="AY569" t="s">
        <v>159</v>
      </c>
      <c r="AZ569" t="s">
        <v>159</v>
      </c>
      <c r="BA569" t="s">
        <v>159</v>
      </c>
      <c r="BB569" t="s">
        <v>181</v>
      </c>
      <c r="BC569" t="s">
        <v>159</v>
      </c>
      <c r="BD569" t="s">
        <v>2407</v>
      </c>
      <c r="BE569" t="s">
        <v>2408</v>
      </c>
      <c r="BF569" t="s">
        <v>160</v>
      </c>
      <c r="BG569" t="s">
        <v>2408</v>
      </c>
    </row>
    <row r="570" spans="1:59" ht="13" x14ac:dyDescent="0.15">
      <c r="A570" s="4">
        <v>44287.016967592594</v>
      </c>
      <c r="B570" s="4">
        <v>44287.019247685188</v>
      </c>
      <c r="C570" t="s">
        <v>39</v>
      </c>
      <c r="D570" t="s">
        <v>2409</v>
      </c>
      <c r="E570">
        <v>100</v>
      </c>
      <c r="F570">
        <v>197</v>
      </c>
      <c r="G570" t="b">
        <v>1</v>
      </c>
      <c r="H570" s="4">
        <v>44287.019247685188</v>
      </c>
      <c r="I570" t="s">
        <v>2410</v>
      </c>
      <c r="N570">
        <v>33.6325073242187</v>
      </c>
      <c r="O570">
        <v>-112.12770080566401</v>
      </c>
      <c r="P570" t="s">
        <v>153</v>
      </c>
      <c r="Q570" t="s">
        <v>154</v>
      </c>
      <c r="R570" t="s">
        <v>174</v>
      </c>
      <c r="S570" t="s">
        <v>156</v>
      </c>
      <c r="T570" t="s">
        <v>157</v>
      </c>
      <c r="U570" t="s">
        <v>1153</v>
      </c>
      <c r="V570" t="s">
        <v>159</v>
      </c>
      <c r="W570" t="s">
        <v>160</v>
      </c>
      <c r="X570" t="s">
        <v>159</v>
      </c>
      <c r="Y570" t="s">
        <v>159</v>
      </c>
      <c r="Z570" t="s">
        <v>159</v>
      </c>
      <c r="AA570" t="s">
        <v>159</v>
      </c>
      <c r="AB570" t="s">
        <v>159</v>
      </c>
      <c r="AC570" t="s">
        <v>159</v>
      </c>
      <c r="AD570" t="s">
        <v>160</v>
      </c>
      <c r="AE570" t="s">
        <v>160</v>
      </c>
      <c r="AF570" t="s">
        <v>160</v>
      </c>
      <c r="AG570" t="s">
        <v>159</v>
      </c>
      <c r="AH570">
        <v>3</v>
      </c>
      <c r="AI570" t="s">
        <v>160</v>
      </c>
      <c r="AJ570" t="s">
        <v>162</v>
      </c>
      <c r="AK570" t="s">
        <v>163</v>
      </c>
      <c r="AL570" t="s">
        <v>163</v>
      </c>
      <c r="AM570" t="s">
        <v>163</v>
      </c>
      <c r="AN570" t="s">
        <v>162</v>
      </c>
      <c r="AO570" t="s">
        <v>179</v>
      </c>
      <c r="AP570" t="s">
        <v>179</v>
      </c>
      <c r="AQ570" s="9">
        <v>35187</v>
      </c>
      <c r="AR570" t="s">
        <v>160</v>
      </c>
      <c r="AS570" t="s">
        <v>160</v>
      </c>
      <c r="AT570" t="s">
        <v>180</v>
      </c>
      <c r="AU570" t="s">
        <v>159</v>
      </c>
      <c r="AV570" t="s">
        <v>159</v>
      </c>
      <c r="AW570" t="s">
        <v>159</v>
      </c>
      <c r="AX570" t="s">
        <v>159</v>
      </c>
      <c r="AY570" t="s">
        <v>159</v>
      </c>
      <c r="AZ570" t="s">
        <v>159</v>
      </c>
      <c r="BA570" t="s">
        <v>159</v>
      </c>
      <c r="BB570" t="s">
        <v>167</v>
      </c>
      <c r="BC570" t="s">
        <v>160</v>
      </c>
      <c r="BE570" t="s">
        <v>2411</v>
      </c>
      <c r="BF570" t="s">
        <v>159</v>
      </c>
    </row>
    <row r="571" spans="1:59" ht="13" x14ac:dyDescent="0.15">
      <c r="A571" s="4">
        <v>44287.017696759256</v>
      </c>
      <c r="B571" s="4">
        <v>44287.019479166665</v>
      </c>
      <c r="C571" t="s">
        <v>39</v>
      </c>
      <c r="D571" t="s">
        <v>2412</v>
      </c>
      <c r="E571">
        <v>100</v>
      </c>
      <c r="F571">
        <v>154</v>
      </c>
      <c r="G571" t="b">
        <v>1</v>
      </c>
      <c r="H571" s="4">
        <v>44287.019479166665</v>
      </c>
      <c r="I571" t="s">
        <v>2413</v>
      </c>
      <c r="N571">
        <v>30.2008972167968</v>
      </c>
      <c r="O571">
        <v>-93.443702697753906</v>
      </c>
      <c r="P571" t="s">
        <v>153</v>
      </c>
      <c r="Q571" t="s">
        <v>154</v>
      </c>
      <c r="R571" t="s">
        <v>174</v>
      </c>
      <c r="S571" t="s">
        <v>226</v>
      </c>
      <c r="T571" t="s">
        <v>263</v>
      </c>
      <c r="U571" t="s">
        <v>2414</v>
      </c>
      <c r="V571" t="s">
        <v>160</v>
      </c>
      <c r="W571" t="s">
        <v>160</v>
      </c>
      <c r="X571" t="s">
        <v>160</v>
      </c>
      <c r="Y571" t="s">
        <v>160</v>
      </c>
      <c r="Z571" t="s">
        <v>159</v>
      </c>
      <c r="AA571" t="s">
        <v>160</v>
      </c>
      <c r="AB571" t="s">
        <v>160</v>
      </c>
      <c r="AC571" t="s">
        <v>159</v>
      </c>
      <c r="AD571" t="s">
        <v>159</v>
      </c>
      <c r="AE571" t="s">
        <v>160</v>
      </c>
      <c r="AF571" t="s">
        <v>159</v>
      </c>
      <c r="AG571" t="s">
        <v>160</v>
      </c>
      <c r="AH571">
        <v>0</v>
      </c>
      <c r="AI571" t="s">
        <v>160</v>
      </c>
      <c r="AJ571" t="s">
        <v>164</v>
      </c>
      <c r="AK571" t="s">
        <v>163</v>
      </c>
      <c r="AL571" t="s">
        <v>164</v>
      </c>
      <c r="AM571" t="s">
        <v>162</v>
      </c>
      <c r="AN571" t="s">
        <v>192</v>
      </c>
      <c r="AO571" t="s">
        <v>165</v>
      </c>
      <c r="AP571" t="s">
        <v>165</v>
      </c>
      <c r="AQ571">
        <v>1991</v>
      </c>
      <c r="AR571" t="s">
        <v>160</v>
      </c>
      <c r="AS571" t="s">
        <v>160</v>
      </c>
      <c r="AT571" t="s">
        <v>459</v>
      </c>
      <c r="AU571" t="s">
        <v>159</v>
      </c>
      <c r="AV571" t="s">
        <v>159</v>
      </c>
      <c r="AW571" t="s">
        <v>160</v>
      </c>
      <c r="AX571" t="s">
        <v>160</v>
      </c>
      <c r="AY571" t="s">
        <v>160</v>
      </c>
      <c r="AZ571" t="s">
        <v>159</v>
      </c>
      <c r="BA571" t="s">
        <v>159</v>
      </c>
      <c r="BB571" t="s">
        <v>167</v>
      </c>
      <c r="BC571" t="s">
        <v>160</v>
      </c>
      <c r="BD571" t="s">
        <v>2415</v>
      </c>
      <c r="BE571" t="s">
        <v>2416</v>
      </c>
      <c r="BF571" t="s">
        <v>160</v>
      </c>
      <c r="BG571" t="s">
        <v>2416</v>
      </c>
    </row>
    <row r="572" spans="1:59" ht="13" x14ac:dyDescent="0.15">
      <c r="A572" s="4">
        <v>44287.019791666666</v>
      </c>
      <c r="B572" s="4">
        <v>44287.021307870367</v>
      </c>
      <c r="C572" t="s">
        <v>39</v>
      </c>
      <c r="D572" t="s">
        <v>2417</v>
      </c>
      <c r="E572">
        <v>100</v>
      </c>
      <c r="F572">
        <v>131</v>
      </c>
      <c r="G572" t="b">
        <v>1</v>
      </c>
      <c r="H572" s="4">
        <v>44287.021307870367</v>
      </c>
      <c r="I572" t="s">
        <v>2418</v>
      </c>
      <c r="N572">
        <v>36.351898193359297</v>
      </c>
      <c r="O572">
        <v>-94.219703674316406</v>
      </c>
      <c r="P572" t="s">
        <v>153</v>
      </c>
      <c r="Q572" t="s">
        <v>154</v>
      </c>
      <c r="R572" t="s">
        <v>155</v>
      </c>
      <c r="S572" t="s">
        <v>274</v>
      </c>
      <c r="T572" t="s">
        <v>176</v>
      </c>
      <c r="U572" t="s">
        <v>2419</v>
      </c>
      <c r="V572" t="s">
        <v>160</v>
      </c>
      <c r="W572" t="s">
        <v>160</v>
      </c>
      <c r="X572" t="s">
        <v>160</v>
      </c>
      <c r="Y572" t="s">
        <v>160</v>
      </c>
      <c r="Z572" t="s">
        <v>160</v>
      </c>
      <c r="AA572" t="s">
        <v>159</v>
      </c>
      <c r="AB572" t="s">
        <v>160</v>
      </c>
      <c r="AC572" t="s">
        <v>159</v>
      </c>
      <c r="AD572" t="s">
        <v>160</v>
      </c>
      <c r="AE572" t="s">
        <v>160</v>
      </c>
      <c r="AF572" t="s">
        <v>159</v>
      </c>
      <c r="AG572" t="s">
        <v>160</v>
      </c>
      <c r="AH572">
        <v>1</v>
      </c>
      <c r="AI572" t="s">
        <v>160</v>
      </c>
      <c r="AJ572" t="s">
        <v>192</v>
      </c>
      <c r="AK572" t="s">
        <v>198</v>
      </c>
      <c r="AL572" t="s">
        <v>163</v>
      </c>
      <c r="AM572" t="s">
        <v>164</v>
      </c>
      <c r="AN572" t="s">
        <v>162</v>
      </c>
      <c r="AO572" t="s">
        <v>165</v>
      </c>
      <c r="AP572" t="s">
        <v>165</v>
      </c>
      <c r="AQ572">
        <v>1992</v>
      </c>
      <c r="AR572" t="s">
        <v>160</v>
      </c>
      <c r="AS572" t="s">
        <v>160</v>
      </c>
      <c r="AT572" t="s">
        <v>459</v>
      </c>
      <c r="AU572" t="s">
        <v>159</v>
      </c>
      <c r="AV572" t="s">
        <v>160</v>
      </c>
      <c r="AW572" t="s">
        <v>160</v>
      </c>
      <c r="AX572" t="s">
        <v>159</v>
      </c>
      <c r="AY572" t="s">
        <v>159</v>
      </c>
      <c r="AZ572" t="s">
        <v>159</v>
      </c>
      <c r="BA572" t="s">
        <v>159</v>
      </c>
      <c r="BB572" t="s">
        <v>181</v>
      </c>
      <c r="BC572" t="s">
        <v>160</v>
      </c>
      <c r="BD572" t="s">
        <v>2420</v>
      </c>
      <c r="BE572" t="s">
        <v>2421</v>
      </c>
      <c r="BF572" t="s">
        <v>160</v>
      </c>
      <c r="BG572" t="s">
        <v>2421</v>
      </c>
    </row>
    <row r="573" spans="1:59" ht="13" x14ac:dyDescent="0.15">
      <c r="A573" s="4">
        <v>44287.020370370374</v>
      </c>
      <c r="B573" s="4">
        <v>44287.023148148146</v>
      </c>
      <c r="C573" t="s">
        <v>39</v>
      </c>
      <c r="D573" t="s">
        <v>2422</v>
      </c>
      <c r="E573">
        <v>100</v>
      </c>
      <c r="F573">
        <v>240</v>
      </c>
      <c r="G573" t="b">
        <v>1</v>
      </c>
      <c r="H573" s="4">
        <v>44287.023148148146</v>
      </c>
      <c r="I573" t="s">
        <v>2423</v>
      </c>
      <c r="N573">
        <v>35.392807006835902</v>
      </c>
      <c r="O573">
        <v>-97.554801940917898</v>
      </c>
      <c r="P573" t="s">
        <v>153</v>
      </c>
      <c r="Q573" t="s">
        <v>154</v>
      </c>
      <c r="R573" t="s">
        <v>174</v>
      </c>
      <c r="S573" t="s">
        <v>274</v>
      </c>
      <c r="T573" t="s">
        <v>176</v>
      </c>
      <c r="U573" t="s">
        <v>914</v>
      </c>
      <c r="V573" t="s">
        <v>159</v>
      </c>
      <c r="W573" t="s">
        <v>159</v>
      </c>
      <c r="X573" t="s">
        <v>160</v>
      </c>
      <c r="Y573" t="s">
        <v>160</v>
      </c>
      <c r="Z573" t="s">
        <v>159</v>
      </c>
      <c r="AA573" t="s">
        <v>159</v>
      </c>
      <c r="AB573" t="s">
        <v>159</v>
      </c>
      <c r="AC573" t="s">
        <v>159</v>
      </c>
      <c r="AD573" t="s">
        <v>160</v>
      </c>
      <c r="AE573" t="s">
        <v>160</v>
      </c>
      <c r="AF573" t="s">
        <v>160</v>
      </c>
      <c r="AG573" t="s">
        <v>159</v>
      </c>
      <c r="AH573">
        <v>1</v>
      </c>
      <c r="AI573" t="s">
        <v>159</v>
      </c>
      <c r="AJ573" t="s">
        <v>163</v>
      </c>
      <c r="AK573" t="s">
        <v>162</v>
      </c>
      <c r="AL573" t="s">
        <v>162</v>
      </c>
      <c r="AM573" t="s">
        <v>163</v>
      </c>
      <c r="AN573" t="s">
        <v>163</v>
      </c>
      <c r="AO573" t="s">
        <v>165</v>
      </c>
      <c r="AP573" t="s">
        <v>165</v>
      </c>
      <c r="AQ573" s="9">
        <v>36254</v>
      </c>
      <c r="AR573" t="s">
        <v>160</v>
      </c>
      <c r="AS573" t="s">
        <v>159</v>
      </c>
      <c r="AT573" t="s">
        <v>180</v>
      </c>
      <c r="AU573" t="s">
        <v>160</v>
      </c>
      <c r="AV573" t="s">
        <v>159</v>
      </c>
      <c r="AW573" t="s">
        <v>159</v>
      </c>
      <c r="AX573" t="s">
        <v>159</v>
      </c>
      <c r="AY573" t="s">
        <v>159</v>
      </c>
      <c r="AZ573" t="s">
        <v>160</v>
      </c>
      <c r="BA573" t="s">
        <v>159</v>
      </c>
      <c r="BB573" t="s">
        <v>167</v>
      </c>
      <c r="BC573" t="s">
        <v>160</v>
      </c>
      <c r="BE573" t="s">
        <v>2424</v>
      </c>
      <c r="BF573" t="s">
        <v>159</v>
      </c>
    </row>
    <row r="574" spans="1:59" ht="13" x14ac:dyDescent="0.15">
      <c r="A574" s="4">
        <v>44287.021643518521</v>
      </c>
      <c r="B574" s="4">
        <v>44287.024780092594</v>
      </c>
      <c r="C574" t="s">
        <v>39</v>
      </c>
      <c r="D574" t="s">
        <v>2425</v>
      </c>
      <c r="E574">
        <v>100</v>
      </c>
      <c r="F574">
        <v>270</v>
      </c>
      <c r="G574" t="b">
        <v>1</v>
      </c>
      <c r="H574" s="4">
        <v>44287.024780092594</v>
      </c>
      <c r="I574" t="s">
        <v>2426</v>
      </c>
      <c r="N574">
        <v>30.0032043457031</v>
      </c>
      <c r="O574">
        <v>-97.839698791503906</v>
      </c>
      <c r="P574" t="s">
        <v>153</v>
      </c>
      <c r="Q574" t="s">
        <v>154</v>
      </c>
      <c r="R574" t="s">
        <v>174</v>
      </c>
      <c r="S574" t="s">
        <v>274</v>
      </c>
      <c r="T574" t="s">
        <v>176</v>
      </c>
      <c r="U574" t="s">
        <v>2427</v>
      </c>
      <c r="V574" t="s">
        <v>160</v>
      </c>
      <c r="W574" t="s">
        <v>160</v>
      </c>
      <c r="X574" t="s">
        <v>160</v>
      </c>
      <c r="Y574" t="s">
        <v>160</v>
      </c>
      <c r="Z574" t="s">
        <v>160</v>
      </c>
      <c r="AB574" t="s">
        <v>159</v>
      </c>
      <c r="AC574" t="s">
        <v>159</v>
      </c>
      <c r="AD574" t="s">
        <v>160</v>
      </c>
      <c r="AE574" t="s">
        <v>160</v>
      </c>
      <c r="AF574" t="s">
        <v>159</v>
      </c>
      <c r="AG574" t="s">
        <v>160</v>
      </c>
      <c r="AH574">
        <v>1</v>
      </c>
      <c r="AI574" t="s">
        <v>160</v>
      </c>
      <c r="AJ574" t="s">
        <v>164</v>
      </c>
      <c r="AK574" t="s">
        <v>163</v>
      </c>
      <c r="AL574" t="s">
        <v>198</v>
      </c>
      <c r="AM574" t="s">
        <v>162</v>
      </c>
      <c r="AN574" t="s">
        <v>192</v>
      </c>
      <c r="AO574" t="s">
        <v>165</v>
      </c>
      <c r="AP574" t="s">
        <v>165</v>
      </c>
      <c r="AQ574">
        <v>1994</v>
      </c>
      <c r="AR574" t="s">
        <v>160</v>
      </c>
      <c r="AS574" t="s">
        <v>160</v>
      </c>
      <c r="AT574" t="s">
        <v>459</v>
      </c>
      <c r="AU574" t="s">
        <v>159</v>
      </c>
      <c r="AV574" t="s">
        <v>159</v>
      </c>
      <c r="AW574" t="s">
        <v>159</v>
      </c>
      <c r="AX574" t="s">
        <v>160</v>
      </c>
      <c r="AY574" t="s">
        <v>159</v>
      </c>
      <c r="AZ574" t="s">
        <v>159</v>
      </c>
      <c r="BA574" t="s">
        <v>159</v>
      </c>
      <c r="BB574" t="s">
        <v>167</v>
      </c>
      <c r="BC574" t="s">
        <v>159</v>
      </c>
      <c r="BD574" t="s">
        <v>1189</v>
      </c>
      <c r="BE574" t="s">
        <v>2416</v>
      </c>
      <c r="BF574" t="s">
        <v>160</v>
      </c>
      <c r="BG574" t="s">
        <v>2416</v>
      </c>
    </row>
    <row r="575" spans="1:59" ht="13" x14ac:dyDescent="0.15">
      <c r="A575" s="4">
        <v>44287.023900462962</v>
      </c>
      <c r="B575" s="4">
        <v>44287.02615740741</v>
      </c>
      <c r="C575" t="s">
        <v>39</v>
      </c>
      <c r="D575" t="s">
        <v>2428</v>
      </c>
      <c r="E575">
        <v>100</v>
      </c>
      <c r="F575">
        <v>195</v>
      </c>
      <c r="G575" t="b">
        <v>1</v>
      </c>
      <c r="H575" s="4">
        <v>44287.02616898148</v>
      </c>
      <c r="I575" t="s">
        <v>2429</v>
      </c>
      <c r="N575">
        <v>29.658401489257798</v>
      </c>
      <c r="O575">
        <v>-98.498703002929602</v>
      </c>
      <c r="P575" t="s">
        <v>153</v>
      </c>
      <c r="Q575" t="s">
        <v>154</v>
      </c>
      <c r="R575" t="s">
        <v>174</v>
      </c>
      <c r="S575" t="s">
        <v>208</v>
      </c>
      <c r="T575" t="s">
        <v>176</v>
      </c>
      <c r="U575" t="s">
        <v>491</v>
      </c>
      <c r="V575" t="s">
        <v>160</v>
      </c>
      <c r="W575" t="s">
        <v>160</v>
      </c>
      <c r="X575" t="s">
        <v>160</v>
      </c>
      <c r="Y575" t="s">
        <v>160</v>
      </c>
      <c r="Z575" t="s">
        <v>160</v>
      </c>
      <c r="AA575" t="s">
        <v>160</v>
      </c>
      <c r="AB575" t="s">
        <v>160</v>
      </c>
      <c r="AC575" t="s">
        <v>160</v>
      </c>
      <c r="AD575" t="s">
        <v>160</v>
      </c>
      <c r="AE575" t="s">
        <v>160</v>
      </c>
      <c r="AF575" t="s">
        <v>160</v>
      </c>
      <c r="AG575" t="s">
        <v>160</v>
      </c>
      <c r="AH575">
        <v>4</v>
      </c>
      <c r="AI575" t="s">
        <v>160</v>
      </c>
      <c r="AJ575" t="s">
        <v>192</v>
      </c>
      <c r="AK575" t="s">
        <v>163</v>
      </c>
      <c r="AL575" t="s">
        <v>162</v>
      </c>
      <c r="AM575" t="s">
        <v>163</v>
      </c>
      <c r="AN575" t="s">
        <v>163</v>
      </c>
      <c r="AO575" t="s">
        <v>179</v>
      </c>
      <c r="AP575" t="s">
        <v>179</v>
      </c>
      <c r="AQ575" s="9">
        <v>35023</v>
      </c>
      <c r="AR575" t="s">
        <v>160</v>
      </c>
      <c r="AS575" t="s">
        <v>160</v>
      </c>
      <c r="AT575" t="s">
        <v>180</v>
      </c>
      <c r="AU575" t="s">
        <v>159</v>
      </c>
      <c r="AV575" t="s">
        <v>159</v>
      </c>
      <c r="AW575" t="s">
        <v>159</v>
      </c>
      <c r="AX575" t="s">
        <v>159</v>
      </c>
      <c r="AY575" t="s">
        <v>159</v>
      </c>
      <c r="AZ575" t="s">
        <v>159</v>
      </c>
      <c r="BA575" t="s">
        <v>159</v>
      </c>
      <c r="BB575" t="s">
        <v>167</v>
      </c>
      <c r="BC575" t="s">
        <v>160</v>
      </c>
      <c r="BE575" t="s">
        <v>2430</v>
      </c>
      <c r="BF575" t="s">
        <v>159</v>
      </c>
    </row>
    <row r="576" spans="1:59" ht="13" x14ac:dyDescent="0.15">
      <c r="A576" s="4">
        <v>44287.02511574074</v>
      </c>
      <c r="B576" s="4">
        <v>44287.026747685188</v>
      </c>
      <c r="C576" t="s">
        <v>39</v>
      </c>
      <c r="D576" t="s">
        <v>2431</v>
      </c>
      <c r="E576">
        <v>100</v>
      </c>
      <c r="F576">
        <v>140</v>
      </c>
      <c r="G576" t="b">
        <v>1</v>
      </c>
      <c r="H576" s="4">
        <v>44287.026747685188</v>
      </c>
      <c r="I576" t="s">
        <v>2432</v>
      </c>
      <c r="N576">
        <v>33.391494750976499</v>
      </c>
      <c r="O576">
        <v>-84.563499450683494</v>
      </c>
      <c r="P576" t="s">
        <v>153</v>
      </c>
      <c r="Q576" t="s">
        <v>154</v>
      </c>
      <c r="R576" t="s">
        <v>174</v>
      </c>
      <c r="S576" t="s">
        <v>208</v>
      </c>
      <c r="T576" t="s">
        <v>263</v>
      </c>
      <c r="U576" t="s">
        <v>2433</v>
      </c>
      <c r="V576" t="s">
        <v>160</v>
      </c>
      <c r="W576" t="s">
        <v>160</v>
      </c>
      <c r="X576" t="s">
        <v>160</v>
      </c>
      <c r="Y576" t="s">
        <v>160</v>
      </c>
      <c r="Z576" t="s">
        <v>160</v>
      </c>
      <c r="AA576" t="s">
        <v>159</v>
      </c>
      <c r="AB576" t="s">
        <v>159</v>
      </c>
      <c r="AC576" t="s">
        <v>160</v>
      </c>
      <c r="AD576" t="s">
        <v>160</v>
      </c>
      <c r="AE576" t="s">
        <v>159</v>
      </c>
      <c r="AF576" t="s">
        <v>160</v>
      </c>
      <c r="AG576" t="s">
        <v>160</v>
      </c>
      <c r="AH576">
        <v>0</v>
      </c>
      <c r="AI576" t="s">
        <v>160</v>
      </c>
      <c r="AJ576" t="s">
        <v>192</v>
      </c>
      <c r="AK576" t="s">
        <v>162</v>
      </c>
      <c r="AL576" t="s">
        <v>164</v>
      </c>
      <c r="AM576" t="s">
        <v>163</v>
      </c>
      <c r="AN576" t="s">
        <v>198</v>
      </c>
      <c r="AO576" t="s">
        <v>165</v>
      </c>
      <c r="AP576" t="s">
        <v>165</v>
      </c>
      <c r="AQ576">
        <v>1992</v>
      </c>
      <c r="AR576" t="s">
        <v>160</v>
      </c>
      <c r="AS576" t="s">
        <v>160</v>
      </c>
      <c r="AT576" t="s">
        <v>459</v>
      </c>
      <c r="AU576" t="s">
        <v>159</v>
      </c>
      <c r="AV576" t="s">
        <v>160</v>
      </c>
      <c r="AW576" t="s">
        <v>159</v>
      </c>
      <c r="AX576" t="s">
        <v>159</v>
      </c>
      <c r="AY576" t="s">
        <v>159</v>
      </c>
      <c r="AZ576" t="s">
        <v>159</v>
      </c>
      <c r="BA576" t="s">
        <v>159</v>
      </c>
      <c r="BB576" t="s">
        <v>167</v>
      </c>
      <c r="BC576" t="s">
        <v>160</v>
      </c>
      <c r="BD576" t="s">
        <v>2355</v>
      </c>
      <c r="BE576" t="s">
        <v>2434</v>
      </c>
      <c r="BF576" t="s">
        <v>160</v>
      </c>
      <c r="BG576" t="s">
        <v>2434</v>
      </c>
    </row>
    <row r="577" spans="1:59" ht="13" x14ac:dyDescent="0.15">
      <c r="A577" s="4">
        <v>44287.026909722219</v>
      </c>
      <c r="B577" s="4">
        <v>44287.030347222222</v>
      </c>
      <c r="C577" t="s">
        <v>39</v>
      </c>
      <c r="D577" t="s">
        <v>2435</v>
      </c>
      <c r="E577">
        <v>100</v>
      </c>
      <c r="F577">
        <v>297</v>
      </c>
      <c r="G577" t="b">
        <v>1</v>
      </c>
      <c r="H577" s="4">
        <v>44287.030358796299</v>
      </c>
      <c r="I577" t="s">
        <v>2436</v>
      </c>
      <c r="N577">
        <v>34.726898193359297</v>
      </c>
      <c r="O577">
        <v>-92.344001770019503</v>
      </c>
      <c r="P577" t="s">
        <v>153</v>
      </c>
      <c r="Q577" t="s">
        <v>154</v>
      </c>
      <c r="R577" t="s">
        <v>174</v>
      </c>
      <c r="S577" t="s">
        <v>175</v>
      </c>
      <c r="T577" t="s">
        <v>176</v>
      </c>
      <c r="U577" t="s">
        <v>491</v>
      </c>
      <c r="V577" t="s">
        <v>160</v>
      </c>
      <c r="W577" t="s">
        <v>160</v>
      </c>
      <c r="X577" t="s">
        <v>159</v>
      </c>
      <c r="Y577" t="s">
        <v>160</v>
      </c>
      <c r="Z577" t="s">
        <v>160</v>
      </c>
      <c r="AA577" t="s">
        <v>160</v>
      </c>
      <c r="AB577" t="s">
        <v>160</v>
      </c>
      <c r="AC577" t="s">
        <v>160</v>
      </c>
      <c r="AD577" t="s">
        <v>160</v>
      </c>
      <c r="AE577" t="s">
        <v>160</v>
      </c>
      <c r="AF577" t="s">
        <v>160</v>
      </c>
      <c r="AG577" t="s">
        <v>160</v>
      </c>
      <c r="AH577">
        <v>3</v>
      </c>
      <c r="AI577" t="s">
        <v>160</v>
      </c>
      <c r="AJ577" t="s">
        <v>163</v>
      </c>
      <c r="AK577" t="s">
        <v>162</v>
      </c>
      <c r="AL577" t="s">
        <v>163</v>
      </c>
      <c r="AM577" t="s">
        <v>162</v>
      </c>
      <c r="AN577" t="s">
        <v>163</v>
      </c>
      <c r="AO577" t="s">
        <v>165</v>
      </c>
      <c r="AP577" t="s">
        <v>165</v>
      </c>
      <c r="AQ577" s="9">
        <v>35298</v>
      </c>
      <c r="AR577" t="s">
        <v>160</v>
      </c>
      <c r="AS577" t="s">
        <v>159</v>
      </c>
      <c r="AT577" t="s">
        <v>180</v>
      </c>
      <c r="AU577" t="s">
        <v>159</v>
      </c>
      <c r="AV577" t="s">
        <v>159</v>
      </c>
      <c r="AW577" t="s">
        <v>159</v>
      </c>
      <c r="AX577" t="s">
        <v>159</v>
      </c>
      <c r="AY577" t="s">
        <v>159</v>
      </c>
      <c r="AZ577" t="s">
        <v>159</v>
      </c>
      <c r="BA577" t="s">
        <v>159</v>
      </c>
      <c r="BB577" t="s">
        <v>167</v>
      </c>
      <c r="BC577" t="s">
        <v>160</v>
      </c>
      <c r="BE577" t="s">
        <v>2437</v>
      </c>
      <c r="BF577" t="s">
        <v>159</v>
      </c>
    </row>
    <row r="578" spans="1:59" ht="13" x14ac:dyDescent="0.15">
      <c r="A578" s="4">
        <v>44287.027048611111</v>
      </c>
      <c r="B578" s="4">
        <v>44287.033159722225</v>
      </c>
      <c r="C578" t="s">
        <v>39</v>
      </c>
      <c r="D578" t="s">
        <v>2438</v>
      </c>
      <c r="E578">
        <v>100</v>
      </c>
      <c r="F578">
        <v>528</v>
      </c>
      <c r="G578" t="b">
        <v>1</v>
      </c>
      <c r="H578" s="4">
        <v>44287.033171296294</v>
      </c>
      <c r="I578" t="s">
        <v>2439</v>
      </c>
      <c r="N578">
        <v>33.847396850585902</v>
      </c>
      <c r="O578">
        <v>-118.115798950195</v>
      </c>
      <c r="P578" t="s">
        <v>153</v>
      </c>
      <c r="Q578" t="s">
        <v>154</v>
      </c>
      <c r="R578" t="s">
        <v>174</v>
      </c>
      <c r="S578" t="s">
        <v>274</v>
      </c>
      <c r="T578" t="s">
        <v>263</v>
      </c>
      <c r="U578" t="s">
        <v>2440</v>
      </c>
      <c r="V578" t="s">
        <v>160</v>
      </c>
      <c r="W578" t="s">
        <v>160</v>
      </c>
      <c r="X578" t="s">
        <v>160</v>
      </c>
      <c r="Y578" t="s">
        <v>160</v>
      </c>
      <c r="Z578" t="s">
        <v>159</v>
      </c>
      <c r="AA578" t="s">
        <v>159</v>
      </c>
      <c r="AB578" t="s">
        <v>160</v>
      </c>
      <c r="AC578" t="s">
        <v>160</v>
      </c>
      <c r="AD578" t="s">
        <v>159</v>
      </c>
      <c r="AE578" t="s">
        <v>159</v>
      </c>
      <c r="AF578" t="s">
        <v>160</v>
      </c>
      <c r="AG578" t="s">
        <v>160</v>
      </c>
      <c r="AH578">
        <v>2</v>
      </c>
      <c r="AI578" t="s">
        <v>160</v>
      </c>
      <c r="AJ578" t="s">
        <v>192</v>
      </c>
      <c r="AK578" t="s">
        <v>163</v>
      </c>
      <c r="AL578" t="s">
        <v>164</v>
      </c>
      <c r="AM578" t="s">
        <v>192</v>
      </c>
      <c r="AN578" t="s">
        <v>162</v>
      </c>
      <c r="AO578" t="s">
        <v>165</v>
      </c>
      <c r="AP578" t="s">
        <v>165</v>
      </c>
      <c r="AQ578">
        <v>1992</v>
      </c>
      <c r="AR578" t="s">
        <v>160</v>
      </c>
      <c r="AS578" t="s">
        <v>160</v>
      </c>
      <c r="AT578" t="s">
        <v>322</v>
      </c>
      <c r="AU578" t="s">
        <v>160</v>
      </c>
      <c r="AV578" t="s">
        <v>159</v>
      </c>
      <c r="AW578" t="s">
        <v>159</v>
      </c>
      <c r="AX578" t="s">
        <v>160</v>
      </c>
      <c r="AY578" t="s">
        <v>160</v>
      </c>
      <c r="AZ578" t="s">
        <v>159</v>
      </c>
      <c r="BA578" t="s">
        <v>159</v>
      </c>
      <c r="BB578" t="s">
        <v>241</v>
      </c>
      <c r="BC578" t="s">
        <v>160</v>
      </c>
      <c r="BD578" t="s">
        <v>2358</v>
      </c>
      <c r="BE578" t="s">
        <v>2434</v>
      </c>
      <c r="BF578" t="s">
        <v>160</v>
      </c>
      <c r="BG578" t="s">
        <v>2434</v>
      </c>
    </row>
    <row r="579" spans="1:59" ht="13" x14ac:dyDescent="0.15">
      <c r="A579" s="4">
        <v>44287.030810185184</v>
      </c>
      <c r="B579" s="4">
        <v>44287.033796296295</v>
      </c>
      <c r="C579" t="s">
        <v>39</v>
      </c>
      <c r="D579" t="s">
        <v>2441</v>
      </c>
      <c r="E579">
        <v>100</v>
      </c>
      <c r="F579">
        <v>257</v>
      </c>
      <c r="G579" t="b">
        <v>1</v>
      </c>
      <c r="H579" s="4">
        <v>44287.033796296295</v>
      </c>
      <c r="I579" t="s">
        <v>2442</v>
      </c>
      <c r="N579">
        <v>30.218307495117099</v>
      </c>
      <c r="O579">
        <v>-81.562103271484304</v>
      </c>
      <c r="P579" t="s">
        <v>153</v>
      </c>
      <c r="Q579" t="s">
        <v>154</v>
      </c>
      <c r="R579" t="s">
        <v>174</v>
      </c>
      <c r="S579" t="s">
        <v>175</v>
      </c>
      <c r="T579" t="s">
        <v>263</v>
      </c>
      <c r="U579" t="s">
        <v>491</v>
      </c>
      <c r="V579" t="s">
        <v>159</v>
      </c>
      <c r="W579" t="s">
        <v>160</v>
      </c>
      <c r="X579" t="s">
        <v>159</v>
      </c>
      <c r="Y579" t="s">
        <v>159</v>
      </c>
      <c r="Z579" t="s">
        <v>160</v>
      </c>
      <c r="AA579" t="s">
        <v>160</v>
      </c>
      <c r="AB579" t="s">
        <v>160</v>
      </c>
      <c r="AC579" t="s">
        <v>160</v>
      </c>
      <c r="AD579" t="s">
        <v>160</v>
      </c>
      <c r="AE579" t="s">
        <v>160</v>
      </c>
      <c r="AF579" t="s">
        <v>160</v>
      </c>
      <c r="AG579" t="s">
        <v>160</v>
      </c>
      <c r="AH579">
        <v>3</v>
      </c>
      <c r="AI579" t="s">
        <v>160</v>
      </c>
      <c r="AJ579" t="s">
        <v>163</v>
      </c>
      <c r="AK579" t="s">
        <v>164</v>
      </c>
      <c r="AL579" t="s">
        <v>164</v>
      </c>
      <c r="AM579" t="s">
        <v>163</v>
      </c>
      <c r="AN579" t="s">
        <v>162</v>
      </c>
      <c r="AO579" t="s">
        <v>165</v>
      </c>
      <c r="AP579" t="s">
        <v>165</v>
      </c>
      <c r="AQ579" s="9">
        <v>36432</v>
      </c>
      <c r="AR579" t="s">
        <v>160</v>
      </c>
      <c r="AS579" t="s">
        <v>159</v>
      </c>
      <c r="AT579" t="s">
        <v>180</v>
      </c>
      <c r="AU579" t="s">
        <v>159</v>
      </c>
      <c r="AV579" t="s">
        <v>159</v>
      </c>
      <c r="AW579" t="s">
        <v>159</v>
      </c>
      <c r="AX579" t="s">
        <v>159</v>
      </c>
      <c r="AY579" t="s">
        <v>159</v>
      </c>
      <c r="AZ579" t="s">
        <v>159</v>
      </c>
      <c r="BA579" t="s">
        <v>159</v>
      </c>
      <c r="BB579" t="s">
        <v>167</v>
      </c>
      <c r="BC579" t="s">
        <v>160</v>
      </c>
      <c r="BE579" t="s">
        <v>2443</v>
      </c>
      <c r="BF579" t="s">
        <v>159</v>
      </c>
    </row>
    <row r="580" spans="1:59" ht="13" x14ac:dyDescent="0.15">
      <c r="A580" s="4">
        <v>44287.033553240741</v>
      </c>
      <c r="B580" s="4">
        <v>44287.03528935185</v>
      </c>
      <c r="C580" t="s">
        <v>39</v>
      </c>
      <c r="D580" t="s">
        <v>2444</v>
      </c>
      <c r="E580">
        <v>100</v>
      </c>
      <c r="F580">
        <v>150</v>
      </c>
      <c r="G580" t="b">
        <v>1</v>
      </c>
      <c r="H580" s="4">
        <v>44287.03528935185</v>
      </c>
      <c r="I580" t="s">
        <v>2445</v>
      </c>
      <c r="N580">
        <v>30.073593139648398</v>
      </c>
      <c r="O580">
        <v>-95.620300292968693</v>
      </c>
      <c r="P580" t="s">
        <v>153</v>
      </c>
      <c r="Q580" t="s">
        <v>154</v>
      </c>
      <c r="R580" t="s">
        <v>155</v>
      </c>
      <c r="S580" t="s">
        <v>274</v>
      </c>
      <c r="T580" t="s">
        <v>176</v>
      </c>
      <c r="U580" t="s">
        <v>2446</v>
      </c>
      <c r="V580" t="s">
        <v>160</v>
      </c>
      <c r="W580" t="s">
        <v>160</v>
      </c>
      <c r="X580" t="s">
        <v>159</v>
      </c>
      <c r="Y580" t="s">
        <v>159</v>
      </c>
      <c r="Z580" t="s">
        <v>159</v>
      </c>
      <c r="AA580" t="s">
        <v>160</v>
      </c>
      <c r="AB580" t="s">
        <v>159</v>
      </c>
      <c r="AC580" t="s">
        <v>160</v>
      </c>
      <c r="AD580" t="s">
        <v>159</v>
      </c>
      <c r="AE580" t="s">
        <v>160</v>
      </c>
      <c r="AG580" t="s">
        <v>160</v>
      </c>
      <c r="AH580">
        <v>2</v>
      </c>
      <c r="AI580" t="s">
        <v>160</v>
      </c>
      <c r="AJ580" t="s">
        <v>192</v>
      </c>
      <c r="AK580" t="s">
        <v>163</v>
      </c>
      <c r="AL580" t="s">
        <v>164</v>
      </c>
      <c r="AM580" t="s">
        <v>162</v>
      </c>
      <c r="AN580" t="s">
        <v>192</v>
      </c>
      <c r="AO580" t="s">
        <v>165</v>
      </c>
      <c r="AP580" t="s">
        <v>165</v>
      </c>
      <c r="AQ580">
        <v>1993</v>
      </c>
      <c r="AR580" t="s">
        <v>160</v>
      </c>
      <c r="AS580" t="s">
        <v>160</v>
      </c>
      <c r="AT580" t="s">
        <v>2447</v>
      </c>
      <c r="AU580" t="s">
        <v>160</v>
      </c>
      <c r="AV580" t="s">
        <v>160</v>
      </c>
      <c r="AW580" t="s">
        <v>159</v>
      </c>
      <c r="AX580" t="s">
        <v>159</v>
      </c>
      <c r="AY580" t="s">
        <v>159</v>
      </c>
      <c r="AZ580" t="s">
        <v>159</v>
      </c>
      <c r="BA580" t="s">
        <v>159</v>
      </c>
      <c r="BB580" t="s">
        <v>167</v>
      </c>
      <c r="BC580" t="s">
        <v>160</v>
      </c>
      <c r="BD580" t="s">
        <v>1914</v>
      </c>
      <c r="BE580" t="s">
        <v>2448</v>
      </c>
      <c r="BF580" t="s">
        <v>160</v>
      </c>
      <c r="BG580" t="s">
        <v>2448</v>
      </c>
    </row>
    <row r="581" spans="1:59" ht="13" x14ac:dyDescent="0.15">
      <c r="A581" s="4">
        <v>44287.034247685187</v>
      </c>
      <c r="B581" s="4">
        <v>44287.036099537036</v>
      </c>
      <c r="C581" t="s">
        <v>39</v>
      </c>
      <c r="D581" t="s">
        <v>2449</v>
      </c>
      <c r="E581">
        <v>100</v>
      </c>
      <c r="F581">
        <v>159</v>
      </c>
      <c r="G581" t="b">
        <v>1</v>
      </c>
      <c r="H581" s="4">
        <v>44287.036099537036</v>
      </c>
      <c r="I581" t="s">
        <v>2450</v>
      </c>
      <c r="N581">
        <v>32.297195434570298</v>
      </c>
      <c r="O581">
        <v>-96.118797302245994</v>
      </c>
      <c r="P581" t="s">
        <v>153</v>
      </c>
      <c r="Q581" t="s">
        <v>154</v>
      </c>
      <c r="R581" t="s">
        <v>174</v>
      </c>
      <c r="S581" t="s">
        <v>175</v>
      </c>
      <c r="T581" t="s">
        <v>176</v>
      </c>
      <c r="U581" t="s">
        <v>491</v>
      </c>
      <c r="V581" t="s">
        <v>159</v>
      </c>
      <c r="W581" t="s">
        <v>160</v>
      </c>
      <c r="X581" t="s">
        <v>159</v>
      </c>
      <c r="Y581" t="s">
        <v>159</v>
      </c>
      <c r="Z581" t="s">
        <v>160</v>
      </c>
      <c r="AA581" t="s">
        <v>160</v>
      </c>
      <c r="AB581" t="s">
        <v>160</v>
      </c>
      <c r="AC581" t="s">
        <v>160</v>
      </c>
      <c r="AD581" t="s">
        <v>160</v>
      </c>
      <c r="AE581" t="s">
        <v>160</v>
      </c>
      <c r="AF581" t="s">
        <v>160</v>
      </c>
      <c r="AG581" t="s">
        <v>159</v>
      </c>
      <c r="AH581">
        <v>4</v>
      </c>
      <c r="AI581" t="s">
        <v>160</v>
      </c>
      <c r="AJ581" t="s">
        <v>164</v>
      </c>
      <c r="AK581" t="s">
        <v>163</v>
      </c>
      <c r="AL581" t="s">
        <v>162</v>
      </c>
      <c r="AM581" t="s">
        <v>164</v>
      </c>
      <c r="AN581" t="s">
        <v>163</v>
      </c>
      <c r="AO581" t="s">
        <v>179</v>
      </c>
      <c r="AP581" t="s">
        <v>179</v>
      </c>
      <c r="AQ581" s="9">
        <v>35659</v>
      </c>
      <c r="AR581" t="s">
        <v>160</v>
      </c>
      <c r="AS581" t="s">
        <v>160</v>
      </c>
      <c r="AT581" t="s">
        <v>180</v>
      </c>
      <c r="AU581" t="s">
        <v>159</v>
      </c>
      <c r="AV581" t="s">
        <v>159</v>
      </c>
      <c r="AW581" t="s">
        <v>159</v>
      </c>
      <c r="AX581" t="s">
        <v>159</v>
      </c>
      <c r="AY581" t="s">
        <v>159</v>
      </c>
      <c r="AZ581" t="s">
        <v>160</v>
      </c>
      <c r="BA581" t="s">
        <v>159</v>
      </c>
      <c r="BB581" t="s">
        <v>181</v>
      </c>
      <c r="BC581" t="s">
        <v>160</v>
      </c>
      <c r="BE581" t="s">
        <v>2451</v>
      </c>
      <c r="BF581" t="s">
        <v>159</v>
      </c>
    </row>
    <row r="582" spans="1:59" ht="13" x14ac:dyDescent="0.15">
      <c r="A582" s="4">
        <v>44287.036493055559</v>
      </c>
      <c r="B582" s="4">
        <v>44287.038425925923</v>
      </c>
      <c r="C582" t="s">
        <v>39</v>
      </c>
      <c r="D582" t="s">
        <v>2452</v>
      </c>
      <c r="E582">
        <v>100</v>
      </c>
      <c r="F582">
        <v>167</v>
      </c>
      <c r="G582" t="b">
        <v>1</v>
      </c>
      <c r="H582" s="4">
        <v>44287.038425925923</v>
      </c>
      <c r="I582" t="s">
        <v>2453</v>
      </c>
      <c r="N582">
        <v>43.529495239257798</v>
      </c>
      <c r="O582">
        <v>-90.000503540039006</v>
      </c>
      <c r="P582" t="s">
        <v>153</v>
      </c>
      <c r="Q582" t="s">
        <v>154</v>
      </c>
      <c r="R582" t="s">
        <v>174</v>
      </c>
      <c r="S582" t="s">
        <v>274</v>
      </c>
      <c r="T582" t="s">
        <v>176</v>
      </c>
      <c r="U582" t="s">
        <v>2454</v>
      </c>
      <c r="V582" t="s">
        <v>160</v>
      </c>
      <c r="W582" t="s">
        <v>160</v>
      </c>
      <c r="X582" t="s">
        <v>159</v>
      </c>
      <c r="Y582" t="s">
        <v>159</v>
      </c>
      <c r="Z582" t="s">
        <v>160</v>
      </c>
      <c r="AA582" t="s">
        <v>159</v>
      </c>
      <c r="AB582" t="s">
        <v>160</v>
      </c>
      <c r="AC582" t="s">
        <v>159</v>
      </c>
      <c r="AD582" t="s">
        <v>159</v>
      </c>
      <c r="AE582" t="s">
        <v>160</v>
      </c>
      <c r="AF582" t="s">
        <v>159</v>
      </c>
      <c r="AG582" t="s">
        <v>160</v>
      </c>
      <c r="AH582">
        <v>1</v>
      </c>
      <c r="AI582" t="s">
        <v>159</v>
      </c>
      <c r="AJ582" t="s">
        <v>164</v>
      </c>
      <c r="AK582" t="s">
        <v>163</v>
      </c>
      <c r="AL582" t="s">
        <v>164</v>
      </c>
      <c r="AM582" t="s">
        <v>162</v>
      </c>
      <c r="AN582" t="s">
        <v>163</v>
      </c>
      <c r="AO582" t="s">
        <v>179</v>
      </c>
      <c r="AP582" t="s">
        <v>179</v>
      </c>
      <c r="AQ582">
        <v>1990</v>
      </c>
      <c r="AR582" t="s">
        <v>160</v>
      </c>
      <c r="AS582" t="s">
        <v>160</v>
      </c>
      <c r="AT582" t="s">
        <v>210</v>
      </c>
      <c r="AU582" t="s">
        <v>159</v>
      </c>
      <c r="AV582" t="s">
        <v>159</v>
      </c>
      <c r="AW582" t="s">
        <v>159</v>
      </c>
      <c r="AX582" t="s">
        <v>160</v>
      </c>
      <c r="AY582" t="s">
        <v>159</v>
      </c>
      <c r="AZ582" t="s">
        <v>159</v>
      </c>
      <c r="BA582" t="s">
        <v>159</v>
      </c>
      <c r="BB582" t="s">
        <v>241</v>
      </c>
      <c r="BC582" t="s">
        <v>159</v>
      </c>
      <c r="BD582" t="s">
        <v>282</v>
      </c>
      <c r="BE582" t="s">
        <v>2455</v>
      </c>
      <c r="BF582" t="s">
        <v>160</v>
      </c>
      <c r="BG582" t="s">
        <v>2455</v>
      </c>
    </row>
    <row r="583" spans="1:59" ht="13" x14ac:dyDescent="0.15">
      <c r="A583" s="4">
        <v>44287.036909722221</v>
      </c>
      <c r="B583" s="4">
        <v>44287.039398148147</v>
      </c>
      <c r="C583" t="s">
        <v>39</v>
      </c>
      <c r="D583" t="s">
        <v>2456</v>
      </c>
      <c r="E583">
        <v>100</v>
      </c>
      <c r="F583">
        <v>215</v>
      </c>
      <c r="G583" t="b">
        <v>1</v>
      </c>
      <c r="H583" s="4">
        <v>44287.039398148147</v>
      </c>
      <c r="I583" t="s">
        <v>2457</v>
      </c>
      <c r="N583">
        <v>38.3078002929687</v>
      </c>
      <c r="O583">
        <v>-85.735900878906193</v>
      </c>
      <c r="P583" t="s">
        <v>153</v>
      </c>
      <c r="Q583" t="s">
        <v>154</v>
      </c>
      <c r="R583" t="s">
        <v>174</v>
      </c>
      <c r="S583" t="s">
        <v>208</v>
      </c>
      <c r="T583" t="s">
        <v>157</v>
      </c>
      <c r="U583" t="s">
        <v>261</v>
      </c>
      <c r="V583" t="s">
        <v>160</v>
      </c>
      <c r="W583" t="s">
        <v>160</v>
      </c>
      <c r="X583" t="s">
        <v>160</v>
      </c>
      <c r="Y583" t="s">
        <v>160</v>
      </c>
      <c r="Z583" t="s">
        <v>160</v>
      </c>
      <c r="AA583" t="s">
        <v>160</v>
      </c>
      <c r="AB583" t="s">
        <v>160</v>
      </c>
      <c r="AC583" t="s">
        <v>160</v>
      </c>
      <c r="AD583" t="s">
        <v>160</v>
      </c>
      <c r="AE583" t="s">
        <v>160</v>
      </c>
      <c r="AF583" t="s">
        <v>160</v>
      </c>
      <c r="AG583" t="s">
        <v>160</v>
      </c>
      <c r="AH583">
        <v>4</v>
      </c>
      <c r="AI583" t="s">
        <v>160</v>
      </c>
      <c r="AJ583" t="s">
        <v>164</v>
      </c>
      <c r="AK583" t="s">
        <v>198</v>
      </c>
      <c r="AL583" t="s">
        <v>164</v>
      </c>
      <c r="AM583" t="s">
        <v>163</v>
      </c>
      <c r="AN583" t="s">
        <v>162</v>
      </c>
      <c r="AO583" t="s">
        <v>165</v>
      </c>
      <c r="AP583" t="s">
        <v>165</v>
      </c>
      <c r="AQ583" s="9">
        <v>36559</v>
      </c>
      <c r="AR583" t="s">
        <v>160</v>
      </c>
      <c r="AS583" t="s">
        <v>159</v>
      </c>
      <c r="AT583" t="s">
        <v>180</v>
      </c>
      <c r="AU583" t="s">
        <v>159</v>
      </c>
      <c r="AV583" t="s">
        <v>159</v>
      </c>
      <c r="AW583" t="s">
        <v>159</v>
      </c>
      <c r="AX583" t="s">
        <v>159</v>
      </c>
      <c r="AY583" t="s">
        <v>159</v>
      </c>
      <c r="AZ583" t="s">
        <v>159</v>
      </c>
      <c r="BA583" t="s">
        <v>159</v>
      </c>
      <c r="BB583" t="s">
        <v>167</v>
      </c>
      <c r="BC583" t="s">
        <v>159</v>
      </c>
      <c r="BE583" t="s">
        <v>2458</v>
      </c>
      <c r="BF583" t="s">
        <v>159</v>
      </c>
    </row>
    <row r="584" spans="1:59" ht="13" x14ac:dyDescent="0.15">
      <c r="A584" s="4">
        <v>44287.038912037038</v>
      </c>
      <c r="B584" s="4">
        <v>44287.042256944442</v>
      </c>
      <c r="C584" t="s">
        <v>39</v>
      </c>
      <c r="D584" t="s">
        <v>2459</v>
      </c>
      <c r="E584">
        <v>100</v>
      </c>
      <c r="F584">
        <v>288</v>
      </c>
      <c r="G584" t="b">
        <v>1</v>
      </c>
      <c r="H584" s="4">
        <v>44287.042256944442</v>
      </c>
      <c r="I584" t="s">
        <v>2460</v>
      </c>
      <c r="N584">
        <v>44.760101318359297</v>
      </c>
      <c r="O584">
        <v>-93.274803161620994</v>
      </c>
      <c r="P584" t="s">
        <v>153</v>
      </c>
      <c r="Q584" t="s">
        <v>154</v>
      </c>
      <c r="R584" t="s">
        <v>174</v>
      </c>
      <c r="S584" t="s">
        <v>310</v>
      </c>
      <c r="T584" t="s">
        <v>157</v>
      </c>
      <c r="U584" t="s">
        <v>2461</v>
      </c>
      <c r="V584" t="s">
        <v>159</v>
      </c>
      <c r="W584" t="s">
        <v>160</v>
      </c>
      <c r="X584" t="s">
        <v>160</v>
      </c>
      <c r="Y584" t="s">
        <v>160</v>
      </c>
      <c r="Z584" t="s">
        <v>159</v>
      </c>
      <c r="AA584" t="s">
        <v>159</v>
      </c>
      <c r="AB584" t="s">
        <v>160</v>
      </c>
      <c r="AC584" t="s">
        <v>160</v>
      </c>
      <c r="AD584" t="s">
        <v>159</v>
      </c>
      <c r="AE584" t="s">
        <v>160</v>
      </c>
      <c r="AF584" t="s">
        <v>159</v>
      </c>
      <c r="AG584" t="s">
        <v>160</v>
      </c>
      <c r="AH584">
        <v>0</v>
      </c>
      <c r="AI584" t="s">
        <v>160</v>
      </c>
      <c r="AJ584" t="s">
        <v>164</v>
      </c>
      <c r="AK584" t="s">
        <v>162</v>
      </c>
      <c r="AL584" t="s">
        <v>192</v>
      </c>
      <c r="AM584" t="s">
        <v>198</v>
      </c>
      <c r="AN584" t="s">
        <v>163</v>
      </c>
      <c r="AO584" t="s">
        <v>165</v>
      </c>
      <c r="AP584" t="s">
        <v>165</v>
      </c>
      <c r="AQ584">
        <v>1992</v>
      </c>
      <c r="AR584" t="s">
        <v>160</v>
      </c>
      <c r="AS584" t="s">
        <v>160</v>
      </c>
      <c r="AT584" t="s">
        <v>180</v>
      </c>
      <c r="AU584" t="s">
        <v>159</v>
      </c>
      <c r="AV584" t="s">
        <v>159</v>
      </c>
      <c r="AW584" t="s">
        <v>159</v>
      </c>
      <c r="AX584" t="s">
        <v>159</v>
      </c>
      <c r="AY584" t="s">
        <v>160</v>
      </c>
      <c r="AZ584" t="s">
        <v>159</v>
      </c>
      <c r="BA584" t="s">
        <v>159</v>
      </c>
      <c r="BB584" t="s">
        <v>222</v>
      </c>
      <c r="BC584" t="s">
        <v>160</v>
      </c>
      <c r="BD584" t="s">
        <v>2462</v>
      </c>
      <c r="BE584" t="s">
        <v>2463</v>
      </c>
      <c r="BF584" t="s">
        <v>160</v>
      </c>
      <c r="BG584" t="s">
        <v>2463</v>
      </c>
    </row>
    <row r="585" spans="1:59" ht="13" x14ac:dyDescent="0.15">
      <c r="A585" s="4">
        <v>44287.04005787037</v>
      </c>
      <c r="B585" s="4">
        <v>44287.042627314811</v>
      </c>
      <c r="C585" t="s">
        <v>39</v>
      </c>
      <c r="D585" t="s">
        <v>2464</v>
      </c>
      <c r="E585">
        <v>100</v>
      </c>
      <c r="F585">
        <v>221</v>
      </c>
      <c r="G585" t="b">
        <v>1</v>
      </c>
      <c r="H585" s="4">
        <v>44287.042627314811</v>
      </c>
      <c r="I585" t="s">
        <v>2465</v>
      </c>
      <c r="N585">
        <v>42.244094848632798</v>
      </c>
      <c r="O585">
        <v>-71.168800354003906</v>
      </c>
      <c r="P585" t="s">
        <v>153</v>
      </c>
      <c r="Q585" t="s">
        <v>154</v>
      </c>
      <c r="R585" t="s">
        <v>174</v>
      </c>
      <c r="S585" t="s">
        <v>156</v>
      </c>
      <c r="T585" t="s">
        <v>237</v>
      </c>
      <c r="U585" t="s">
        <v>261</v>
      </c>
      <c r="V585" t="s">
        <v>159</v>
      </c>
      <c r="W585" t="s">
        <v>160</v>
      </c>
      <c r="X585" t="s">
        <v>160</v>
      </c>
      <c r="Y585" t="s">
        <v>160</v>
      </c>
      <c r="Z585" t="s">
        <v>159</v>
      </c>
      <c r="AA585" t="s">
        <v>159</v>
      </c>
      <c r="AB585" t="s">
        <v>159</v>
      </c>
      <c r="AC585" t="s">
        <v>159</v>
      </c>
      <c r="AD585" t="s">
        <v>159</v>
      </c>
      <c r="AE585" t="s">
        <v>159</v>
      </c>
      <c r="AF585" t="s">
        <v>159</v>
      </c>
      <c r="AG585" t="s">
        <v>159</v>
      </c>
      <c r="AH585">
        <v>2</v>
      </c>
      <c r="AI585" t="s">
        <v>160</v>
      </c>
      <c r="AJ585" t="s">
        <v>164</v>
      </c>
      <c r="AK585" t="s">
        <v>163</v>
      </c>
      <c r="AL585" t="s">
        <v>162</v>
      </c>
      <c r="AM585" t="s">
        <v>163</v>
      </c>
      <c r="AN585" t="s">
        <v>163</v>
      </c>
      <c r="AO585" t="s">
        <v>179</v>
      </c>
      <c r="AP585" t="s">
        <v>179</v>
      </c>
      <c r="AQ585" s="9">
        <v>36687</v>
      </c>
      <c r="AR585" t="s">
        <v>160</v>
      </c>
      <c r="AS585" t="s">
        <v>159</v>
      </c>
      <c r="AT585" t="s">
        <v>180</v>
      </c>
      <c r="AU585" t="s">
        <v>159</v>
      </c>
      <c r="AV585" t="s">
        <v>159</v>
      </c>
      <c r="AW585" t="s">
        <v>159</v>
      </c>
      <c r="AX585" t="s">
        <v>159</v>
      </c>
      <c r="AY585" t="s">
        <v>159</v>
      </c>
      <c r="AZ585" t="s">
        <v>159</v>
      </c>
      <c r="BA585" t="s">
        <v>159</v>
      </c>
      <c r="BB585" t="s">
        <v>167</v>
      </c>
      <c r="BC585" t="s">
        <v>159</v>
      </c>
      <c r="BE585" t="s">
        <v>2466</v>
      </c>
      <c r="BF585" t="s">
        <v>159</v>
      </c>
    </row>
    <row r="586" spans="1:59" ht="13" x14ac:dyDescent="0.15">
      <c r="A586" s="4">
        <v>44287.042685185188</v>
      </c>
      <c r="B586" s="4">
        <v>44287.044803240744</v>
      </c>
      <c r="C586" t="s">
        <v>39</v>
      </c>
      <c r="D586" t="s">
        <v>2467</v>
      </c>
      <c r="E586">
        <v>100</v>
      </c>
      <c r="F586">
        <v>183</v>
      </c>
      <c r="G586" t="b">
        <v>1</v>
      </c>
      <c r="H586" s="4">
        <v>44287.044803240744</v>
      </c>
      <c r="I586" t="s">
        <v>2468</v>
      </c>
      <c r="N586">
        <v>44.9465942382812</v>
      </c>
      <c r="O586">
        <v>-123.010498046875</v>
      </c>
      <c r="P586" t="s">
        <v>153</v>
      </c>
      <c r="Q586" t="s">
        <v>154</v>
      </c>
      <c r="R586" t="s">
        <v>155</v>
      </c>
      <c r="S586" t="s">
        <v>226</v>
      </c>
      <c r="T586" t="s">
        <v>157</v>
      </c>
      <c r="U586" t="s">
        <v>2469</v>
      </c>
      <c r="V586" t="s">
        <v>160</v>
      </c>
      <c r="W586" t="s">
        <v>160</v>
      </c>
      <c r="X586" t="s">
        <v>160</v>
      </c>
      <c r="Y586" t="s">
        <v>159</v>
      </c>
      <c r="Z586" t="s">
        <v>159</v>
      </c>
      <c r="AA586" t="s">
        <v>160</v>
      </c>
      <c r="AB586" t="s">
        <v>159</v>
      </c>
      <c r="AC586" t="s">
        <v>160</v>
      </c>
      <c r="AD586" t="s">
        <v>160</v>
      </c>
      <c r="AE586" t="s">
        <v>159</v>
      </c>
      <c r="AF586" t="s">
        <v>159</v>
      </c>
      <c r="AG586" t="s">
        <v>160</v>
      </c>
      <c r="AH586">
        <v>1</v>
      </c>
      <c r="AI586" t="s">
        <v>160</v>
      </c>
      <c r="AJ586" t="s">
        <v>163</v>
      </c>
      <c r="AK586" t="s">
        <v>164</v>
      </c>
      <c r="AL586" t="s">
        <v>162</v>
      </c>
      <c r="AM586" t="s">
        <v>192</v>
      </c>
      <c r="AN586" t="s">
        <v>198</v>
      </c>
      <c r="AO586" t="s">
        <v>179</v>
      </c>
      <c r="AP586" t="s">
        <v>179</v>
      </c>
      <c r="AQ586">
        <v>1989</v>
      </c>
      <c r="AR586" t="s">
        <v>160</v>
      </c>
      <c r="AS586" t="s">
        <v>159</v>
      </c>
      <c r="AT586" t="s">
        <v>322</v>
      </c>
      <c r="AU586" t="s">
        <v>160</v>
      </c>
      <c r="AV586" t="s">
        <v>159</v>
      </c>
      <c r="AW586" t="s">
        <v>159</v>
      </c>
      <c r="AX586" t="s">
        <v>159</v>
      </c>
      <c r="AY586" t="s">
        <v>159</v>
      </c>
      <c r="AZ586" t="s">
        <v>159</v>
      </c>
      <c r="BA586" t="s">
        <v>159</v>
      </c>
      <c r="BB586" t="s">
        <v>222</v>
      </c>
      <c r="BC586" t="s">
        <v>160</v>
      </c>
      <c r="BE586" t="s">
        <v>2470</v>
      </c>
      <c r="BF586" t="s">
        <v>160</v>
      </c>
      <c r="BG586" t="s">
        <v>2470</v>
      </c>
    </row>
    <row r="587" spans="1:59" ht="13" x14ac:dyDescent="0.15">
      <c r="A587" s="4">
        <v>44287.043078703704</v>
      </c>
      <c r="B587" s="4">
        <v>44287.045416666668</v>
      </c>
      <c r="C587" t="s">
        <v>39</v>
      </c>
      <c r="D587" t="s">
        <v>2471</v>
      </c>
      <c r="E587">
        <v>100</v>
      </c>
      <c r="F587">
        <v>201</v>
      </c>
      <c r="G587" t="b">
        <v>1</v>
      </c>
      <c r="H587" s="4">
        <v>44287.045416666668</v>
      </c>
      <c r="I587" t="s">
        <v>2472</v>
      </c>
      <c r="N587">
        <v>34.7666015625</v>
      </c>
      <c r="O587">
        <v>-84.984802246093693</v>
      </c>
      <c r="P587" t="s">
        <v>153</v>
      </c>
      <c r="Q587" t="s">
        <v>154</v>
      </c>
      <c r="R587" t="s">
        <v>174</v>
      </c>
      <c r="S587" t="s">
        <v>175</v>
      </c>
      <c r="T587" t="s">
        <v>245</v>
      </c>
      <c r="U587" t="s">
        <v>2473</v>
      </c>
      <c r="V587" t="s">
        <v>159</v>
      </c>
      <c r="W587" t="s">
        <v>159</v>
      </c>
      <c r="X587" t="s">
        <v>160</v>
      </c>
      <c r="Y587" t="s">
        <v>160</v>
      </c>
      <c r="Z587" t="s">
        <v>159</v>
      </c>
      <c r="AA587" t="s">
        <v>159</v>
      </c>
      <c r="AB587" t="s">
        <v>159</v>
      </c>
      <c r="AC587" t="s">
        <v>159</v>
      </c>
      <c r="AD587" t="s">
        <v>159</v>
      </c>
      <c r="AE587" t="s">
        <v>159</v>
      </c>
      <c r="AF587" t="s">
        <v>159</v>
      </c>
      <c r="AG587" t="s">
        <v>159</v>
      </c>
      <c r="AH587">
        <v>0</v>
      </c>
      <c r="AI587" t="s">
        <v>159</v>
      </c>
      <c r="AJ587" t="s">
        <v>163</v>
      </c>
      <c r="AK587" t="s">
        <v>164</v>
      </c>
      <c r="AL587" t="s">
        <v>163</v>
      </c>
      <c r="AM587" t="s">
        <v>162</v>
      </c>
      <c r="AN587" t="s">
        <v>163</v>
      </c>
      <c r="AO587" t="s">
        <v>179</v>
      </c>
      <c r="AP587" t="s">
        <v>179</v>
      </c>
      <c r="AQ587" s="9">
        <v>36746</v>
      </c>
      <c r="AR587" t="s">
        <v>160</v>
      </c>
      <c r="AS587" t="s">
        <v>159</v>
      </c>
      <c r="AT587" t="s">
        <v>180</v>
      </c>
      <c r="AU587" t="s">
        <v>159</v>
      </c>
      <c r="AV587" t="s">
        <v>159</v>
      </c>
      <c r="AW587" t="s">
        <v>159</v>
      </c>
      <c r="AX587" t="s">
        <v>159</v>
      </c>
      <c r="AY587" t="s">
        <v>159</v>
      </c>
      <c r="AZ587" t="s">
        <v>160</v>
      </c>
      <c r="BA587" t="s">
        <v>159</v>
      </c>
      <c r="BB587" t="s">
        <v>167</v>
      </c>
      <c r="BC587" t="s">
        <v>159</v>
      </c>
      <c r="BE587" t="s">
        <v>2474</v>
      </c>
      <c r="BF587" t="s">
        <v>159</v>
      </c>
    </row>
    <row r="588" spans="1:59" ht="13" x14ac:dyDescent="0.15">
      <c r="A588" s="4">
        <v>44287.045891203707</v>
      </c>
      <c r="B588" s="4">
        <v>44287.048310185186</v>
      </c>
      <c r="C588" t="s">
        <v>39</v>
      </c>
      <c r="D588" t="s">
        <v>2475</v>
      </c>
      <c r="E588">
        <v>100</v>
      </c>
      <c r="F588">
        <v>209</v>
      </c>
      <c r="G588" t="b">
        <v>1</v>
      </c>
      <c r="H588" s="4">
        <v>44287.048321759263</v>
      </c>
      <c r="I588" t="s">
        <v>2476</v>
      </c>
      <c r="N588">
        <v>38.851104736328097</v>
      </c>
      <c r="O588">
        <v>-104.768798828125</v>
      </c>
      <c r="P588" t="s">
        <v>153</v>
      </c>
      <c r="Q588" t="s">
        <v>154</v>
      </c>
      <c r="R588" t="s">
        <v>174</v>
      </c>
      <c r="S588" t="s">
        <v>175</v>
      </c>
      <c r="T588" t="s">
        <v>157</v>
      </c>
      <c r="U588" t="s">
        <v>491</v>
      </c>
      <c r="V588" t="s">
        <v>159</v>
      </c>
      <c r="W588" t="s">
        <v>160</v>
      </c>
      <c r="X588" t="s">
        <v>159</v>
      </c>
      <c r="Y588" t="s">
        <v>159</v>
      </c>
      <c r="Z588" t="s">
        <v>159</v>
      </c>
      <c r="AA588" t="s">
        <v>159</v>
      </c>
      <c r="AB588" t="s">
        <v>159</v>
      </c>
      <c r="AC588" t="s">
        <v>159</v>
      </c>
      <c r="AD588" t="s">
        <v>159</v>
      </c>
      <c r="AE588" t="s">
        <v>160</v>
      </c>
      <c r="AF588" t="s">
        <v>160</v>
      </c>
      <c r="AG588" t="s">
        <v>159</v>
      </c>
      <c r="AH588">
        <v>2</v>
      </c>
      <c r="AI588" t="s">
        <v>160</v>
      </c>
      <c r="AJ588" t="s">
        <v>192</v>
      </c>
      <c r="AK588" t="s">
        <v>163</v>
      </c>
      <c r="AL588" t="s">
        <v>164</v>
      </c>
      <c r="AM588" t="s">
        <v>162</v>
      </c>
      <c r="AN588" t="s">
        <v>163</v>
      </c>
      <c r="AO588" t="s">
        <v>165</v>
      </c>
      <c r="AP588" t="s">
        <v>165</v>
      </c>
      <c r="AQ588" s="9">
        <v>36309</v>
      </c>
      <c r="AR588" t="s">
        <v>160</v>
      </c>
      <c r="AS588" t="s">
        <v>159</v>
      </c>
      <c r="AT588" t="s">
        <v>180</v>
      </c>
      <c r="AU588" t="s">
        <v>159</v>
      </c>
      <c r="AV588" t="s">
        <v>159</v>
      </c>
      <c r="AW588" t="s">
        <v>159</v>
      </c>
      <c r="AX588" t="s">
        <v>159</v>
      </c>
      <c r="AY588" t="s">
        <v>159</v>
      </c>
      <c r="AZ588" t="s">
        <v>159</v>
      </c>
      <c r="BA588" t="s">
        <v>159</v>
      </c>
      <c r="BB588" t="s">
        <v>167</v>
      </c>
      <c r="BC588" t="s">
        <v>159</v>
      </c>
      <c r="BE588" t="s">
        <v>2477</v>
      </c>
      <c r="BF588" t="s">
        <v>159</v>
      </c>
    </row>
    <row r="589" spans="1:59" ht="13" x14ac:dyDescent="0.15">
      <c r="A589" s="4">
        <v>44287.049120370371</v>
      </c>
      <c r="B589" s="4">
        <v>44287.052025462966</v>
      </c>
      <c r="C589" t="s">
        <v>39</v>
      </c>
      <c r="D589" t="s">
        <v>2478</v>
      </c>
      <c r="E589">
        <v>100</v>
      </c>
      <c r="F589">
        <v>250</v>
      </c>
      <c r="G589" t="b">
        <v>1</v>
      </c>
      <c r="H589" s="4">
        <v>44287.052025462966</v>
      </c>
      <c r="I589" t="s">
        <v>2479</v>
      </c>
      <c r="N589">
        <v>34.041397094726499</v>
      </c>
      <c r="O589">
        <v>-84.505302429199205</v>
      </c>
      <c r="P589" t="s">
        <v>153</v>
      </c>
      <c r="Q589" t="s">
        <v>154</v>
      </c>
      <c r="R589" t="s">
        <v>174</v>
      </c>
      <c r="S589" t="s">
        <v>208</v>
      </c>
      <c r="T589" t="s">
        <v>157</v>
      </c>
      <c r="U589" t="s">
        <v>491</v>
      </c>
      <c r="V589" t="s">
        <v>160</v>
      </c>
      <c r="W589" t="s">
        <v>160</v>
      </c>
      <c r="X589" t="s">
        <v>159</v>
      </c>
      <c r="Y589" t="s">
        <v>159</v>
      </c>
      <c r="Z589" t="s">
        <v>159</v>
      </c>
      <c r="AA589" t="s">
        <v>159</v>
      </c>
      <c r="AB589" t="s">
        <v>159</v>
      </c>
      <c r="AC589" t="s">
        <v>159</v>
      </c>
      <c r="AD589" t="s">
        <v>159</v>
      </c>
      <c r="AE589" t="s">
        <v>160</v>
      </c>
      <c r="AF589" t="s">
        <v>160</v>
      </c>
      <c r="AG589" t="s">
        <v>160</v>
      </c>
      <c r="AH589">
        <v>3</v>
      </c>
      <c r="AI589" t="s">
        <v>160</v>
      </c>
      <c r="AJ589" t="s">
        <v>163</v>
      </c>
      <c r="AK589" t="s">
        <v>162</v>
      </c>
      <c r="AL589" t="s">
        <v>164</v>
      </c>
      <c r="AM589" t="s">
        <v>192</v>
      </c>
      <c r="AN589" t="s">
        <v>163</v>
      </c>
      <c r="AO589" t="s">
        <v>165</v>
      </c>
      <c r="AP589" t="s">
        <v>165</v>
      </c>
      <c r="AQ589" s="9">
        <v>36157</v>
      </c>
      <c r="AR589" t="s">
        <v>160</v>
      </c>
      <c r="AS589" t="s">
        <v>159</v>
      </c>
      <c r="AT589" t="s">
        <v>180</v>
      </c>
      <c r="AU589" t="s">
        <v>159</v>
      </c>
      <c r="AV589" t="s">
        <v>159</v>
      </c>
      <c r="AW589" t="s">
        <v>159</v>
      </c>
      <c r="AX589" t="s">
        <v>159</v>
      </c>
      <c r="AY589" t="s">
        <v>159</v>
      </c>
      <c r="AZ589" t="s">
        <v>159</v>
      </c>
      <c r="BA589" t="s">
        <v>159</v>
      </c>
      <c r="BB589" t="s">
        <v>167</v>
      </c>
      <c r="BC589" t="s">
        <v>160</v>
      </c>
      <c r="BE589" t="s">
        <v>2480</v>
      </c>
      <c r="BF589" t="s">
        <v>159</v>
      </c>
    </row>
    <row r="590" spans="1:59" ht="13" x14ac:dyDescent="0.15">
      <c r="A590" s="4">
        <v>44287.050358796296</v>
      </c>
      <c r="B590" s="4">
        <v>44287.052708333336</v>
      </c>
      <c r="C590" t="s">
        <v>39</v>
      </c>
      <c r="D590" t="s">
        <v>2467</v>
      </c>
      <c r="E590">
        <v>100</v>
      </c>
      <c r="F590">
        <v>202</v>
      </c>
      <c r="G590" t="b">
        <v>1</v>
      </c>
      <c r="H590" s="4">
        <v>44287.052743055552</v>
      </c>
      <c r="I590" t="s">
        <v>2481</v>
      </c>
      <c r="N590">
        <v>44.9465942382812</v>
      </c>
      <c r="O590">
        <v>-123.010498046875</v>
      </c>
      <c r="P590" t="s">
        <v>153</v>
      </c>
      <c r="Q590" t="s">
        <v>154</v>
      </c>
      <c r="R590" t="s">
        <v>174</v>
      </c>
      <c r="S590" t="s">
        <v>274</v>
      </c>
      <c r="T590" t="s">
        <v>263</v>
      </c>
      <c r="U590" t="s">
        <v>2427</v>
      </c>
      <c r="V590" t="s">
        <v>160</v>
      </c>
      <c r="W590" t="s">
        <v>160</v>
      </c>
      <c r="X590" t="s">
        <v>160</v>
      </c>
      <c r="Y590" t="s">
        <v>160</v>
      </c>
      <c r="Z590" t="s">
        <v>159</v>
      </c>
      <c r="AA590" t="s">
        <v>160</v>
      </c>
      <c r="AB590" t="s">
        <v>159</v>
      </c>
      <c r="AC590" t="s">
        <v>160</v>
      </c>
      <c r="AD590" t="s">
        <v>159</v>
      </c>
      <c r="AE590" t="s">
        <v>160</v>
      </c>
      <c r="AF590" t="s">
        <v>159</v>
      </c>
      <c r="AG590" t="s">
        <v>160</v>
      </c>
      <c r="AH590">
        <v>2</v>
      </c>
      <c r="AI590" t="s">
        <v>160</v>
      </c>
      <c r="AJ590" t="s">
        <v>163</v>
      </c>
      <c r="AK590" t="s">
        <v>164</v>
      </c>
      <c r="AL590" t="s">
        <v>163</v>
      </c>
      <c r="AM590" t="s">
        <v>198</v>
      </c>
      <c r="AN590" t="s">
        <v>162</v>
      </c>
      <c r="AO590" t="s">
        <v>165</v>
      </c>
      <c r="AP590" t="s">
        <v>165</v>
      </c>
      <c r="AQ590">
        <v>1988</v>
      </c>
      <c r="AR590" t="s">
        <v>160</v>
      </c>
      <c r="AS590" t="s">
        <v>160</v>
      </c>
      <c r="AT590" t="s">
        <v>210</v>
      </c>
      <c r="AU590" t="s">
        <v>159</v>
      </c>
      <c r="AV590" t="s">
        <v>160</v>
      </c>
      <c r="AW590" t="s">
        <v>159</v>
      </c>
      <c r="AX590" t="s">
        <v>160</v>
      </c>
      <c r="AY590" t="s">
        <v>160</v>
      </c>
      <c r="AZ590" t="s">
        <v>159</v>
      </c>
      <c r="BA590" t="s">
        <v>159</v>
      </c>
      <c r="BB590" t="s">
        <v>241</v>
      </c>
      <c r="BC590" t="s">
        <v>160</v>
      </c>
      <c r="BD590" t="s">
        <v>2368</v>
      </c>
      <c r="BE590" t="s">
        <v>2482</v>
      </c>
      <c r="BF590" t="s">
        <v>160</v>
      </c>
      <c r="BG590" t="s">
        <v>2482</v>
      </c>
    </row>
    <row r="591" spans="1:59" ht="13" x14ac:dyDescent="0.15">
      <c r="A591" s="4">
        <v>44287.052893518521</v>
      </c>
      <c r="B591" s="4">
        <v>44287.054745370369</v>
      </c>
      <c r="C591" t="s">
        <v>39</v>
      </c>
      <c r="D591" t="s">
        <v>2483</v>
      </c>
      <c r="E591">
        <v>100</v>
      </c>
      <c r="F591">
        <v>160</v>
      </c>
      <c r="G591" t="b">
        <v>1</v>
      </c>
      <c r="H591" s="4">
        <v>44287.054756944446</v>
      </c>
      <c r="I591" t="s">
        <v>2484</v>
      </c>
      <c r="N591">
        <v>36.065994262695298</v>
      </c>
      <c r="O591">
        <v>120.369384765625</v>
      </c>
      <c r="P591" t="s">
        <v>153</v>
      </c>
      <c r="Q591" t="s">
        <v>154</v>
      </c>
      <c r="R591" t="s">
        <v>174</v>
      </c>
      <c r="S591" t="s">
        <v>175</v>
      </c>
      <c r="T591" t="s">
        <v>157</v>
      </c>
      <c r="U591" t="s">
        <v>491</v>
      </c>
      <c r="V591" t="s">
        <v>159</v>
      </c>
      <c r="W591" t="s">
        <v>160</v>
      </c>
      <c r="X591" t="s">
        <v>159</v>
      </c>
      <c r="Y591" t="s">
        <v>159</v>
      </c>
      <c r="Z591" t="s">
        <v>159</v>
      </c>
      <c r="AA591" t="s">
        <v>159</v>
      </c>
      <c r="AB591" t="s">
        <v>159</v>
      </c>
      <c r="AC591" t="s">
        <v>159</v>
      </c>
      <c r="AD591" t="s">
        <v>160</v>
      </c>
      <c r="AE591" t="s">
        <v>160</v>
      </c>
      <c r="AF591" t="s">
        <v>160</v>
      </c>
      <c r="AG591" t="s">
        <v>160</v>
      </c>
      <c r="AH591">
        <v>2</v>
      </c>
      <c r="AI591" t="s">
        <v>160</v>
      </c>
      <c r="AJ591" t="s">
        <v>163</v>
      </c>
      <c r="AL591" t="s">
        <v>164</v>
      </c>
      <c r="AM591" t="s">
        <v>163</v>
      </c>
      <c r="AN591" t="s">
        <v>163</v>
      </c>
      <c r="AO591" t="s">
        <v>165</v>
      </c>
      <c r="AP591" t="s">
        <v>165</v>
      </c>
      <c r="AQ591" s="9">
        <v>35803</v>
      </c>
      <c r="AR591" t="s">
        <v>160</v>
      </c>
      <c r="AS591" t="s">
        <v>159</v>
      </c>
      <c r="AT591" t="s">
        <v>180</v>
      </c>
      <c r="AU591" t="s">
        <v>159</v>
      </c>
      <c r="AV591" t="s">
        <v>159</v>
      </c>
      <c r="AW591" t="s">
        <v>159</v>
      </c>
      <c r="AX591" t="s">
        <v>159</v>
      </c>
      <c r="AY591" t="s">
        <v>159</v>
      </c>
      <c r="AZ591" t="s">
        <v>159</v>
      </c>
      <c r="BA591" t="s">
        <v>159</v>
      </c>
      <c r="BB591" t="s">
        <v>167</v>
      </c>
      <c r="BC591" t="s">
        <v>159</v>
      </c>
      <c r="BE591" t="s">
        <v>2485</v>
      </c>
      <c r="BF591" t="s">
        <v>159</v>
      </c>
    </row>
    <row r="592" spans="1:59" ht="13" x14ac:dyDescent="0.15">
      <c r="A592" s="4">
        <v>44287.053657407407</v>
      </c>
      <c r="B592" s="4">
        <v>44287.056516203702</v>
      </c>
      <c r="C592" t="s">
        <v>39</v>
      </c>
      <c r="D592" t="s">
        <v>2467</v>
      </c>
      <c r="E592">
        <v>100</v>
      </c>
      <c r="F592">
        <v>246</v>
      </c>
      <c r="G592" t="b">
        <v>1</v>
      </c>
      <c r="H592" s="4">
        <v>44287.056516203702</v>
      </c>
      <c r="I592" t="s">
        <v>2486</v>
      </c>
      <c r="N592">
        <v>44.9465942382812</v>
      </c>
      <c r="O592">
        <v>-123.010498046875</v>
      </c>
      <c r="P592" t="s">
        <v>153</v>
      </c>
      <c r="Q592" t="s">
        <v>154</v>
      </c>
      <c r="R592" t="s">
        <v>174</v>
      </c>
      <c r="S592" t="s">
        <v>208</v>
      </c>
      <c r="T592" t="s">
        <v>263</v>
      </c>
      <c r="U592" t="s">
        <v>2487</v>
      </c>
      <c r="V592" t="s">
        <v>160</v>
      </c>
      <c r="W592" t="s">
        <v>160</v>
      </c>
      <c r="X592" t="s">
        <v>160</v>
      </c>
      <c r="Y592" t="s">
        <v>159</v>
      </c>
      <c r="Z592" t="s">
        <v>159</v>
      </c>
      <c r="AA592" t="s">
        <v>160</v>
      </c>
      <c r="AB592" t="s">
        <v>159</v>
      </c>
      <c r="AC592" t="s">
        <v>159</v>
      </c>
      <c r="AD592" t="s">
        <v>160</v>
      </c>
      <c r="AE592" t="s">
        <v>159</v>
      </c>
      <c r="AF592" t="s">
        <v>160</v>
      </c>
      <c r="AG592" t="s">
        <v>160</v>
      </c>
      <c r="AH592">
        <v>1</v>
      </c>
      <c r="AI592" t="s">
        <v>160</v>
      </c>
      <c r="AJ592" t="s">
        <v>192</v>
      </c>
      <c r="AK592" t="s">
        <v>162</v>
      </c>
      <c r="AL592" t="s">
        <v>198</v>
      </c>
      <c r="AM592" t="s">
        <v>163</v>
      </c>
      <c r="AN592" t="s">
        <v>164</v>
      </c>
      <c r="AO592" t="s">
        <v>179</v>
      </c>
      <c r="AP592" t="s">
        <v>179</v>
      </c>
      <c r="AQ592">
        <v>1988</v>
      </c>
      <c r="AR592" t="s">
        <v>160</v>
      </c>
      <c r="AS592" t="s">
        <v>160</v>
      </c>
      <c r="AT592" t="s">
        <v>322</v>
      </c>
      <c r="AU592" t="s">
        <v>160</v>
      </c>
      <c r="AV592" t="s">
        <v>160</v>
      </c>
      <c r="AW592" t="s">
        <v>159</v>
      </c>
      <c r="AX592" t="s">
        <v>159</v>
      </c>
      <c r="AY592" t="s">
        <v>160</v>
      </c>
      <c r="AZ592" t="s">
        <v>159</v>
      </c>
      <c r="BA592" t="s">
        <v>160</v>
      </c>
      <c r="BB592" t="s">
        <v>181</v>
      </c>
      <c r="BC592" t="s">
        <v>160</v>
      </c>
      <c r="BD592" t="s">
        <v>2374</v>
      </c>
      <c r="BE592" t="s">
        <v>2488</v>
      </c>
      <c r="BF592" t="s">
        <v>160</v>
      </c>
      <c r="BG592" t="s">
        <v>2488</v>
      </c>
    </row>
    <row r="593" spans="1:59" s="7" customFormat="1" ht="13" x14ac:dyDescent="0.15">
      <c r="A593" s="6">
        <v>44287.046111111114</v>
      </c>
      <c r="B593" s="6">
        <v>44287.057280092595</v>
      </c>
      <c r="C593" s="7" t="s">
        <v>39</v>
      </c>
      <c r="D593" s="7" t="s">
        <v>2323</v>
      </c>
      <c r="E593" s="7">
        <v>100</v>
      </c>
      <c r="F593" s="7">
        <v>964</v>
      </c>
      <c r="G593" s="7" t="b">
        <v>1</v>
      </c>
      <c r="H593" s="6">
        <v>44287.057280092595</v>
      </c>
      <c r="I593" s="7" t="s">
        <v>2489</v>
      </c>
      <c r="N593" s="7">
        <v>33.967498779296797</v>
      </c>
      <c r="O593" s="7">
        <v>-118.14640045166</v>
      </c>
      <c r="P593" s="7" t="s">
        <v>153</v>
      </c>
      <c r="Q593" s="7" t="s">
        <v>154</v>
      </c>
      <c r="R593" s="7" t="s">
        <v>174</v>
      </c>
      <c r="S593" s="7" t="s">
        <v>274</v>
      </c>
      <c r="T593" s="7" t="s">
        <v>263</v>
      </c>
      <c r="U593" s="7" t="s">
        <v>441</v>
      </c>
      <c r="V593" s="7" t="s">
        <v>160</v>
      </c>
      <c r="W593" s="7" t="s">
        <v>160</v>
      </c>
      <c r="X593" s="7" t="s">
        <v>159</v>
      </c>
      <c r="Y593" s="7" t="s">
        <v>160</v>
      </c>
      <c r="Z593" s="7" t="s">
        <v>160</v>
      </c>
      <c r="AA593" s="7" t="s">
        <v>160</v>
      </c>
      <c r="AB593" s="7" t="s">
        <v>159</v>
      </c>
      <c r="AC593" s="7" t="s">
        <v>159</v>
      </c>
      <c r="AD593" s="7" t="s">
        <v>159</v>
      </c>
      <c r="AE593" s="7" t="s">
        <v>160</v>
      </c>
      <c r="AF593" s="7" t="s">
        <v>159</v>
      </c>
      <c r="AG593" s="7" t="s">
        <v>159</v>
      </c>
      <c r="AH593" s="7">
        <v>2</v>
      </c>
      <c r="AI593" s="7" t="s">
        <v>160</v>
      </c>
      <c r="AJ593" s="7" t="s">
        <v>198</v>
      </c>
      <c r="AK593" s="7" t="s">
        <v>164</v>
      </c>
      <c r="AL593" s="7" t="s">
        <v>164</v>
      </c>
      <c r="AM593" s="7" t="s">
        <v>163</v>
      </c>
      <c r="AN593" s="7" t="s">
        <v>164</v>
      </c>
      <c r="AO593" s="7" t="s">
        <v>179</v>
      </c>
      <c r="AP593" s="7" t="s">
        <v>179</v>
      </c>
      <c r="AQ593" s="7">
        <v>2000</v>
      </c>
      <c r="AR593" s="7" t="s">
        <v>160</v>
      </c>
      <c r="AS593" s="7" t="s">
        <v>159</v>
      </c>
      <c r="AT593" s="7" t="s">
        <v>180</v>
      </c>
      <c r="AU593" s="7" t="s">
        <v>159</v>
      </c>
      <c r="AV593" s="7" t="s">
        <v>159</v>
      </c>
      <c r="AW593" s="7" t="s">
        <v>159</v>
      </c>
      <c r="AX593" s="7" t="s">
        <v>159</v>
      </c>
      <c r="AY593" s="7" t="s">
        <v>159</v>
      </c>
      <c r="AZ593" s="7" t="s">
        <v>159</v>
      </c>
      <c r="BA593" s="7" t="s">
        <v>159</v>
      </c>
      <c r="BB593" s="7" t="s">
        <v>167</v>
      </c>
      <c r="BC593" s="7" t="s">
        <v>159</v>
      </c>
      <c r="BD593" s="7" t="s">
        <v>2332</v>
      </c>
      <c r="BE593" s="7" t="s">
        <v>2490</v>
      </c>
      <c r="BF593" s="7" t="s">
        <v>159</v>
      </c>
    </row>
    <row r="594" spans="1:59" ht="13" x14ac:dyDescent="0.15">
      <c r="A594" s="4">
        <v>44287.046412037038</v>
      </c>
      <c r="B594" s="4">
        <v>44287.057905092595</v>
      </c>
      <c r="C594" t="s">
        <v>39</v>
      </c>
      <c r="D594" t="s">
        <v>2326</v>
      </c>
      <c r="E594">
        <v>100</v>
      </c>
      <c r="F594">
        <v>993</v>
      </c>
      <c r="G594" t="b">
        <v>1</v>
      </c>
      <c r="H594" s="4">
        <v>44287.057916666665</v>
      </c>
      <c r="I594" t="s">
        <v>2491</v>
      </c>
      <c r="N594">
        <v>37.770294189453097</v>
      </c>
      <c r="O594">
        <v>-122.440704345703</v>
      </c>
      <c r="P594" t="s">
        <v>153</v>
      </c>
      <c r="Q594" t="s">
        <v>154</v>
      </c>
      <c r="R594" t="s">
        <v>174</v>
      </c>
      <c r="S594" t="s">
        <v>274</v>
      </c>
      <c r="T594" t="s">
        <v>176</v>
      </c>
      <c r="U594" t="s">
        <v>790</v>
      </c>
      <c r="W594" t="s">
        <v>159</v>
      </c>
      <c r="X594" t="s">
        <v>160</v>
      </c>
      <c r="Y594" t="s">
        <v>159</v>
      </c>
      <c r="Z594" t="s">
        <v>159</v>
      </c>
      <c r="AA594" t="s">
        <v>159</v>
      </c>
      <c r="AB594" t="s">
        <v>159</v>
      </c>
      <c r="AC594" t="s">
        <v>160</v>
      </c>
      <c r="AD594" t="s">
        <v>160</v>
      </c>
      <c r="AE594" t="s">
        <v>160</v>
      </c>
      <c r="AF594" t="s">
        <v>159</v>
      </c>
      <c r="AG594" t="s">
        <v>159</v>
      </c>
      <c r="AH594">
        <v>2</v>
      </c>
      <c r="AI594" t="s">
        <v>160</v>
      </c>
      <c r="AJ594" t="s">
        <v>163</v>
      </c>
      <c r="AK594" t="s">
        <v>192</v>
      </c>
      <c r="AL594" t="s">
        <v>163</v>
      </c>
      <c r="AM594" t="s">
        <v>163</v>
      </c>
      <c r="AN594" t="s">
        <v>163</v>
      </c>
      <c r="AO594" t="s">
        <v>179</v>
      </c>
      <c r="AP594" t="s">
        <v>179</v>
      </c>
      <c r="AQ594">
        <v>2001</v>
      </c>
      <c r="AR594" t="s">
        <v>160</v>
      </c>
      <c r="AS594" t="s">
        <v>159</v>
      </c>
      <c r="AT594" t="s">
        <v>180</v>
      </c>
      <c r="AU594" t="s">
        <v>159</v>
      </c>
      <c r="AV594" t="s">
        <v>159</v>
      </c>
      <c r="AW594" t="s">
        <v>159</v>
      </c>
      <c r="AX594" t="s">
        <v>159</v>
      </c>
      <c r="AY594" t="s">
        <v>159</v>
      </c>
      <c r="AZ594" t="s">
        <v>159</v>
      </c>
      <c r="BA594" t="s">
        <v>159</v>
      </c>
      <c r="BB594" t="s">
        <v>167</v>
      </c>
      <c r="BC594" t="s">
        <v>159</v>
      </c>
      <c r="BD594" t="s">
        <v>2328</v>
      </c>
      <c r="BE594" t="s">
        <v>2492</v>
      </c>
      <c r="BF594" t="s">
        <v>159</v>
      </c>
    </row>
    <row r="595" spans="1:59" ht="13" x14ac:dyDescent="0.15">
      <c r="A595" s="4">
        <v>44287.046388888892</v>
      </c>
      <c r="B595" s="4">
        <v>44287.058287037034</v>
      </c>
      <c r="C595" t="s">
        <v>39</v>
      </c>
      <c r="D595" t="s">
        <v>2493</v>
      </c>
      <c r="E595">
        <v>100</v>
      </c>
      <c r="F595">
        <v>1028</v>
      </c>
      <c r="G595" t="b">
        <v>1</v>
      </c>
      <c r="H595" s="4">
        <v>44287.058298611111</v>
      </c>
      <c r="I595" t="s">
        <v>2494</v>
      </c>
      <c r="N595">
        <v>37.770294189453097</v>
      </c>
      <c r="O595">
        <v>-122.440704345703</v>
      </c>
      <c r="P595" t="s">
        <v>153</v>
      </c>
      <c r="Q595" t="s">
        <v>154</v>
      </c>
      <c r="R595" t="s">
        <v>174</v>
      </c>
      <c r="S595" t="s">
        <v>226</v>
      </c>
      <c r="T595" t="s">
        <v>237</v>
      </c>
      <c r="U595" t="s">
        <v>2495</v>
      </c>
      <c r="W595" t="s">
        <v>160</v>
      </c>
      <c r="X595" t="s">
        <v>159</v>
      </c>
      <c r="Y595" t="s">
        <v>160</v>
      </c>
      <c r="Z595" t="s">
        <v>160</v>
      </c>
      <c r="AA595" t="s">
        <v>160</v>
      </c>
      <c r="AB595" t="s">
        <v>159</v>
      </c>
      <c r="AC595" t="s">
        <v>159</v>
      </c>
      <c r="AD595" t="s">
        <v>160</v>
      </c>
      <c r="AE595" t="s">
        <v>160</v>
      </c>
      <c r="AF595" t="s">
        <v>159</v>
      </c>
      <c r="AG595" t="s">
        <v>160</v>
      </c>
      <c r="AH595">
        <v>0</v>
      </c>
      <c r="AI595" t="s">
        <v>160</v>
      </c>
      <c r="AJ595" t="s">
        <v>164</v>
      </c>
      <c r="AK595" t="s">
        <v>198</v>
      </c>
      <c r="AL595" t="s">
        <v>164</v>
      </c>
      <c r="AM595" t="s">
        <v>163</v>
      </c>
      <c r="AN595" t="s">
        <v>164</v>
      </c>
      <c r="AO595" t="s">
        <v>179</v>
      </c>
      <c r="AP595" t="s">
        <v>179</v>
      </c>
      <c r="AQ595">
        <v>2001</v>
      </c>
      <c r="AR595" t="s">
        <v>160</v>
      </c>
      <c r="AS595" t="s">
        <v>159</v>
      </c>
      <c r="AT595" t="s">
        <v>180</v>
      </c>
      <c r="AU595" t="s">
        <v>159</v>
      </c>
      <c r="AV595" t="s">
        <v>159</v>
      </c>
      <c r="AW595" t="s">
        <v>159</v>
      </c>
      <c r="AX595" t="s">
        <v>159</v>
      </c>
      <c r="AY595" t="s">
        <v>159</v>
      </c>
      <c r="AZ595" t="s">
        <v>159</v>
      </c>
      <c r="BA595" t="s">
        <v>159</v>
      </c>
      <c r="BB595" t="s">
        <v>167</v>
      </c>
      <c r="BC595" t="s">
        <v>160</v>
      </c>
      <c r="BD595" t="s">
        <v>2328</v>
      </c>
      <c r="BE595" t="s">
        <v>2492</v>
      </c>
      <c r="BF595" t="s">
        <v>159</v>
      </c>
    </row>
    <row r="596" spans="1:59" s="7" customFormat="1" ht="13" x14ac:dyDescent="0.15">
      <c r="A596" s="6">
        <v>44287.045798611114</v>
      </c>
      <c r="B596" s="6">
        <v>44287.058333333334</v>
      </c>
      <c r="C596" s="7" t="s">
        <v>39</v>
      </c>
      <c r="D596" s="7" t="s">
        <v>2330</v>
      </c>
      <c r="E596" s="7">
        <v>100</v>
      </c>
      <c r="F596" s="7">
        <v>1082</v>
      </c>
      <c r="G596" s="7" t="b">
        <v>1</v>
      </c>
      <c r="H596" s="6">
        <v>44287.058333333334</v>
      </c>
      <c r="I596" s="7" t="s">
        <v>2496</v>
      </c>
      <c r="N596" s="7">
        <v>33.9776000976562</v>
      </c>
      <c r="O596" s="7">
        <v>-117.737503051757</v>
      </c>
      <c r="P596" s="7" t="s">
        <v>153</v>
      </c>
      <c r="Q596" s="7" t="s">
        <v>154</v>
      </c>
      <c r="R596" s="7" t="s">
        <v>174</v>
      </c>
      <c r="S596" s="7" t="s">
        <v>226</v>
      </c>
      <c r="T596" s="7" t="s">
        <v>263</v>
      </c>
      <c r="U596" s="7" t="s">
        <v>340</v>
      </c>
      <c r="V596" s="7" t="s">
        <v>160</v>
      </c>
      <c r="W596" s="7" t="s">
        <v>160</v>
      </c>
      <c r="X596" s="7" t="s">
        <v>159</v>
      </c>
      <c r="Y596" s="7" t="s">
        <v>160</v>
      </c>
      <c r="Z596" s="7" t="s">
        <v>160</v>
      </c>
      <c r="AA596" s="7" t="s">
        <v>159</v>
      </c>
      <c r="AB596" s="7" t="s">
        <v>160</v>
      </c>
      <c r="AC596" s="7" t="s">
        <v>160</v>
      </c>
      <c r="AD596" s="7" t="s">
        <v>159</v>
      </c>
      <c r="AE596" s="7" t="s">
        <v>159</v>
      </c>
      <c r="AF596" s="7" t="s">
        <v>160</v>
      </c>
      <c r="AG596" s="7" t="s">
        <v>160</v>
      </c>
      <c r="AH596" s="7">
        <v>3</v>
      </c>
      <c r="AI596" s="7" t="s">
        <v>160</v>
      </c>
      <c r="AJ596" s="7" t="s">
        <v>164</v>
      </c>
      <c r="AK596" s="7" t="s">
        <v>162</v>
      </c>
      <c r="AL596" s="7" t="s">
        <v>192</v>
      </c>
      <c r="AM596" s="7" t="s">
        <v>164</v>
      </c>
      <c r="AN596" s="7" t="s">
        <v>192</v>
      </c>
      <c r="AO596" s="7" t="s">
        <v>179</v>
      </c>
      <c r="AP596" s="7" t="s">
        <v>179</v>
      </c>
      <c r="AQ596" s="7">
        <v>2002</v>
      </c>
      <c r="AR596" s="7" t="s">
        <v>160</v>
      </c>
      <c r="AS596" s="7" t="s">
        <v>159</v>
      </c>
      <c r="AT596" s="7" t="s">
        <v>180</v>
      </c>
      <c r="AU596" s="7" t="s">
        <v>159</v>
      </c>
      <c r="AV596" s="7" t="s">
        <v>159</v>
      </c>
      <c r="AW596" s="7" t="s">
        <v>159</v>
      </c>
      <c r="AX596" s="7" t="s">
        <v>159</v>
      </c>
      <c r="AY596" s="7" t="s">
        <v>159</v>
      </c>
      <c r="AZ596" s="7" t="s">
        <v>159</v>
      </c>
      <c r="BA596" s="7" t="s">
        <v>159</v>
      </c>
      <c r="BB596" s="7" t="s">
        <v>167</v>
      </c>
      <c r="BC596" s="7" t="s">
        <v>159</v>
      </c>
      <c r="BD596" s="7" t="s">
        <v>2332</v>
      </c>
      <c r="BE596" s="7" t="s">
        <v>2497</v>
      </c>
      <c r="BF596" s="7" t="s">
        <v>159</v>
      </c>
    </row>
    <row r="597" spans="1:59" ht="13" x14ac:dyDescent="0.15">
      <c r="A597" s="4">
        <v>44287.056770833333</v>
      </c>
      <c r="B597" s="4">
        <v>44287.058657407404</v>
      </c>
      <c r="C597" t="s">
        <v>39</v>
      </c>
      <c r="D597" t="s">
        <v>2467</v>
      </c>
      <c r="E597">
        <v>100</v>
      </c>
      <c r="F597">
        <v>163</v>
      </c>
      <c r="G597" t="b">
        <v>1</v>
      </c>
      <c r="H597" s="4">
        <v>44287.058657407404</v>
      </c>
      <c r="I597" t="s">
        <v>2498</v>
      </c>
      <c r="N597">
        <v>44.9465942382812</v>
      </c>
      <c r="O597">
        <v>-123.010498046875</v>
      </c>
      <c r="P597" t="s">
        <v>153</v>
      </c>
      <c r="Q597" t="s">
        <v>154</v>
      </c>
      <c r="R597" t="s">
        <v>174</v>
      </c>
      <c r="S597" t="s">
        <v>208</v>
      </c>
      <c r="T597" t="s">
        <v>176</v>
      </c>
      <c r="U597" t="s">
        <v>2499</v>
      </c>
      <c r="V597" t="s">
        <v>159</v>
      </c>
      <c r="W597" t="s">
        <v>160</v>
      </c>
      <c r="X597" t="s">
        <v>160</v>
      </c>
      <c r="Y597" t="s">
        <v>160</v>
      </c>
      <c r="Z597" t="s">
        <v>159</v>
      </c>
      <c r="AA597" t="s">
        <v>160</v>
      </c>
      <c r="AB597" t="s">
        <v>160</v>
      </c>
      <c r="AC597" t="s">
        <v>159</v>
      </c>
      <c r="AD597" t="s">
        <v>159</v>
      </c>
      <c r="AE597" t="s">
        <v>160</v>
      </c>
      <c r="AF597" t="s">
        <v>159</v>
      </c>
      <c r="AG597" t="s">
        <v>159</v>
      </c>
      <c r="AH597">
        <v>0</v>
      </c>
      <c r="AI597" t="s">
        <v>160</v>
      </c>
      <c r="AJ597" t="s">
        <v>164</v>
      </c>
      <c r="AK597" t="s">
        <v>163</v>
      </c>
      <c r="AL597" t="s">
        <v>164</v>
      </c>
      <c r="AM597" t="s">
        <v>198</v>
      </c>
      <c r="AN597" t="s">
        <v>163</v>
      </c>
      <c r="AO597" t="s">
        <v>165</v>
      </c>
      <c r="AP597" t="s">
        <v>165</v>
      </c>
      <c r="AQ597">
        <v>1986</v>
      </c>
      <c r="AR597" t="s">
        <v>160</v>
      </c>
      <c r="AS597" t="s">
        <v>159</v>
      </c>
      <c r="AT597" t="s">
        <v>180</v>
      </c>
      <c r="AU597" t="s">
        <v>159</v>
      </c>
      <c r="AV597" t="s">
        <v>160</v>
      </c>
      <c r="AW597" t="s">
        <v>159</v>
      </c>
      <c r="AX597" t="s">
        <v>160</v>
      </c>
      <c r="AY597" t="s">
        <v>159</v>
      </c>
      <c r="AZ597" t="s">
        <v>159</v>
      </c>
      <c r="BA597" t="s">
        <v>159</v>
      </c>
      <c r="BB597" t="s">
        <v>241</v>
      </c>
      <c r="BC597" t="s">
        <v>159</v>
      </c>
      <c r="BD597" t="s">
        <v>2500</v>
      </c>
      <c r="BE597" t="s">
        <v>2501</v>
      </c>
      <c r="BF597" t="s">
        <v>160</v>
      </c>
      <c r="BG597" t="s">
        <v>2501</v>
      </c>
    </row>
    <row r="598" spans="1:59" ht="13" x14ac:dyDescent="0.15">
      <c r="A598" s="4">
        <v>44287.058888888889</v>
      </c>
      <c r="B598" s="4">
        <v>44287.062303240738</v>
      </c>
      <c r="C598" t="s">
        <v>39</v>
      </c>
      <c r="D598" t="s">
        <v>2467</v>
      </c>
      <c r="E598">
        <v>100</v>
      </c>
      <c r="F598">
        <v>295</v>
      </c>
      <c r="G598" t="b">
        <v>1</v>
      </c>
      <c r="H598" s="4">
        <v>44287.062303240738</v>
      </c>
      <c r="I598" t="s">
        <v>2502</v>
      </c>
      <c r="N598">
        <v>44.9465942382812</v>
      </c>
      <c r="O598">
        <v>-123.010498046875</v>
      </c>
      <c r="P598" t="s">
        <v>153</v>
      </c>
      <c r="Q598" t="s">
        <v>154</v>
      </c>
      <c r="R598" t="s">
        <v>155</v>
      </c>
      <c r="S598" t="s">
        <v>274</v>
      </c>
      <c r="T598" t="s">
        <v>263</v>
      </c>
      <c r="U598" t="s">
        <v>441</v>
      </c>
      <c r="V598" t="s">
        <v>159</v>
      </c>
      <c r="W598" t="s">
        <v>160</v>
      </c>
      <c r="X598" t="s">
        <v>159</v>
      </c>
      <c r="Y598" t="s">
        <v>159</v>
      </c>
      <c r="Z598" t="s">
        <v>159</v>
      </c>
      <c r="AA598" t="s">
        <v>159</v>
      </c>
      <c r="AB598" t="s">
        <v>160</v>
      </c>
      <c r="AC598" t="s">
        <v>160</v>
      </c>
      <c r="AD598" t="s">
        <v>159</v>
      </c>
      <c r="AE598" t="s">
        <v>159</v>
      </c>
      <c r="AG598" t="s">
        <v>159</v>
      </c>
      <c r="AH598">
        <v>2</v>
      </c>
      <c r="AI598" t="s">
        <v>159</v>
      </c>
      <c r="AJ598" t="s">
        <v>164</v>
      </c>
      <c r="AK598" t="s">
        <v>163</v>
      </c>
      <c r="AL598" t="s">
        <v>162</v>
      </c>
      <c r="AM598" t="s">
        <v>164</v>
      </c>
      <c r="AN598" t="s">
        <v>162</v>
      </c>
      <c r="AO598" t="s">
        <v>179</v>
      </c>
      <c r="AP598" t="s">
        <v>179</v>
      </c>
      <c r="AQ598">
        <v>1988</v>
      </c>
      <c r="AR598" t="s">
        <v>160</v>
      </c>
      <c r="AS598" t="s">
        <v>160</v>
      </c>
      <c r="AT598" t="s">
        <v>322</v>
      </c>
      <c r="AU598" t="s">
        <v>159</v>
      </c>
      <c r="AV598" t="s">
        <v>160</v>
      </c>
      <c r="AW598" t="s">
        <v>159</v>
      </c>
      <c r="AX598" t="s">
        <v>159</v>
      </c>
      <c r="AY598" t="s">
        <v>159</v>
      </c>
      <c r="AZ598" t="s">
        <v>159</v>
      </c>
      <c r="BA598" t="s">
        <v>159</v>
      </c>
      <c r="BB598" t="s">
        <v>181</v>
      </c>
      <c r="BC598" t="s">
        <v>159</v>
      </c>
      <c r="BD598" t="s">
        <v>2503</v>
      </c>
      <c r="BE598" t="s">
        <v>2504</v>
      </c>
      <c r="BF598" t="s">
        <v>160</v>
      </c>
      <c r="BG598" t="s">
        <v>2504</v>
      </c>
    </row>
    <row r="599" spans="1:59" ht="13" x14ac:dyDescent="0.15">
      <c r="A599" s="4">
        <v>44287.058310185188</v>
      </c>
      <c r="B599" s="4">
        <v>44287.062569444446</v>
      </c>
      <c r="C599" t="s">
        <v>39</v>
      </c>
      <c r="D599" t="s">
        <v>2505</v>
      </c>
      <c r="E599">
        <v>100</v>
      </c>
      <c r="F599">
        <v>367</v>
      </c>
      <c r="G599" t="b">
        <v>1</v>
      </c>
      <c r="H599" s="4">
        <v>44287.062569444446</v>
      </c>
      <c r="I599" t="s">
        <v>2506</v>
      </c>
      <c r="N599">
        <v>39.981002807617102</v>
      </c>
      <c r="O599">
        <v>-75.169898986816406</v>
      </c>
      <c r="P599" t="s">
        <v>153</v>
      </c>
      <c r="Q599" t="s">
        <v>154</v>
      </c>
      <c r="R599" t="s">
        <v>174</v>
      </c>
      <c r="S599" t="s">
        <v>274</v>
      </c>
      <c r="T599" t="s">
        <v>176</v>
      </c>
      <c r="U599" t="s">
        <v>418</v>
      </c>
      <c r="V599" t="s">
        <v>160</v>
      </c>
      <c r="W599" t="s">
        <v>159</v>
      </c>
      <c r="X599" t="s">
        <v>159</v>
      </c>
      <c r="Y599" t="s">
        <v>159</v>
      </c>
      <c r="Z599" t="s">
        <v>159</v>
      </c>
      <c r="AA599" t="s">
        <v>159</v>
      </c>
      <c r="AB599" t="s">
        <v>159</v>
      </c>
      <c r="AC599" t="s">
        <v>159</v>
      </c>
      <c r="AD599" t="s">
        <v>159</v>
      </c>
      <c r="AE599" t="s">
        <v>159</v>
      </c>
      <c r="AF599" t="s">
        <v>159</v>
      </c>
      <c r="AG599" t="s">
        <v>159</v>
      </c>
      <c r="AH599">
        <v>1</v>
      </c>
      <c r="AI599" t="s">
        <v>159</v>
      </c>
      <c r="AJ599" t="s">
        <v>163</v>
      </c>
      <c r="AK599" t="s">
        <v>163</v>
      </c>
      <c r="AL599" t="s">
        <v>163</v>
      </c>
      <c r="AM599" t="s">
        <v>163</v>
      </c>
      <c r="AN599" t="s">
        <v>163</v>
      </c>
      <c r="AO599" t="s">
        <v>165</v>
      </c>
      <c r="AP599" t="s">
        <v>165</v>
      </c>
      <c r="AQ599">
        <v>1999</v>
      </c>
      <c r="AR599" t="s">
        <v>160</v>
      </c>
      <c r="AS599" t="s">
        <v>159</v>
      </c>
      <c r="AT599" t="s">
        <v>180</v>
      </c>
      <c r="AU599" t="s">
        <v>159</v>
      </c>
      <c r="AV599" t="s">
        <v>159</v>
      </c>
      <c r="AW599" t="s">
        <v>159</v>
      </c>
      <c r="AX599" t="s">
        <v>159</v>
      </c>
      <c r="AY599" t="s">
        <v>159</v>
      </c>
      <c r="AZ599" t="s">
        <v>159</v>
      </c>
      <c r="BA599" t="s">
        <v>159</v>
      </c>
      <c r="BB599" t="s">
        <v>167</v>
      </c>
      <c r="BC599" t="s">
        <v>159</v>
      </c>
      <c r="BE599" t="s">
        <v>2507</v>
      </c>
      <c r="BF599" t="s">
        <v>159</v>
      </c>
    </row>
    <row r="600" spans="1:59" ht="13" x14ac:dyDescent="0.15">
      <c r="A600" s="4">
        <v>44287.062523148146</v>
      </c>
      <c r="B600" s="4">
        <v>44287.064409722225</v>
      </c>
      <c r="C600" t="s">
        <v>39</v>
      </c>
      <c r="D600" t="s">
        <v>2467</v>
      </c>
      <c r="E600">
        <v>100</v>
      </c>
      <c r="F600">
        <v>163</v>
      </c>
      <c r="G600" t="b">
        <v>1</v>
      </c>
      <c r="H600" s="4">
        <v>44287.064409722225</v>
      </c>
      <c r="I600" t="s">
        <v>2508</v>
      </c>
      <c r="N600">
        <v>44.9465942382812</v>
      </c>
      <c r="O600">
        <v>-123.010498046875</v>
      </c>
      <c r="P600" t="s">
        <v>153</v>
      </c>
      <c r="Q600" t="s">
        <v>154</v>
      </c>
      <c r="R600" t="s">
        <v>155</v>
      </c>
      <c r="S600" t="s">
        <v>274</v>
      </c>
      <c r="T600" t="s">
        <v>176</v>
      </c>
      <c r="U600" t="s">
        <v>2509</v>
      </c>
      <c r="V600" t="s">
        <v>160</v>
      </c>
      <c r="W600" t="s">
        <v>160</v>
      </c>
      <c r="X600" t="s">
        <v>160</v>
      </c>
      <c r="Y600" t="s">
        <v>160</v>
      </c>
      <c r="Z600" t="s">
        <v>159</v>
      </c>
      <c r="AA600" t="s">
        <v>159</v>
      </c>
      <c r="AB600" t="s">
        <v>160</v>
      </c>
      <c r="AC600" t="s">
        <v>159</v>
      </c>
      <c r="AD600" t="s">
        <v>160</v>
      </c>
      <c r="AE600" t="s">
        <v>159</v>
      </c>
      <c r="AF600" t="s">
        <v>160</v>
      </c>
      <c r="AG600" t="s">
        <v>160</v>
      </c>
      <c r="AH600">
        <v>1</v>
      </c>
      <c r="AI600" t="s">
        <v>160</v>
      </c>
      <c r="AJ600" t="s">
        <v>192</v>
      </c>
      <c r="AK600" t="s">
        <v>164</v>
      </c>
      <c r="AL600" t="s">
        <v>162</v>
      </c>
      <c r="AM600" t="s">
        <v>163</v>
      </c>
      <c r="AN600" t="s">
        <v>164</v>
      </c>
      <c r="AO600" t="s">
        <v>165</v>
      </c>
      <c r="AP600" t="s">
        <v>165</v>
      </c>
      <c r="AQ600">
        <v>1990</v>
      </c>
      <c r="AR600" t="s">
        <v>160</v>
      </c>
      <c r="AS600" t="s">
        <v>159</v>
      </c>
      <c r="AT600" t="s">
        <v>180</v>
      </c>
      <c r="AU600" t="s">
        <v>159</v>
      </c>
      <c r="AV600" t="s">
        <v>159</v>
      </c>
      <c r="AW600" t="s">
        <v>159</v>
      </c>
      <c r="AX600" t="s">
        <v>160</v>
      </c>
      <c r="AY600" t="s">
        <v>160</v>
      </c>
      <c r="AZ600" t="s">
        <v>159</v>
      </c>
      <c r="BA600" t="s">
        <v>159</v>
      </c>
      <c r="BB600" t="s">
        <v>222</v>
      </c>
      <c r="BC600" t="s">
        <v>159</v>
      </c>
      <c r="BD600" t="s">
        <v>2510</v>
      </c>
      <c r="BE600" t="s">
        <v>2511</v>
      </c>
      <c r="BF600" t="s">
        <v>160</v>
      </c>
      <c r="BG600" t="s">
        <v>2511</v>
      </c>
    </row>
    <row r="601" spans="1:59" ht="13" x14ac:dyDescent="0.15">
      <c r="A601" s="4">
        <v>44287.064687500002</v>
      </c>
      <c r="B601" s="4">
        <v>44287.066192129627</v>
      </c>
      <c r="C601" t="s">
        <v>39</v>
      </c>
      <c r="D601" t="s">
        <v>2467</v>
      </c>
      <c r="E601">
        <v>100</v>
      </c>
      <c r="F601">
        <v>129</v>
      </c>
      <c r="G601" t="b">
        <v>1</v>
      </c>
      <c r="H601" s="4">
        <v>44287.066192129627</v>
      </c>
      <c r="I601" t="s">
        <v>2512</v>
      </c>
      <c r="N601">
        <v>44.9465942382812</v>
      </c>
      <c r="O601">
        <v>-123.010498046875</v>
      </c>
      <c r="P601" t="s">
        <v>153</v>
      </c>
      <c r="Q601" t="s">
        <v>154</v>
      </c>
      <c r="R601" t="s">
        <v>174</v>
      </c>
      <c r="S601" t="s">
        <v>208</v>
      </c>
      <c r="T601" t="s">
        <v>176</v>
      </c>
      <c r="U601" t="s">
        <v>1403</v>
      </c>
      <c r="V601" t="s">
        <v>160</v>
      </c>
      <c r="W601" t="s">
        <v>160</v>
      </c>
      <c r="X601" t="s">
        <v>160</v>
      </c>
      <c r="Y601" t="s">
        <v>160</v>
      </c>
      <c r="Z601" t="s">
        <v>159</v>
      </c>
      <c r="AA601" t="s">
        <v>160</v>
      </c>
      <c r="AB601" t="s">
        <v>159</v>
      </c>
      <c r="AC601" t="s">
        <v>160</v>
      </c>
      <c r="AD601" t="s">
        <v>159</v>
      </c>
      <c r="AE601" t="s">
        <v>159</v>
      </c>
      <c r="AF601" t="s">
        <v>160</v>
      </c>
      <c r="AG601" t="s">
        <v>159</v>
      </c>
      <c r="AH601">
        <v>0</v>
      </c>
      <c r="AI601" t="s">
        <v>160</v>
      </c>
      <c r="AJ601" t="s">
        <v>163</v>
      </c>
      <c r="AK601" t="s">
        <v>164</v>
      </c>
      <c r="AL601" t="s">
        <v>198</v>
      </c>
      <c r="AM601" t="s">
        <v>163</v>
      </c>
      <c r="AN601" t="s">
        <v>164</v>
      </c>
      <c r="AO601" t="s">
        <v>179</v>
      </c>
      <c r="AP601" t="s">
        <v>179</v>
      </c>
      <c r="AQ601">
        <v>1989</v>
      </c>
      <c r="AR601" t="s">
        <v>160</v>
      </c>
      <c r="AS601" t="s">
        <v>159</v>
      </c>
      <c r="AT601" t="s">
        <v>322</v>
      </c>
      <c r="AU601" t="s">
        <v>159</v>
      </c>
      <c r="AV601" t="s">
        <v>159</v>
      </c>
      <c r="AW601" t="s">
        <v>160</v>
      </c>
      <c r="AX601" t="s">
        <v>159</v>
      </c>
      <c r="AY601" t="s">
        <v>160</v>
      </c>
      <c r="AZ601" t="s">
        <v>159</v>
      </c>
      <c r="BA601" t="s">
        <v>159</v>
      </c>
      <c r="BB601" t="s">
        <v>181</v>
      </c>
      <c r="BC601" t="s">
        <v>160</v>
      </c>
      <c r="BD601" t="s">
        <v>2513</v>
      </c>
      <c r="BE601" t="s">
        <v>2514</v>
      </c>
      <c r="BF601" t="s">
        <v>160</v>
      </c>
      <c r="BG601" t="s">
        <v>2514</v>
      </c>
    </row>
    <row r="602" spans="1:59" ht="13" x14ac:dyDescent="0.15">
      <c r="A602" s="4">
        <v>44287.066400462965</v>
      </c>
      <c r="B602" s="4">
        <v>44287.067696759259</v>
      </c>
      <c r="C602" t="s">
        <v>39</v>
      </c>
      <c r="D602" t="s">
        <v>2467</v>
      </c>
      <c r="E602">
        <v>100</v>
      </c>
      <c r="F602">
        <v>111</v>
      </c>
      <c r="G602" t="b">
        <v>1</v>
      </c>
      <c r="H602" s="4">
        <v>44287.067696759259</v>
      </c>
      <c r="I602" t="s">
        <v>2515</v>
      </c>
      <c r="N602">
        <v>44.9465942382812</v>
      </c>
      <c r="O602">
        <v>-123.010498046875</v>
      </c>
      <c r="P602" t="s">
        <v>153</v>
      </c>
      <c r="Q602" t="s">
        <v>154</v>
      </c>
      <c r="R602" t="s">
        <v>155</v>
      </c>
      <c r="S602" t="s">
        <v>274</v>
      </c>
      <c r="T602" t="s">
        <v>237</v>
      </c>
      <c r="U602" t="s">
        <v>2384</v>
      </c>
      <c r="V602" t="s">
        <v>160</v>
      </c>
      <c r="W602" t="s">
        <v>160</v>
      </c>
      <c r="X602" t="s">
        <v>160</v>
      </c>
      <c r="Y602" t="s">
        <v>160</v>
      </c>
      <c r="Z602" t="s">
        <v>160</v>
      </c>
      <c r="AA602" t="s">
        <v>159</v>
      </c>
      <c r="AB602" t="s">
        <v>160</v>
      </c>
      <c r="AC602" t="s">
        <v>159</v>
      </c>
      <c r="AD602" t="s">
        <v>160</v>
      </c>
      <c r="AE602" t="s">
        <v>159</v>
      </c>
      <c r="AF602" t="s">
        <v>160</v>
      </c>
      <c r="AG602" t="s">
        <v>159</v>
      </c>
      <c r="AH602">
        <v>0</v>
      </c>
      <c r="AI602" t="s">
        <v>159</v>
      </c>
      <c r="AJ602" t="s">
        <v>164</v>
      </c>
      <c r="AK602" t="s">
        <v>163</v>
      </c>
      <c r="AL602" t="s">
        <v>163</v>
      </c>
      <c r="AM602" t="s">
        <v>162</v>
      </c>
      <c r="AN602" t="s">
        <v>162</v>
      </c>
      <c r="AO602" t="s">
        <v>179</v>
      </c>
      <c r="AP602" t="s">
        <v>179</v>
      </c>
      <c r="AQ602">
        <v>1987</v>
      </c>
      <c r="AR602" t="s">
        <v>160</v>
      </c>
      <c r="AS602" t="s">
        <v>160</v>
      </c>
      <c r="AT602" t="s">
        <v>459</v>
      </c>
      <c r="AU602" t="s">
        <v>159</v>
      </c>
      <c r="AV602" t="s">
        <v>159</v>
      </c>
      <c r="AW602" t="s">
        <v>160</v>
      </c>
      <c r="AX602" t="s">
        <v>160</v>
      </c>
      <c r="AY602" t="s">
        <v>159</v>
      </c>
      <c r="AZ602" t="s">
        <v>159</v>
      </c>
      <c r="BA602" t="s">
        <v>159</v>
      </c>
      <c r="BB602" t="s">
        <v>241</v>
      </c>
      <c r="BC602" t="s">
        <v>160</v>
      </c>
      <c r="BD602" t="s">
        <v>2516</v>
      </c>
      <c r="BE602" t="s">
        <v>2517</v>
      </c>
      <c r="BF602" t="s">
        <v>160</v>
      </c>
      <c r="BG602" t="s">
        <v>2517</v>
      </c>
    </row>
    <row r="603" spans="1:59" ht="13" x14ac:dyDescent="0.15">
      <c r="A603" s="4">
        <v>44287.06758101852</v>
      </c>
      <c r="B603" s="4">
        <v>44287.068993055553</v>
      </c>
      <c r="C603" t="s">
        <v>39</v>
      </c>
      <c r="D603" t="s">
        <v>2518</v>
      </c>
      <c r="E603">
        <v>100</v>
      </c>
      <c r="F603">
        <v>121</v>
      </c>
      <c r="G603" t="b">
        <v>1</v>
      </c>
      <c r="H603" s="4">
        <v>44287.068993055553</v>
      </c>
      <c r="I603" t="s">
        <v>2519</v>
      </c>
      <c r="N603">
        <v>40.113601684570298</v>
      </c>
      <c r="O603">
        <v>-74.939598083495994</v>
      </c>
      <c r="P603" t="s">
        <v>153</v>
      </c>
      <c r="Q603" t="s">
        <v>154</v>
      </c>
      <c r="R603" t="s">
        <v>174</v>
      </c>
      <c r="S603" t="s">
        <v>274</v>
      </c>
      <c r="T603" t="s">
        <v>157</v>
      </c>
      <c r="U603" t="s">
        <v>976</v>
      </c>
      <c r="V603" t="s">
        <v>160</v>
      </c>
      <c r="W603" t="s">
        <v>159</v>
      </c>
      <c r="X603" t="s">
        <v>159</v>
      </c>
      <c r="Y603" t="s">
        <v>159</v>
      </c>
      <c r="Z603" t="s">
        <v>159</v>
      </c>
      <c r="AA603" t="s">
        <v>159</v>
      </c>
      <c r="AB603" t="s">
        <v>159</v>
      </c>
      <c r="AC603" t="s">
        <v>159</v>
      </c>
      <c r="AD603" t="s">
        <v>159</v>
      </c>
      <c r="AE603" t="s">
        <v>159</v>
      </c>
      <c r="AF603" t="s">
        <v>159</v>
      </c>
      <c r="AG603" t="s">
        <v>159</v>
      </c>
      <c r="AI603" t="s">
        <v>159</v>
      </c>
      <c r="AJ603" t="s">
        <v>163</v>
      </c>
      <c r="AK603" t="s">
        <v>163</v>
      </c>
      <c r="AL603" t="s">
        <v>163</v>
      </c>
      <c r="AM603" t="s">
        <v>163</v>
      </c>
      <c r="AN603" t="s">
        <v>163</v>
      </c>
      <c r="AO603" t="s">
        <v>165</v>
      </c>
      <c r="AP603" t="s">
        <v>165</v>
      </c>
      <c r="AQ603">
        <v>1999</v>
      </c>
      <c r="AR603" t="s">
        <v>160</v>
      </c>
      <c r="AS603" t="s">
        <v>159</v>
      </c>
      <c r="AT603" t="s">
        <v>180</v>
      </c>
      <c r="AU603" t="s">
        <v>159</v>
      </c>
      <c r="AV603" t="s">
        <v>159</v>
      </c>
      <c r="AW603" t="s">
        <v>159</v>
      </c>
      <c r="AX603" t="s">
        <v>159</v>
      </c>
      <c r="AY603" t="s">
        <v>159</v>
      </c>
      <c r="AZ603" t="s">
        <v>159</v>
      </c>
      <c r="BA603" t="s">
        <v>159</v>
      </c>
      <c r="BB603" t="s">
        <v>181</v>
      </c>
      <c r="BC603" t="s">
        <v>159</v>
      </c>
      <c r="BE603" t="s">
        <v>2520</v>
      </c>
      <c r="BF603" t="s">
        <v>159</v>
      </c>
    </row>
    <row r="604" spans="1:59" ht="13" x14ac:dyDescent="0.15">
      <c r="A604" s="4">
        <v>44287.068113425928</v>
      </c>
      <c r="B604" s="4">
        <v>44287.070821759262</v>
      </c>
      <c r="C604" t="s">
        <v>39</v>
      </c>
      <c r="D604" t="s">
        <v>2467</v>
      </c>
      <c r="E604">
        <v>100</v>
      </c>
      <c r="F604">
        <v>234</v>
      </c>
      <c r="G604" t="b">
        <v>1</v>
      </c>
      <c r="H604" s="4">
        <v>44287.070833333331</v>
      </c>
      <c r="I604" t="s">
        <v>2521</v>
      </c>
      <c r="N604">
        <v>44.9465942382812</v>
      </c>
      <c r="O604">
        <v>-123.010498046875</v>
      </c>
      <c r="P604" t="s">
        <v>153</v>
      </c>
      <c r="Q604" t="s">
        <v>154</v>
      </c>
      <c r="R604" t="s">
        <v>174</v>
      </c>
      <c r="S604" t="s">
        <v>274</v>
      </c>
      <c r="T604" t="s">
        <v>176</v>
      </c>
      <c r="U604" t="s">
        <v>2427</v>
      </c>
      <c r="V604" t="s">
        <v>160</v>
      </c>
      <c r="W604" t="s">
        <v>160</v>
      </c>
      <c r="X604" t="s">
        <v>160</v>
      </c>
      <c r="Y604" t="s">
        <v>160</v>
      </c>
      <c r="Z604" t="s">
        <v>159</v>
      </c>
      <c r="AA604" t="s">
        <v>159</v>
      </c>
      <c r="AB604" t="s">
        <v>160</v>
      </c>
      <c r="AC604" t="s">
        <v>159</v>
      </c>
      <c r="AD604" t="s">
        <v>159</v>
      </c>
      <c r="AE604" t="s">
        <v>160</v>
      </c>
      <c r="AF604" t="s">
        <v>159</v>
      </c>
      <c r="AG604" t="s">
        <v>160</v>
      </c>
      <c r="AH604">
        <v>1</v>
      </c>
      <c r="AI604" t="s">
        <v>160</v>
      </c>
      <c r="AJ604" t="s">
        <v>164</v>
      </c>
      <c r="AK604" t="s">
        <v>163</v>
      </c>
      <c r="AL604" t="s">
        <v>192</v>
      </c>
      <c r="AM604" t="s">
        <v>162</v>
      </c>
      <c r="AN604" t="s">
        <v>164</v>
      </c>
      <c r="AO604" t="s">
        <v>165</v>
      </c>
      <c r="AP604" t="s">
        <v>165</v>
      </c>
      <c r="AQ604">
        <v>1990</v>
      </c>
      <c r="AR604" t="s">
        <v>160</v>
      </c>
      <c r="AS604" t="s">
        <v>160</v>
      </c>
      <c r="AT604" t="s">
        <v>210</v>
      </c>
      <c r="AU604" t="s">
        <v>159</v>
      </c>
      <c r="AV604" t="s">
        <v>160</v>
      </c>
      <c r="AW604" t="s">
        <v>159</v>
      </c>
      <c r="AX604" t="s">
        <v>159</v>
      </c>
      <c r="AY604" t="s">
        <v>159</v>
      </c>
      <c r="AZ604" t="s">
        <v>159</v>
      </c>
      <c r="BA604" t="s">
        <v>159</v>
      </c>
      <c r="BB604" t="s">
        <v>241</v>
      </c>
      <c r="BC604" t="s">
        <v>159</v>
      </c>
      <c r="BD604" t="s">
        <v>2522</v>
      </c>
      <c r="BE604" t="s">
        <v>2523</v>
      </c>
      <c r="BF604" t="s">
        <v>160</v>
      </c>
      <c r="BG604" t="s">
        <v>2523</v>
      </c>
    </row>
    <row r="605" spans="1:59" ht="13" x14ac:dyDescent="0.15">
      <c r="A605" s="4">
        <v>44287.0703125</v>
      </c>
      <c r="B605" s="4">
        <v>44287.072731481479</v>
      </c>
      <c r="C605" t="s">
        <v>39</v>
      </c>
      <c r="D605" t="s">
        <v>2518</v>
      </c>
      <c r="E605">
        <v>100</v>
      </c>
      <c r="F605">
        <v>209</v>
      </c>
      <c r="G605" t="b">
        <v>1</v>
      </c>
      <c r="H605" s="4">
        <v>44287.072743055556</v>
      </c>
      <c r="I605" t="s">
        <v>2524</v>
      </c>
      <c r="N605">
        <v>40.113601684570298</v>
      </c>
      <c r="O605">
        <v>-74.939598083495994</v>
      </c>
      <c r="P605" t="s">
        <v>153</v>
      </c>
      <c r="Q605" t="s">
        <v>154</v>
      </c>
      <c r="R605" t="s">
        <v>174</v>
      </c>
      <c r="S605" t="s">
        <v>208</v>
      </c>
      <c r="T605" t="s">
        <v>176</v>
      </c>
      <c r="U605" t="s">
        <v>1554</v>
      </c>
      <c r="V605" t="s">
        <v>160</v>
      </c>
      <c r="W605" t="s">
        <v>159</v>
      </c>
      <c r="X605" t="s">
        <v>159</v>
      </c>
      <c r="Y605" t="s">
        <v>159</v>
      </c>
      <c r="Z605" t="s">
        <v>159</v>
      </c>
      <c r="AA605" t="s">
        <v>159</v>
      </c>
      <c r="AB605" t="s">
        <v>159</v>
      </c>
      <c r="AC605" t="s">
        <v>159</v>
      </c>
      <c r="AD605" t="s">
        <v>159</v>
      </c>
      <c r="AE605" t="s">
        <v>159</v>
      </c>
      <c r="AF605" t="s">
        <v>159</v>
      </c>
      <c r="AG605" t="s">
        <v>159</v>
      </c>
      <c r="AI605" t="s">
        <v>159</v>
      </c>
      <c r="AJ605" t="s">
        <v>162</v>
      </c>
      <c r="AK605" t="s">
        <v>163</v>
      </c>
      <c r="AL605" t="s">
        <v>162</v>
      </c>
      <c r="AM605" t="s">
        <v>163</v>
      </c>
      <c r="AN605" t="s">
        <v>163</v>
      </c>
      <c r="AO605" t="s">
        <v>179</v>
      </c>
      <c r="AP605" t="s">
        <v>179</v>
      </c>
      <c r="AQ605">
        <v>1998</v>
      </c>
      <c r="AR605" t="s">
        <v>160</v>
      </c>
      <c r="AS605" t="s">
        <v>160</v>
      </c>
      <c r="AT605" t="s">
        <v>180</v>
      </c>
      <c r="AU605" t="s">
        <v>159</v>
      </c>
      <c r="AV605" t="s">
        <v>159</v>
      </c>
      <c r="AW605" t="s">
        <v>159</v>
      </c>
      <c r="AX605" t="s">
        <v>159</v>
      </c>
      <c r="AY605" t="s">
        <v>159</v>
      </c>
      <c r="AZ605" t="s">
        <v>159</v>
      </c>
      <c r="BA605" t="s">
        <v>159</v>
      </c>
      <c r="BB605" t="s">
        <v>181</v>
      </c>
      <c r="BC605" t="s">
        <v>159</v>
      </c>
      <c r="BE605" t="s">
        <v>2525</v>
      </c>
      <c r="BF605" t="s">
        <v>159</v>
      </c>
    </row>
    <row r="606" spans="1:59" ht="13" x14ac:dyDescent="0.15">
      <c r="A606" s="4">
        <v>44287.073506944442</v>
      </c>
      <c r="B606" s="4">
        <v>44287.075173611112</v>
      </c>
      <c r="C606" t="s">
        <v>39</v>
      </c>
      <c r="D606" t="s">
        <v>2518</v>
      </c>
      <c r="E606">
        <v>100</v>
      </c>
      <c r="F606">
        <v>144</v>
      </c>
      <c r="G606" t="b">
        <v>1</v>
      </c>
      <c r="H606" s="4">
        <v>44287.075173611112</v>
      </c>
      <c r="I606" t="s">
        <v>2526</v>
      </c>
      <c r="N606">
        <v>40.113601684570298</v>
      </c>
      <c r="O606">
        <v>-74.939598083495994</v>
      </c>
      <c r="P606" t="s">
        <v>153</v>
      </c>
      <c r="Q606" t="s">
        <v>154</v>
      </c>
      <c r="R606" t="s">
        <v>174</v>
      </c>
      <c r="S606" t="s">
        <v>274</v>
      </c>
      <c r="T606" t="s">
        <v>176</v>
      </c>
      <c r="U606" t="s">
        <v>914</v>
      </c>
      <c r="V606" t="s">
        <v>159</v>
      </c>
      <c r="W606" t="s">
        <v>159</v>
      </c>
      <c r="X606" t="s">
        <v>159</v>
      </c>
      <c r="Y606" t="s">
        <v>159</v>
      </c>
      <c r="Z606" t="s">
        <v>159</v>
      </c>
      <c r="AA606" t="s">
        <v>159</v>
      </c>
      <c r="AB606" t="s">
        <v>159</v>
      </c>
      <c r="AC606" t="s">
        <v>159</v>
      </c>
      <c r="AD606" t="s">
        <v>159</v>
      </c>
      <c r="AE606" t="s">
        <v>159</v>
      </c>
      <c r="AF606" t="s">
        <v>159</v>
      </c>
      <c r="AG606" t="s">
        <v>159</v>
      </c>
      <c r="AI606" t="s">
        <v>159</v>
      </c>
      <c r="AJ606" t="s">
        <v>163</v>
      </c>
      <c r="AK606" t="s">
        <v>163</v>
      </c>
      <c r="AL606" t="s">
        <v>162</v>
      </c>
      <c r="AM606" t="s">
        <v>163</v>
      </c>
      <c r="AN606" t="s">
        <v>163</v>
      </c>
      <c r="AO606" t="s">
        <v>165</v>
      </c>
      <c r="AP606" t="s">
        <v>165</v>
      </c>
      <c r="AQ606">
        <v>1997</v>
      </c>
      <c r="AR606" t="s">
        <v>160</v>
      </c>
      <c r="AS606" t="s">
        <v>159</v>
      </c>
      <c r="AT606" t="s">
        <v>180</v>
      </c>
      <c r="AU606" t="s">
        <v>159</v>
      </c>
      <c r="AV606" t="s">
        <v>159</v>
      </c>
      <c r="AW606" t="s">
        <v>159</v>
      </c>
      <c r="AX606" t="s">
        <v>159</v>
      </c>
      <c r="AY606" t="s">
        <v>159</v>
      </c>
      <c r="AZ606" t="s">
        <v>159</v>
      </c>
      <c r="BA606" t="s">
        <v>159</v>
      </c>
      <c r="BB606" t="s">
        <v>167</v>
      </c>
      <c r="BC606" t="s">
        <v>159</v>
      </c>
      <c r="BE606" t="s">
        <v>2527</v>
      </c>
      <c r="BF606" t="s">
        <v>160</v>
      </c>
      <c r="BG606" t="s">
        <v>2527</v>
      </c>
    </row>
    <row r="607" spans="1:59" ht="13" x14ac:dyDescent="0.15">
      <c r="A607" s="4">
        <v>44287.075578703705</v>
      </c>
      <c r="B607" s="4">
        <v>44287.076967592591</v>
      </c>
      <c r="C607" t="s">
        <v>39</v>
      </c>
      <c r="D607" t="s">
        <v>2518</v>
      </c>
      <c r="E607">
        <v>100</v>
      </c>
      <c r="F607">
        <v>119</v>
      </c>
      <c r="G607" t="b">
        <v>1</v>
      </c>
      <c r="H607" s="4">
        <v>44287.076967592591</v>
      </c>
      <c r="I607" t="s">
        <v>2528</v>
      </c>
      <c r="N607">
        <v>40.113601684570298</v>
      </c>
      <c r="O607">
        <v>-74.939598083495994</v>
      </c>
      <c r="P607" t="s">
        <v>153</v>
      </c>
      <c r="Q607" t="s">
        <v>154</v>
      </c>
      <c r="R607" t="s">
        <v>174</v>
      </c>
      <c r="S607" t="s">
        <v>226</v>
      </c>
      <c r="T607" t="s">
        <v>157</v>
      </c>
      <c r="U607" t="s">
        <v>418</v>
      </c>
      <c r="V607" t="s">
        <v>160</v>
      </c>
      <c r="W607" t="s">
        <v>159</v>
      </c>
      <c r="X607" t="s">
        <v>159</v>
      </c>
      <c r="Y607" t="s">
        <v>159</v>
      </c>
      <c r="Z607" t="s">
        <v>159</v>
      </c>
      <c r="AA607" t="s">
        <v>159</v>
      </c>
      <c r="AB607" t="s">
        <v>159</v>
      </c>
      <c r="AC607" t="s">
        <v>159</v>
      </c>
      <c r="AD607" t="s">
        <v>159</v>
      </c>
      <c r="AE607" t="s">
        <v>159</v>
      </c>
      <c r="AF607" t="s">
        <v>159</v>
      </c>
      <c r="AG607" t="s">
        <v>159</v>
      </c>
      <c r="AI607" t="s">
        <v>159</v>
      </c>
      <c r="AJ607" t="s">
        <v>163</v>
      </c>
      <c r="AK607" t="s">
        <v>163</v>
      </c>
      <c r="AL607" t="s">
        <v>162</v>
      </c>
      <c r="AM607" t="s">
        <v>162</v>
      </c>
      <c r="AN607" t="s">
        <v>163</v>
      </c>
      <c r="AO607" t="s">
        <v>165</v>
      </c>
      <c r="AP607" t="s">
        <v>165</v>
      </c>
      <c r="AQ607">
        <v>2000</v>
      </c>
      <c r="AR607" t="s">
        <v>160</v>
      </c>
      <c r="AS607" t="s">
        <v>159</v>
      </c>
      <c r="AT607" t="s">
        <v>180</v>
      </c>
      <c r="AU607" t="s">
        <v>159</v>
      </c>
      <c r="AV607" t="s">
        <v>159</v>
      </c>
      <c r="AW607" t="s">
        <v>159</v>
      </c>
      <c r="AX607" t="s">
        <v>159</v>
      </c>
      <c r="AY607" t="s">
        <v>159</v>
      </c>
      <c r="AZ607" t="s">
        <v>159</v>
      </c>
      <c r="BA607" t="s">
        <v>159</v>
      </c>
      <c r="BB607" t="s">
        <v>167</v>
      </c>
      <c r="BC607" t="s">
        <v>159</v>
      </c>
      <c r="BE607" t="s">
        <v>2529</v>
      </c>
      <c r="BF607" t="s">
        <v>159</v>
      </c>
    </row>
    <row r="608" spans="1:59" ht="13" x14ac:dyDescent="0.15">
      <c r="A608" s="4">
        <v>44287.069456018522</v>
      </c>
      <c r="B608" s="4">
        <v>44287.077187499999</v>
      </c>
      <c r="C608" t="s">
        <v>39</v>
      </c>
      <c r="D608" t="s">
        <v>2530</v>
      </c>
      <c r="E608">
        <v>100</v>
      </c>
      <c r="F608">
        <v>667</v>
      </c>
      <c r="G608" t="b">
        <v>1</v>
      </c>
      <c r="H608" s="4">
        <v>44287.077187499999</v>
      </c>
      <c r="I608" t="s">
        <v>2531</v>
      </c>
      <c r="N608">
        <v>29.565200805663999</v>
      </c>
      <c r="O608">
        <v>-98.614501953125</v>
      </c>
      <c r="P608" t="s">
        <v>153</v>
      </c>
      <c r="Q608" t="s">
        <v>154</v>
      </c>
      <c r="R608" t="s">
        <v>174</v>
      </c>
      <c r="S608" t="s">
        <v>274</v>
      </c>
      <c r="T608" t="s">
        <v>263</v>
      </c>
      <c r="U608" t="s">
        <v>491</v>
      </c>
      <c r="V608" t="s">
        <v>159</v>
      </c>
      <c r="W608" t="s">
        <v>160</v>
      </c>
      <c r="X608" t="s">
        <v>159</v>
      </c>
      <c r="Y608" t="s">
        <v>159</v>
      </c>
      <c r="Z608" t="s">
        <v>159</v>
      </c>
      <c r="AA608" t="s">
        <v>159</v>
      </c>
      <c r="AB608" t="s">
        <v>159</v>
      </c>
      <c r="AC608" t="s">
        <v>159</v>
      </c>
      <c r="AD608" t="s">
        <v>159</v>
      </c>
      <c r="AE608" t="s">
        <v>159</v>
      </c>
      <c r="AF608" t="s">
        <v>159</v>
      </c>
      <c r="AG608" t="s">
        <v>159</v>
      </c>
      <c r="AH608">
        <v>0</v>
      </c>
      <c r="AI608" t="s">
        <v>159</v>
      </c>
      <c r="AJ608" t="s">
        <v>163</v>
      </c>
      <c r="AK608" t="s">
        <v>163</v>
      </c>
      <c r="AL608" t="s">
        <v>163</v>
      </c>
      <c r="AM608" t="s">
        <v>163</v>
      </c>
      <c r="AN608" t="s">
        <v>163</v>
      </c>
      <c r="AO608" t="s">
        <v>179</v>
      </c>
      <c r="AP608" t="s">
        <v>179</v>
      </c>
      <c r="AQ608">
        <v>2001</v>
      </c>
      <c r="AR608" t="s">
        <v>160</v>
      </c>
      <c r="AS608" t="s">
        <v>159</v>
      </c>
      <c r="AT608" t="s">
        <v>180</v>
      </c>
      <c r="AU608" t="s">
        <v>159</v>
      </c>
      <c r="AV608" t="s">
        <v>159</v>
      </c>
      <c r="AW608" t="s">
        <v>159</v>
      </c>
      <c r="AX608" t="s">
        <v>159</v>
      </c>
      <c r="AY608" t="s">
        <v>159</v>
      </c>
      <c r="AZ608" t="s">
        <v>159</v>
      </c>
      <c r="BA608" t="s">
        <v>159</v>
      </c>
      <c r="BB608" t="s">
        <v>167</v>
      </c>
      <c r="BC608" t="s">
        <v>160</v>
      </c>
      <c r="BD608" t="s">
        <v>2532</v>
      </c>
      <c r="BE608" t="s">
        <v>2533</v>
      </c>
      <c r="BF608" t="s">
        <v>160</v>
      </c>
      <c r="BG608" t="s">
        <v>2534</v>
      </c>
    </row>
    <row r="609" spans="1:59" ht="13" x14ac:dyDescent="0.15">
      <c r="A609" s="4">
        <v>44287.077337962961</v>
      </c>
      <c r="B609" s="4">
        <v>44287.07885416667</v>
      </c>
      <c r="C609" t="s">
        <v>39</v>
      </c>
      <c r="D609" t="s">
        <v>2518</v>
      </c>
      <c r="E609">
        <v>100</v>
      </c>
      <c r="F609">
        <v>130</v>
      </c>
      <c r="G609" t="b">
        <v>1</v>
      </c>
      <c r="H609" s="4">
        <v>44287.07885416667</v>
      </c>
      <c r="I609" t="s">
        <v>2535</v>
      </c>
      <c r="N609">
        <v>40.113601684570298</v>
      </c>
      <c r="O609">
        <v>-74.939598083495994</v>
      </c>
      <c r="P609" t="s">
        <v>153</v>
      </c>
      <c r="Q609" t="s">
        <v>154</v>
      </c>
      <c r="R609" t="s">
        <v>174</v>
      </c>
      <c r="S609" t="s">
        <v>274</v>
      </c>
      <c r="T609" t="s">
        <v>176</v>
      </c>
      <c r="U609" t="s">
        <v>1362</v>
      </c>
      <c r="V609" t="s">
        <v>160</v>
      </c>
      <c r="W609" t="s">
        <v>159</v>
      </c>
      <c r="X609" t="s">
        <v>159</v>
      </c>
      <c r="Y609" t="s">
        <v>159</v>
      </c>
      <c r="Z609" t="s">
        <v>159</v>
      </c>
      <c r="AA609" t="s">
        <v>159</v>
      </c>
      <c r="AB609" t="s">
        <v>159</v>
      </c>
      <c r="AC609" t="s">
        <v>159</v>
      </c>
      <c r="AD609" t="s">
        <v>159</v>
      </c>
      <c r="AE609" t="s">
        <v>159</v>
      </c>
      <c r="AF609" t="s">
        <v>159</v>
      </c>
      <c r="AG609" t="s">
        <v>159</v>
      </c>
      <c r="AI609" t="s">
        <v>159</v>
      </c>
      <c r="AJ609" t="s">
        <v>162</v>
      </c>
      <c r="AK609" t="s">
        <v>163</v>
      </c>
      <c r="AL609" t="s">
        <v>162</v>
      </c>
      <c r="AM609" t="s">
        <v>163</v>
      </c>
      <c r="AN609" t="s">
        <v>192</v>
      </c>
      <c r="AO609" t="s">
        <v>179</v>
      </c>
      <c r="AP609" t="s">
        <v>179</v>
      </c>
      <c r="AQ609">
        <v>1998</v>
      </c>
      <c r="AR609" t="s">
        <v>160</v>
      </c>
      <c r="AS609" t="s">
        <v>160</v>
      </c>
      <c r="AT609" t="s">
        <v>180</v>
      </c>
      <c r="AU609" t="s">
        <v>159</v>
      </c>
      <c r="AV609" t="s">
        <v>159</v>
      </c>
      <c r="AW609" t="s">
        <v>159</v>
      </c>
      <c r="AX609" t="s">
        <v>159</v>
      </c>
      <c r="AY609" t="s">
        <v>159</v>
      </c>
      <c r="AZ609" t="s">
        <v>159</v>
      </c>
      <c r="BA609" t="s">
        <v>159</v>
      </c>
      <c r="BB609" t="s">
        <v>181</v>
      </c>
      <c r="BC609" t="s">
        <v>159</v>
      </c>
      <c r="BE609" t="s">
        <v>2536</v>
      </c>
      <c r="BF609" t="s">
        <v>159</v>
      </c>
    </row>
    <row r="610" spans="1:59" ht="13" x14ac:dyDescent="0.15">
      <c r="A610" s="4">
        <v>44287.07912037037</v>
      </c>
      <c r="B610" s="4">
        <v>44287.080543981479</v>
      </c>
      <c r="C610" t="s">
        <v>39</v>
      </c>
      <c r="D610" t="s">
        <v>2537</v>
      </c>
      <c r="E610">
        <v>100</v>
      </c>
      <c r="F610">
        <v>123</v>
      </c>
      <c r="G610" t="b">
        <v>1</v>
      </c>
      <c r="H610" s="4">
        <v>44287.080555555556</v>
      </c>
      <c r="I610" t="s">
        <v>2538</v>
      </c>
      <c r="N610">
        <v>34.864700317382798</v>
      </c>
      <c r="O610">
        <v>117.55419921875</v>
      </c>
      <c r="P610" t="s">
        <v>153</v>
      </c>
      <c r="Q610" t="s">
        <v>154</v>
      </c>
      <c r="R610" t="s">
        <v>174</v>
      </c>
      <c r="S610" t="s">
        <v>208</v>
      </c>
      <c r="T610" t="s">
        <v>263</v>
      </c>
      <c r="U610" t="s">
        <v>2539</v>
      </c>
      <c r="V610" t="s">
        <v>160</v>
      </c>
      <c r="W610" t="s">
        <v>159</v>
      </c>
      <c r="X610" t="s">
        <v>159</v>
      </c>
      <c r="Y610" t="s">
        <v>159</v>
      </c>
      <c r="Z610" t="s">
        <v>159</v>
      </c>
      <c r="AA610" t="s">
        <v>159</v>
      </c>
      <c r="AB610" t="s">
        <v>159</v>
      </c>
      <c r="AC610" t="s">
        <v>159</v>
      </c>
      <c r="AD610" t="s">
        <v>159</v>
      </c>
      <c r="AE610" t="s">
        <v>159</v>
      </c>
      <c r="AF610" t="s">
        <v>159</v>
      </c>
      <c r="AG610" t="s">
        <v>159</v>
      </c>
      <c r="AI610" t="s">
        <v>159</v>
      </c>
      <c r="AJ610" t="s">
        <v>163</v>
      </c>
      <c r="AK610" t="s">
        <v>163</v>
      </c>
      <c r="AL610" t="s">
        <v>162</v>
      </c>
      <c r="AM610" t="s">
        <v>192</v>
      </c>
      <c r="AN610" t="s">
        <v>192</v>
      </c>
      <c r="AO610" t="s">
        <v>165</v>
      </c>
      <c r="AP610" t="s">
        <v>165</v>
      </c>
      <c r="AQ610">
        <v>1998</v>
      </c>
      <c r="AR610" t="s">
        <v>160</v>
      </c>
      <c r="AS610" t="s">
        <v>159</v>
      </c>
      <c r="AT610" t="s">
        <v>180</v>
      </c>
      <c r="AU610" t="s">
        <v>159</v>
      </c>
      <c r="AV610" t="s">
        <v>159</v>
      </c>
      <c r="AW610" t="s">
        <v>159</v>
      </c>
      <c r="AX610" t="s">
        <v>159</v>
      </c>
      <c r="AY610" t="s">
        <v>159</v>
      </c>
      <c r="AZ610" t="s">
        <v>159</v>
      </c>
      <c r="BA610" t="s">
        <v>159</v>
      </c>
      <c r="BB610" t="s">
        <v>181</v>
      </c>
      <c r="BC610" t="s">
        <v>159</v>
      </c>
      <c r="BE610" t="s">
        <v>2540</v>
      </c>
      <c r="BF610" t="s">
        <v>159</v>
      </c>
    </row>
    <row r="611" spans="1:59" ht="13" x14ac:dyDescent="0.15">
      <c r="A611" s="4">
        <v>44287.080879629626</v>
      </c>
      <c r="B611" s="4">
        <v>44287.082060185188</v>
      </c>
      <c r="C611" t="s">
        <v>39</v>
      </c>
      <c r="D611" t="s">
        <v>2518</v>
      </c>
      <c r="E611">
        <v>100</v>
      </c>
      <c r="F611">
        <v>102</v>
      </c>
      <c r="G611" t="b">
        <v>1</v>
      </c>
      <c r="H611" s="4">
        <v>44287.082071759258</v>
      </c>
      <c r="I611" t="s">
        <v>2541</v>
      </c>
      <c r="N611">
        <v>40.113601684570298</v>
      </c>
      <c r="O611">
        <v>-74.939598083495994</v>
      </c>
      <c r="P611" t="s">
        <v>153</v>
      </c>
      <c r="Q611" t="s">
        <v>154</v>
      </c>
      <c r="R611" t="s">
        <v>174</v>
      </c>
      <c r="S611" t="s">
        <v>208</v>
      </c>
      <c r="T611" t="s">
        <v>176</v>
      </c>
      <c r="U611" t="s">
        <v>1606</v>
      </c>
      <c r="V611" t="s">
        <v>159</v>
      </c>
      <c r="W611" t="s">
        <v>159</v>
      </c>
      <c r="X611" t="s">
        <v>159</v>
      </c>
      <c r="Y611" t="s">
        <v>159</v>
      </c>
      <c r="Z611" t="s">
        <v>159</v>
      </c>
      <c r="AA611" t="s">
        <v>159</v>
      </c>
      <c r="AB611" t="s">
        <v>159</v>
      </c>
      <c r="AC611" t="s">
        <v>159</v>
      </c>
      <c r="AD611" t="s">
        <v>159</v>
      </c>
      <c r="AE611" t="s">
        <v>159</v>
      </c>
      <c r="AF611" t="s">
        <v>159</v>
      </c>
      <c r="AG611" t="s">
        <v>159</v>
      </c>
      <c r="AI611" t="s">
        <v>159</v>
      </c>
      <c r="AJ611" t="s">
        <v>163</v>
      </c>
      <c r="AK611" t="s">
        <v>163</v>
      </c>
      <c r="AL611" t="s">
        <v>192</v>
      </c>
      <c r="AM611" t="s">
        <v>163</v>
      </c>
      <c r="AN611" t="s">
        <v>163</v>
      </c>
      <c r="AO611" t="s">
        <v>179</v>
      </c>
      <c r="AP611" t="s">
        <v>179</v>
      </c>
      <c r="AQ611">
        <v>2000</v>
      </c>
      <c r="AR611" t="s">
        <v>160</v>
      </c>
      <c r="AS611" t="s">
        <v>159</v>
      </c>
      <c r="AT611" t="s">
        <v>180</v>
      </c>
      <c r="AU611" t="s">
        <v>159</v>
      </c>
      <c r="AV611" t="s">
        <v>159</v>
      </c>
      <c r="AW611" t="s">
        <v>159</v>
      </c>
      <c r="AX611" t="s">
        <v>159</v>
      </c>
      <c r="AY611" t="s">
        <v>159</v>
      </c>
      <c r="AZ611" t="s">
        <v>159</v>
      </c>
      <c r="BA611" t="s">
        <v>159</v>
      </c>
      <c r="BB611" t="s">
        <v>167</v>
      </c>
      <c r="BC611" t="s">
        <v>159</v>
      </c>
      <c r="BE611" t="s">
        <v>2542</v>
      </c>
      <c r="BF611" t="s">
        <v>159</v>
      </c>
    </row>
    <row r="612" spans="1:59" ht="13" x14ac:dyDescent="0.15">
      <c r="A612" s="4">
        <v>44287.082395833335</v>
      </c>
      <c r="B612" s="4">
        <v>44287.08353009259</v>
      </c>
      <c r="C612" t="s">
        <v>39</v>
      </c>
      <c r="D612" t="s">
        <v>2518</v>
      </c>
      <c r="E612">
        <v>100</v>
      </c>
      <c r="F612">
        <v>97</v>
      </c>
      <c r="G612" t="b">
        <v>1</v>
      </c>
      <c r="H612" s="4">
        <v>44287.083541666667</v>
      </c>
      <c r="I612" t="s">
        <v>2543</v>
      </c>
      <c r="N612">
        <v>40.113601684570298</v>
      </c>
      <c r="O612">
        <v>-74.939598083495994</v>
      </c>
      <c r="P612" t="s">
        <v>153</v>
      </c>
      <c r="Q612" t="s">
        <v>154</v>
      </c>
      <c r="R612" t="s">
        <v>174</v>
      </c>
      <c r="S612" t="s">
        <v>226</v>
      </c>
      <c r="T612" t="s">
        <v>157</v>
      </c>
      <c r="U612" t="s">
        <v>1362</v>
      </c>
      <c r="V612" t="s">
        <v>159</v>
      </c>
      <c r="W612" t="s">
        <v>159</v>
      </c>
      <c r="X612" t="s">
        <v>159</v>
      </c>
      <c r="Y612" t="s">
        <v>159</v>
      </c>
      <c r="Z612" t="s">
        <v>159</v>
      </c>
      <c r="AA612" t="s">
        <v>159</v>
      </c>
      <c r="AB612" t="s">
        <v>159</v>
      </c>
      <c r="AC612" t="s">
        <v>159</v>
      </c>
      <c r="AD612" t="s">
        <v>159</v>
      </c>
      <c r="AE612" t="s">
        <v>159</v>
      </c>
      <c r="AF612" t="s">
        <v>159</v>
      </c>
      <c r="AG612" t="s">
        <v>159</v>
      </c>
      <c r="AI612" t="s">
        <v>159</v>
      </c>
      <c r="AJ612" t="s">
        <v>163</v>
      </c>
      <c r="AK612" t="s">
        <v>192</v>
      </c>
      <c r="AL612" t="s">
        <v>163</v>
      </c>
      <c r="AM612" t="s">
        <v>163</v>
      </c>
      <c r="AN612" t="s">
        <v>163</v>
      </c>
      <c r="AO612" t="s">
        <v>165</v>
      </c>
      <c r="AP612" t="s">
        <v>165</v>
      </c>
      <c r="AQ612">
        <v>2001</v>
      </c>
      <c r="AR612" t="s">
        <v>160</v>
      </c>
      <c r="AS612" t="s">
        <v>159</v>
      </c>
      <c r="AT612" t="s">
        <v>180</v>
      </c>
      <c r="AU612" t="s">
        <v>159</v>
      </c>
      <c r="AV612" t="s">
        <v>159</v>
      </c>
      <c r="AW612" t="s">
        <v>159</v>
      </c>
      <c r="AX612" t="s">
        <v>159</v>
      </c>
      <c r="AY612" t="s">
        <v>159</v>
      </c>
      <c r="AZ612" t="s">
        <v>159</v>
      </c>
      <c r="BA612" t="s">
        <v>159</v>
      </c>
      <c r="BB612" t="s">
        <v>167</v>
      </c>
      <c r="BC612" t="s">
        <v>159</v>
      </c>
      <c r="BE612" t="s">
        <v>2544</v>
      </c>
      <c r="BF612" t="s">
        <v>159</v>
      </c>
    </row>
    <row r="613" spans="1:59" ht="13" x14ac:dyDescent="0.15">
      <c r="A613" s="4">
        <v>44287.079976851855</v>
      </c>
      <c r="B613" s="4">
        <v>44287.084178240744</v>
      </c>
      <c r="C613" t="s">
        <v>39</v>
      </c>
      <c r="D613" t="s">
        <v>2545</v>
      </c>
      <c r="E613">
        <v>100</v>
      </c>
      <c r="F613">
        <v>363</v>
      </c>
      <c r="G613" t="b">
        <v>1</v>
      </c>
      <c r="H613" s="4">
        <v>44287.084189814814</v>
      </c>
      <c r="I613" t="s">
        <v>2546</v>
      </c>
      <c r="N613">
        <v>29.572006225585898</v>
      </c>
      <c r="O613">
        <v>-95.540000915527301</v>
      </c>
      <c r="P613" t="s">
        <v>153</v>
      </c>
      <c r="Q613" t="s">
        <v>154</v>
      </c>
      <c r="R613" t="s">
        <v>174</v>
      </c>
      <c r="S613" t="s">
        <v>226</v>
      </c>
      <c r="T613" t="s">
        <v>176</v>
      </c>
      <c r="U613" t="s">
        <v>368</v>
      </c>
      <c r="V613" t="s">
        <v>160</v>
      </c>
      <c r="W613" t="s">
        <v>159</v>
      </c>
      <c r="X613" t="s">
        <v>159</v>
      </c>
      <c r="Y613" t="s">
        <v>159</v>
      </c>
      <c r="Z613" t="s">
        <v>159</v>
      </c>
      <c r="AA613" t="s">
        <v>159</v>
      </c>
      <c r="AB613" t="s">
        <v>159</v>
      </c>
      <c r="AC613" t="s">
        <v>159</v>
      </c>
      <c r="AD613" t="s">
        <v>159</v>
      </c>
      <c r="AE613" t="s">
        <v>159</v>
      </c>
      <c r="AF613" t="s">
        <v>159</v>
      </c>
      <c r="AG613" t="s">
        <v>159</v>
      </c>
      <c r="AH613">
        <v>1</v>
      </c>
      <c r="AI613" t="s">
        <v>160</v>
      </c>
      <c r="AJ613" t="s">
        <v>164</v>
      </c>
      <c r="AK613" t="s">
        <v>192</v>
      </c>
      <c r="AL613" t="s">
        <v>163</v>
      </c>
      <c r="AM613" t="s">
        <v>162</v>
      </c>
      <c r="AN613" t="s">
        <v>163</v>
      </c>
      <c r="AO613" t="s">
        <v>179</v>
      </c>
      <c r="AP613" t="s">
        <v>179</v>
      </c>
      <c r="AQ613">
        <v>1999</v>
      </c>
      <c r="AR613" t="s">
        <v>160</v>
      </c>
      <c r="AS613" t="s">
        <v>159</v>
      </c>
      <c r="AT613" t="s">
        <v>180</v>
      </c>
      <c r="AU613" t="s">
        <v>159</v>
      </c>
      <c r="AV613" t="s">
        <v>159</v>
      </c>
      <c r="AW613" t="s">
        <v>159</v>
      </c>
      <c r="AX613" t="s">
        <v>159</v>
      </c>
      <c r="AY613" t="s">
        <v>159</v>
      </c>
      <c r="AZ613" t="s">
        <v>159</v>
      </c>
      <c r="BA613" t="s">
        <v>159</v>
      </c>
      <c r="BB613" t="s">
        <v>167</v>
      </c>
      <c r="BC613" t="s">
        <v>160</v>
      </c>
      <c r="BD613" t="s">
        <v>2547</v>
      </c>
      <c r="BE613" t="s">
        <v>2548</v>
      </c>
      <c r="BF613" t="s">
        <v>159</v>
      </c>
    </row>
    <row r="614" spans="1:59" ht="13" x14ac:dyDescent="0.15">
      <c r="A614" s="4">
        <v>44287.083784722221</v>
      </c>
      <c r="B614" s="4">
        <v>44287.085034722222</v>
      </c>
      <c r="C614" t="s">
        <v>39</v>
      </c>
      <c r="D614" t="s">
        <v>2518</v>
      </c>
      <c r="E614">
        <v>100</v>
      </c>
      <c r="F614">
        <v>108</v>
      </c>
      <c r="G614" t="b">
        <v>1</v>
      </c>
      <c r="H614" s="4">
        <v>44287.085034722222</v>
      </c>
      <c r="I614" t="s">
        <v>2549</v>
      </c>
      <c r="N614">
        <v>40.113601684570298</v>
      </c>
      <c r="O614">
        <v>-74.939598083495994</v>
      </c>
      <c r="P614" t="s">
        <v>153</v>
      </c>
      <c r="Q614" t="s">
        <v>154</v>
      </c>
      <c r="R614" t="s">
        <v>174</v>
      </c>
      <c r="S614" t="s">
        <v>274</v>
      </c>
      <c r="T614" t="s">
        <v>176</v>
      </c>
      <c r="U614" t="s">
        <v>2550</v>
      </c>
      <c r="V614" t="s">
        <v>160</v>
      </c>
      <c r="W614" t="s">
        <v>159</v>
      </c>
      <c r="X614" t="s">
        <v>159</v>
      </c>
      <c r="Y614" t="s">
        <v>159</v>
      </c>
      <c r="Z614" t="s">
        <v>159</v>
      </c>
      <c r="AA614" t="s">
        <v>159</v>
      </c>
      <c r="AB614" t="s">
        <v>159</v>
      </c>
      <c r="AC614" t="s">
        <v>159</v>
      </c>
      <c r="AD614" t="s">
        <v>159</v>
      </c>
      <c r="AE614" t="s">
        <v>159</v>
      </c>
      <c r="AF614" t="s">
        <v>159</v>
      </c>
      <c r="AG614" t="s">
        <v>159</v>
      </c>
      <c r="AI614" t="s">
        <v>159</v>
      </c>
      <c r="AJ614" t="s">
        <v>163</v>
      </c>
      <c r="AK614" t="s">
        <v>192</v>
      </c>
      <c r="AL614" t="s">
        <v>163</v>
      </c>
      <c r="AM614" t="s">
        <v>163</v>
      </c>
      <c r="AN614" t="s">
        <v>192</v>
      </c>
      <c r="AQ614">
        <v>2000</v>
      </c>
      <c r="AR614" t="s">
        <v>160</v>
      </c>
      <c r="AS614" t="s">
        <v>159</v>
      </c>
      <c r="AT614" t="s">
        <v>180</v>
      </c>
      <c r="AU614" t="s">
        <v>159</v>
      </c>
      <c r="AV614" t="s">
        <v>159</v>
      </c>
      <c r="AW614" t="s">
        <v>159</v>
      </c>
      <c r="AX614" t="s">
        <v>159</v>
      </c>
      <c r="AY614" t="s">
        <v>159</v>
      </c>
      <c r="AZ614" t="s">
        <v>159</v>
      </c>
      <c r="BA614" t="s">
        <v>159</v>
      </c>
      <c r="BB614" t="s">
        <v>167</v>
      </c>
      <c r="BC614" t="s">
        <v>159</v>
      </c>
      <c r="BE614" t="s">
        <v>2551</v>
      </c>
      <c r="BF614" t="s">
        <v>159</v>
      </c>
    </row>
    <row r="615" spans="1:59" ht="13" x14ac:dyDescent="0.15">
      <c r="A615" s="4">
        <v>44287.085312499999</v>
      </c>
      <c r="B615" s="4">
        <v>44287.086655092593</v>
      </c>
      <c r="C615" t="s">
        <v>39</v>
      </c>
      <c r="D615" t="s">
        <v>2518</v>
      </c>
      <c r="E615">
        <v>100</v>
      </c>
      <c r="F615">
        <v>115</v>
      </c>
      <c r="G615" t="b">
        <v>1</v>
      </c>
      <c r="H615" s="4">
        <v>44287.086655092593</v>
      </c>
      <c r="I615" t="s">
        <v>2552</v>
      </c>
      <c r="N615">
        <v>40.113601684570298</v>
      </c>
      <c r="O615">
        <v>-74.939598083495994</v>
      </c>
      <c r="P615" t="s">
        <v>153</v>
      </c>
      <c r="Q615" t="s">
        <v>154</v>
      </c>
      <c r="R615" t="s">
        <v>174</v>
      </c>
      <c r="S615" t="s">
        <v>208</v>
      </c>
      <c r="T615" t="s">
        <v>157</v>
      </c>
      <c r="U615" t="s">
        <v>2553</v>
      </c>
      <c r="V615" t="s">
        <v>160</v>
      </c>
      <c r="W615" t="s">
        <v>159</v>
      </c>
      <c r="X615" t="s">
        <v>159</v>
      </c>
      <c r="Y615" t="s">
        <v>159</v>
      </c>
      <c r="Z615" t="s">
        <v>159</v>
      </c>
      <c r="AA615" t="s">
        <v>159</v>
      </c>
      <c r="AB615" t="s">
        <v>159</v>
      </c>
      <c r="AC615" t="s">
        <v>159</v>
      </c>
      <c r="AD615" t="s">
        <v>159</v>
      </c>
      <c r="AE615" t="s">
        <v>159</v>
      </c>
      <c r="AF615" t="s">
        <v>159</v>
      </c>
      <c r="AG615" t="s">
        <v>159</v>
      </c>
      <c r="AI615" t="s">
        <v>159</v>
      </c>
      <c r="AJ615" t="s">
        <v>163</v>
      </c>
      <c r="AK615" t="s">
        <v>163</v>
      </c>
      <c r="AL615" t="s">
        <v>162</v>
      </c>
      <c r="AM615" t="s">
        <v>162</v>
      </c>
      <c r="AN615" t="s">
        <v>162</v>
      </c>
      <c r="AO615" t="s">
        <v>165</v>
      </c>
      <c r="AP615" t="s">
        <v>165</v>
      </c>
      <c r="AQ615">
        <v>1999</v>
      </c>
      <c r="AR615" t="s">
        <v>160</v>
      </c>
      <c r="AS615" t="s">
        <v>159</v>
      </c>
      <c r="AT615" t="s">
        <v>180</v>
      </c>
      <c r="AU615" t="s">
        <v>159</v>
      </c>
      <c r="AV615" t="s">
        <v>159</v>
      </c>
      <c r="AW615" t="s">
        <v>159</v>
      </c>
      <c r="AX615" t="s">
        <v>159</v>
      </c>
      <c r="AY615" t="s">
        <v>159</v>
      </c>
      <c r="AZ615" t="s">
        <v>159</v>
      </c>
      <c r="BA615" t="s">
        <v>159</v>
      </c>
      <c r="BB615" t="s">
        <v>241</v>
      </c>
      <c r="BC615" t="s">
        <v>159</v>
      </c>
      <c r="BE615" t="s">
        <v>2554</v>
      </c>
      <c r="BF615" t="s">
        <v>159</v>
      </c>
    </row>
    <row r="616" spans="1:59" ht="13" x14ac:dyDescent="0.15">
      <c r="A616" s="4">
        <v>44287.074629629627</v>
      </c>
      <c r="B616" s="4">
        <v>44287.088229166664</v>
      </c>
      <c r="C616" t="s">
        <v>39</v>
      </c>
      <c r="D616" t="s">
        <v>2555</v>
      </c>
      <c r="E616">
        <v>100</v>
      </c>
      <c r="F616">
        <v>1175</v>
      </c>
      <c r="G616" t="b">
        <v>1</v>
      </c>
      <c r="H616" s="4">
        <v>44287.088229166664</v>
      </c>
      <c r="I616" t="s">
        <v>2556</v>
      </c>
      <c r="N616">
        <v>34.439804077148402</v>
      </c>
      <c r="O616">
        <v>-119.73149871826099</v>
      </c>
      <c r="P616" t="s">
        <v>153</v>
      </c>
      <c r="Q616" t="s">
        <v>154</v>
      </c>
      <c r="R616" t="s">
        <v>174</v>
      </c>
      <c r="S616" t="s">
        <v>274</v>
      </c>
      <c r="T616" t="s">
        <v>157</v>
      </c>
      <c r="U616" t="s">
        <v>2557</v>
      </c>
      <c r="V616" t="s">
        <v>160</v>
      </c>
      <c r="W616" t="s">
        <v>160</v>
      </c>
      <c r="X616" t="s">
        <v>159</v>
      </c>
      <c r="Y616" t="s">
        <v>159</v>
      </c>
      <c r="Z616" t="s">
        <v>159</v>
      </c>
      <c r="AA616" t="s">
        <v>159</v>
      </c>
      <c r="AB616" t="s">
        <v>159</v>
      </c>
      <c r="AC616" t="s">
        <v>159</v>
      </c>
      <c r="AD616" t="s">
        <v>160</v>
      </c>
      <c r="AE616" t="s">
        <v>160</v>
      </c>
      <c r="AF616" t="s">
        <v>159</v>
      </c>
      <c r="AG616" t="s">
        <v>159</v>
      </c>
      <c r="AH616" t="s">
        <v>2558</v>
      </c>
      <c r="AI616" t="s">
        <v>160</v>
      </c>
      <c r="AJ616" t="s">
        <v>192</v>
      </c>
      <c r="AK616" t="s">
        <v>163</v>
      </c>
      <c r="AL616" t="s">
        <v>163</v>
      </c>
      <c r="AM616" t="s">
        <v>192</v>
      </c>
      <c r="AN616" t="s">
        <v>163</v>
      </c>
      <c r="AO616" t="s">
        <v>179</v>
      </c>
      <c r="AP616" t="s">
        <v>179</v>
      </c>
      <c r="AQ616">
        <v>2000</v>
      </c>
      <c r="AR616" t="s">
        <v>160</v>
      </c>
      <c r="AS616" t="s">
        <v>159</v>
      </c>
      <c r="AT616" t="s">
        <v>180</v>
      </c>
      <c r="AU616" t="s">
        <v>159</v>
      </c>
      <c r="AV616" t="s">
        <v>159</v>
      </c>
      <c r="AW616" t="s">
        <v>159</v>
      </c>
      <c r="AX616" t="s">
        <v>159</v>
      </c>
      <c r="AY616" t="s">
        <v>159</v>
      </c>
      <c r="AZ616" t="s">
        <v>159</v>
      </c>
      <c r="BA616" t="s">
        <v>159</v>
      </c>
      <c r="BB616" t="s">
        <v>181</v>
      </c>
      <c r="BC616" t="s">
        <v>159</v>
      </c>
      <c r="BD616" t="s">
        <v>193</v>
      </c>
      <c r="BE616" t="s">
        <v>2559</v>
      </c>
      <c r="BF616" t="s">
        <v>160</v>
      </c>
      <c r="BG616" t="s">
        <v>2560</v>
      </c>
    </row>
    <row r="617" spans="1:59" ht="13" x14ac:dyDescent="0.15">
      <c r="A617" s="4">
        <v>44287.086944444447</v>
      </c>
      <c r="B617" s="4">
        <v>44287.088888888888</v>
      </c>
      <c r="C617" t="s">
        <v>39</v>
      </c>
      <c r="D617" t="s">
        <v>2518</v>
      </c>
      <c r="E617">
        <v>100</v>
      </c>
      <c r="F617">
        <v>167</v>
      </c>
      <c r="G617" t="b">
        <v>1</v>
      </c>
      <c r="H617" s="4">
        <v>44287.088888888888</v>
      </c>
      <c r="I617" t="s">
        <v>2561</v>
      </c>
      <c r="N617">
        <v>40.113601684570298</v>
      </c>
      <c r="O617">
        <v>-74.939598083495994</v>
      </c>
      <c r="P617" t="s">
        <v>153</v>
      </c>
      <c r="Q617" t="s">
        <v>154</v>
      </c>
      <c r="R617" t="s">
        <v>174</v>
      </c>
      <c r="S617" t="s">
        <v>274</v>
      </c>
      <c r="T617" t="s">
        <v>176</v>
      </c>
      <c r="U617" t="s">
        <v>2298</v>
      </c>
      <c r="V617" t="s">
        <v>160</v>
      </c>
      <c r="W617" t="s">
        <v>159</v>
      </c>
      <c r="X617" t="s">
        <v>159</v>
      </c>
      <c r="Y617" t="s">
        <v>159</v>
      </c>
      <c r="Z617" t="s">
        <v>159</v>
      </c>
      <c r="AA617" t="s">
        <v>159</v>
      </c>
      <c r="AB617" t="s">
        <v>159</v>
      </c>
      <c r="AC617" t="s">
        <v>159</v>
      </c>
      <c r="AD617" t="s">
        <v>159</v>
      </c>
      <c r="AE617" t="s">
        <v>159</v>
      </c>
      <c r="AF617" t="s">
        <v>159</v>
      </c>
      <c r="AG617" t="s">
        <v>159</v>
      </c>
      <c r="AI617" t="s">
        <v>159</v>
      </c>
      <c r="AJ617" t="s">
        <v>163</v>
      </c>
      <c r="AK617" t="s">
        <v>163</v>
      </c>
      <c r="AL617" t="s">
        <v>162</v>
      </c>
      <c r="AM617" t="s">
        <v>163</v>
      </c>
      <c r="AN617" t="s">
        <v>163</v>
      </c>
      <c r="AO617" t="s">
        <v>179</v>
      </c>
      <c r="AP617" t="s">
        <v>179</v>
      </c>
      <c r="AQ617">
        <v>2000</v>
      </c>
      <c r="AR617" t="s">
        <v>160</v>
      </c>
      <c r="AS617" t="s">
        <v>160</v>
      </c>
      <c r="AT617" t="s">
        <v>180</v>
      </c>
      <c r="AU617" t="s">
        <v>159</v>
      </c>
      <c r="AV617" t="s">
        <v>159</v>
      </c>
      <c r="AW617" t="s">
        <v>159</v>
      </c>
      <c r="AX617" t="s">
        <v>159</v>
      </c>
      <c r="AY617" t="s">
        <v>159</v>
      </c>
      <c r="AZ617" t="s">
        <v>159</v>
      </c>
      <c r="BA617" t="s">
        <v>159</v>
      </c>
      <c r="BB617" t="s">
        <v>241</v>
      </c>
      <c r="BC617" t="s">
        <v>159</v>
      </c>
      <c r="BE617" t="s">
        <v>2562</v>
      </c>
      <c r="BF617" t="s">
        <v>159</v>
      </c>
    </row>
    <row r="618" spans="1:59" ht="13" x14ac:dyDescent="0.15">
      <c r="A618" s="4">
        <v>44287.089421296296</v>
      </c>
      <c r="B618" s="4">
        <v>44287.09101851852</v>
      </c>
      <c r="C618" t="s">
        <v>39</v>
      </c>
      <c r="D618" t="s">
        <v>2518</v>
      </c>
      <c r="E618">
        <v>100</v>
      </c>
      <c r="F618">
        <v>138</v>
      </c>
      <c r="G618" t="b">
        <v>1</v>
      </c>
      <c r="H618" s="4">
        <v>44287.09101851852</v>
      </c>
      <c r="I618" t="s">
        <v>2563</v>
      </c>
      <c r="N618">
        <v>40.113601684570298</v>
      </c>
      <c r="O618">
        <v>-74.939598083495994</v>
      </c>
      <c r="P618" t="s">
        <v>153</v>
      </c>
      <c r="Q618" t="s">
        <v>154</v>
      </c>
      <c r="R618" t="s">
        <v>174</v>
      </c>
      <c r="S618" t="s">
        <v>226</v>
      </c>
      <c r="T618" t="s">
        <v>176</v>
      </c>
      <c r="U618" t="s">
        <v>275</v>
      </c>
      <c r="V618" t="s">
        <v>160</v>
      </c>
      <c r="Y618" t="s">
        <v>159</v>
      </c>
      <c r="Z618" t="s">
        <v>159</v>
      </c>
      <c r="AA618" t="s">
        <v>159</v>
      </c>
      <c r="AB618" t="s">
        <v>159</v>
      </c>
      <c r="AC618" t="s">
        <v>159</v>
      </c>
      <c r="AD618" t="s">
        <v>159</v>
      </c>
      <c r="AE618" t="s">
        <v>159</v>
      </c>
      <c r="AF618" t="s">
        <v>159</v>
      </c>
      <c r="AG618" t="s">
        <v>159</v>
      </c>
      <c r="AI618" t="s">
        <v>159</v>
      </c>
      <c r="AJ618" t="s">
        <v>163</v>
      </c>
      <c r="AK618" t="s">
        <v>163</v>
      </c>
      <c r="AL618" t="s">
        <v>162</v>
      </c>
      <c r="AM618" t="s">
        <v>192</v>
      </c>
      <c r="AN618" t="s">
        <v>163</v>
      </c>
      <c r="AO618" t="s">
        <v>179</v>
      </c>
      <c r="AP618" t="s">
        <v>179</v>
      </c>
      <c r="AQ618">
        <v>1999</v>
      </c>
      <c r="AR618" t="s">
        <v>160</v>
      </c>
      <c r="AS618" t="s">
        <v>160</v>
      </c>
      <c r="AT618" t="s">
        <v>180</v>
      </c>
      <c r="AU618" t="s">
        <v>159</v>
      </c>
      <c r="AV618" t="s">
        <v>159</v>
      </c>
      <c r="AW618" t="s">
        <v>159</v>
      </c>
      <c r="AX618" t="s">
        <v>159</v>
      </c>
      <c r="AY618" t="s">
        <v>159</v>
      </c>
      <c r="AZ618" t="s">
        <v>159</v>
      </c>
      <c r="BA618" t="s">
        <v>159</v>
      </c>
      <c r="BB618" t="s">
        <v>181</v>
      </c>
      <c r="BC618" t="s">
        <v>159</v>
      </c>
      <c r="BE618" t="s">
        <v>2564</v>
      </c>
      <c r="BF618" t="s">
        <v>159</v>
      </c>
    </row>
    <row r="619" spans="1:59" ht="13" x14ac:dyDescent="0.15">
      <c r="A619" s="4">
        <v>44287.091377314813</v>
      </c>
      <c r="B619" s="4">
        <v>44287.092893518522</v>
      </c>
      <c r="C619" t="s">
        <v>39</v>
      </c>
      <c r="D619" t="s">
        <v>2518</v>
      </c>
      <c r="E619">
        <v>100</v>
      </c>
      <c r="F619">
        <v>131</v>
      </c>
      <c r="G619" t="b">
        <v>1</v>
      </c>
      <c r="H619" s="4">
        <v>44287.092893518522</v>
      </c>
      <c r="I619" t="s">
        <v>2565</v>
      </c>
      <c r="N619">
        <v>40.113601684570298</v>
      </c>
      <c r="O619">
        <v>-74.939598083495994</v>
      </c>
      <c r="P619" t="s">
        <v>153</v>
      </c>
      <c r="Q619" t="s">
        <v>154</v>
      </c>
      <c r="R619" t="s">
        <v>174</v>
      </c>
      <c r="S619" t="s">
        <v>274</v>
      </c>
      <c r="T619" t="s">
        <v>157</v>
      </c>
      <c r="U619" t="s">
        <v>721</v>
      </c>
      <c r="V619" t="s">
        <v>159</v>
      </c>
      <c r="W619" t="s">
        <v>159</v>
      </c>
      <c r="X619" t="s">
        <v>159</v>
      </c>
      <c r="Y619" t="s">
        <v>159</v>
      </c>
      <c r="Z619" t="s">
        <v>159</v>
      </c>
      <c r="AA619" t="s">
        <v>159</v>
      </c>
      <c r="AB619" t="s">
        <v>159</v>
      </c>
      <c r="AC619" t="s">
        <v>159</v>
      </c>
      <c r="AD619" t="s">
        <v>159</v>
      </c>
      <c r="AE619" t="s">
        <v>159</v>
      </c>
      <c r="AF619" t="s">
        <v>159</v>
      </c>
      <c r="AG619" t="s">
        <v>159</v>
      </c>
      <c r="AI619" t="s">
        <v>159</v>
      </c>
      <c r="AJ619" t="s">
        <v>163</v>
      </c>
      <c r="AK619" t="s">
        <v>163</v>
      </c>
      <c r="AL619" t="s">
        <v>162</v>
      </c>
      <c r="AM619" t="s">
        <v>162</v>
      </c>
      <c r="AN619" t="s">
        <v>162</v>
      </c>
      <c r="AO619" t="s">
        <v>165</v>
      </c>
      <c r="AP619" t="s">
        <v>165</v>
      </c>
      <c r="AQ619">
        <v>1998</v>
      </c>
      <c r="AR619" t="s">
        <v>160</v>
      </c>
      <c r="AS619" t="s">
        <v>159</v>
      </c>
      <c r="AT619" t="s">
        <v>180</v>
      </c>
      <c r="AU619" t="s">
        <v>159</v>
      </c>
      <c r="AV619" t="s">
        <v>159</v>
      </c>
      <c r="AW619" t="s">
        <v>159</v>
      </c>
      <c r="AX619" t="s">
        <v>159</v>
      </c>
      <c r="AY619" t="s">
        <v>159</v>
      </c>
      <c r="AZ619" t="s">
        <v>159</v>
      </c>
      <c r="BA619" t="s">
        <v>159</v>
      </c>
      <c r="BB619" t="s">
        <v>181</v>
      </c>
      <c r="BC619" t="s">
        <v>159</v>
      </c>
      <c r="BE619" t="s">
        <v>2566</v>
      </c>
      <c r="BF619" t="s">
        <v>159</v>
      </c>
    </row>
    <row r="620" spans="1:59" ht="13" x14ac:dyDescent="0.15">
      <c r="A620" s="4">
        <v>44287.093148148146</v>
      </c>
      <c r="B620" s="4">
        <v>44287.094490740739</v>
      </c>
      <c r="C620" t="s">
        <v>39</v>
      </c>
      <c r="D620" t="s">
        <v>2518</v>
      </c>
      <c r="E620">
        <v>100</v>
      </c>
      <c r="F620">
        <v>115</v>
      </c>
      <c r="G620" t="b">
        <v>1</v>
      </c>
      <c r="H620" s="4">
        <v>44287.094502314816</v>
      </c>
      <c r="I620" t="s">
        <v>2567</v>
      </c>
      <c r="N620">
        <v>40.113601684570298</v>
      </c>
      <c r="O620">
        <v>-74.939598083495994</v>
      </c>
      <c r="P620" t="s">
        <v>153</v>
      </c>
      <c r="Q620" t="s">
        <v>154</v>
      </c>
      <c r="R620" t="s">
        <v>174</v>
      </c>
      <c r="S620" t="s">
        <v>226</v>
      </c>
      <c r="T620" t="s">
        <v>176</v>
      </c>
      <c r="U620" t="s">
        <v>674</v>
      </c>
      <c r="V620" t="s">
        <v>160</v>
      </c>
      <c r="W620" t="s">
        <v>159</v>
      </c>
      <c r="X620" t="s">
        <v>159</v>
      </c>
      <c r="Y620" t="s">
        <v>159</v>
      </c>
      <c r="Z620" t="s">
        <v>159</v>
      </c>
      <c r="AA620" t="s">
        <v>159</v>
      </c>
      <c r="AB620" t="s">
        <v>159</v>
      </c>
      <c r="AC620" t="s">
        <v>159</v>
      </c>
      <c r="AD620" t="s">
        <v>159</v>
      </c>
      <c r="AE620" t="s">
        <v>159</v>
      </c>
      <c r="AF620" t="s">
        <v>159</v>
      </c>
      <c r="AG620" t="s">
        <v>159</v>
      </c>
      <c r="AI620" t="s">
        <v>159</v>
      </c>
      <c r="AJ620" t="s">
        <v>163</v>
      </c>
      <c r="AK620" t="s">
        <v>192</v>
      </c>
      <c r="AL620" t="s">
        <v>163</v>
      </c>
      <c r="AM620" t="s">
        <v>162</v>
      </c>
      <c r="AN620" t="s">
        <v>163</v>
      </c>
      <c r="AO620" t="s">
        <v>165</v>
      </c>
      <c r="AP620" t="s">
        <v>165</v>
      </c>
      <c r="AQ620">
        <v>2000</v>
      </c>
      <c r="AR620" t="s">
        <v>160</v>
      </c>
      <c r="AS620" t="s">
        <v>159</v>
      </c>
      <c r="AT620" t="s">
        <v>180</v>
      </c>
      <c r="AU620" t="s">
        <v>159</v>
      </c>
      <c r="AV620" t="s">
        <v>159</v>
      </c>
      <c r="AW620" t="s">
        <v>159</v>
      </c>
      <c r="AX620" t="s">
        <v>159</v>
      </c>
      <c r="AY620" t="s">
        <v>159</v>
      </c>
      <c r="AZ620" t="s">
        <v>159</v>
      </c>
      <c r="BA620" t="s">
        <v>159</v>
      </c>
      <c r="BB620" t="s">
        <v>181</v>
      </c>
      <c r="BC620" t="s">
        <v>159</v>
      </c>
      <c r="BE620" t="s">
        <v>2568</v>
      </c>
      <c r="BF620" t="s">
        <v>159</v>
      </c>
    </row>
    <row r="621" spans="1:59" ht="13" x14ac:dyDescent="0.15">
      <c r="A621" s="4">
        <v>44287.094780092593</v>
      </c>
      <c r="B621" s="4">
        <v>44287.096006944441</v>
      </c>
      <c r="C621" t="s">
        <v>39</v>
      </c>
      <c r="D621" t="s">
        <v>2518</v>
      </c>
      <c r="E621">
        <v>100</v>
      </c>
      <c r="F621">
        <v>106</v>
      </c>
      <c r="G621" t="b">
        <v>1</v>
      </c>
      <c r="H621" s="4">
        <v>44287.096018518518</v>
      </c>
      <c r="I621" t="s">
        <v>2569</v>
      </c>
      <c r="N621">
        <v>40.113601684570298</v>
      </c>
      <c r="O621">
        <v>-74.939598083495994</v>
      </c>
      <c r="P621" t="s">
        <v>153</v>
      </c>
      <c r="Q621" t="s">
        <v>154</v>
      </c>
      <c r="R621" t="s">
        <v>174</v>
      </c>
      <c r="S621" t="s">
        <v>274</v>
      </c>
      <c r="T621" t="s">
        <v>176</v>
      </c>
      <c r="U621" t="s">
        <v>1934</v>
      </c>
      <c r="V621" t="s">
        <v>160</v>
      </c>
      <c r="W621" t="s">
        <v>159</v>
      </c>
      <c r="X621" t="s">
        <v>159</v>
      </c>
      <c r="Y621" t="s">
        <v>159</v>
      </c>
      <c r="Z621" t="s">
        <v>159</v>
      </c>
      <c r="AA621" t="s">
        <v>159</v>
      </c>
      <c r="AB621" t="s">
        <v>159</v>
      </c>
      <c r="AC621" t="s">
        <v>159</v>
      </c>
      <c r="AD621" t="s">
        <v>159</v>
      </c>
      <c r="AE621" t="s">
        <v>159</v>
      </c>
      <c r="AF621" t="s">
        <v>159</v>
      </c>
      <c r="AG621" t="s">
        <v>159</v>
      </c>
      <c r="AI621" t="s">
        <v>159</v>
      </c>
      <c r="AJ621" t="s">
        <v>192</v>
      </c>
      <c r="AK621" t="s">
        <v>192</v>
      </c>
      <c r="AL621" t="s">
        <v>192</v>
      </c>
      <c r="AM621" t="s">
        <v>163</v>
      </c>
      <c r="AN621" t="s">
        <v>163</v>
      </c>
      <c r="AO621" t="s">
        <v>179</v>
      </c>
      <c r="AP621" t="s">
        <v>179</v>
      </c>
      <c r="AQ621">
        <v>1999</v>
      </c>
      <c r="AR621" t="s">
        <v>160</v>
      </c>
      <c r="AS621" t="s">
        <v>160</v>
      </c>
      <c r="AT621" t="s">
        <v>180</v>
      </c>
      <c r="AU621" t="s">
        <v>159</v>
      </c>
      <c r="AV621" t="s">
        <v>159</v>
      </c>
      <c r="AW621" t="s">
        <v>159</v>
      </c>
      <c r="AX621" t="s">
        <v>159</v>
      </c>
      <c r="AY621" t="s">
        <v>159</v>
      </c>
      <c r="AZ621" t="s">
        <v>159</v>
      </c>
      <c r="BA621" t="s">
        <v>159</v>
      </c>
      <c r="BB621" t="s">
        <v>181</v>
      </c>
      <c r="BC621" t="s">
        <v>160</v>
      </c>
      <c r="BE621" t="s">
        <v>2570</v>
      </c>
      <c r="BF621" t="s">
        <v>159</v>
      </c>
    </row>
    <row r="622" spans="1:59" ht="13" x14ac:dyDescent="0.15">
      <c r="A622" s="4">
        <v>44287.093877314815</v>
      </c>
      <c r="B622" s="4">
        <v>44287.096145833333</v>
      </c>
      <c r="C622" t="s">
        <v>39</v>
      </c>
      <c r="D622" t="s">
        <v>2571</v>
      </c>
      <c r="E622">
        <v>100</v>
      </c>
      <c r="F622">
        <v>196</v>
      </c>
      <c r="G622" t="b">
        <v>1</v>
      </c>
      <c r="H622" s="4">
        <v>44287.09615740741</v>
      </c>
      <c r="I622" t="s">
        <v>2572</v>
      </c>
      <c r="N622">
        <v>30.339004516601499</v>
      </c>
      <c r="O622">
        <v>-97.523399353027301</v>
      </c>
      <c r="P622" t="s">
        <v>153</v>
      </c>
      <c r="Q622" t="s">
        <v>154</v>
      </c>
      <c r="R622" t="s">
        <v>174</v>
      </c>
      <c r="S622" t="s">
        <v>226</v>
      </c>
      <c r="T622" t="s">
        <v>176</v>
      </c>
      <c r="U622" t="s">
        <v>2573</v>
      </c>
      <c r="V622" t="s">
        <v>159</v>
      </c>
      <c r="W622" t="s">
        <v>159</v>
      </c>
      <c r="X622" t="s">
        <v>159</v>
      </c>
      <c r="Y622" t="s">
        <v>159</v>
      </c>
      <c r="Z622" t="s">
        <v>159</v>
      </c>
      <c r="AA622" t="s">
        <v>159</v>
      </c>
      <c r="AB622" t="s">
        <v>159</v>
      </c>
      <c r="AC622" t="s">
        <v>159</v>
      </c>
      <c r="AD622" t="s">
        <v>159</v>
      </c>
      <c r="AE622" t="s">
        <v>159</v>
      </c>
      <c r="AF622" t="s">
        <v>159</v>
      </c>
      <c r="AG622" t="s">
        <v>159</v>
      </c>
      <c r="AH622">
        <v>0</v>
      </c>
      <c r="AI622" t="s">
        <v>159</v>
      </c>
      <c r="AJ622" t="s">
        <v>162</v>
      </c>
      <c r="AK622" t="s">
        <v>163</v>
      </c>
      <c r="AL622" t="s">
        <v>162</v>
      </c>
      <c r="AM622" t="s">
        <v>162</v>
      </c>
      <c r="AN622" t="s">
        <v>162</v>
      </c>
      <c r="AO622" t="s">
        <v>165</v>
      </c>
      <c r="AP622" t="s">
        <v>165</v>
      </c>
      <c r="AQ622">
        <v>2000</v>
      </c>
      <c r="AR622" t="s">
        <v>160</v>
      </c>
      <c r="AS622" t="s">
        <v>159</v>
      </c>
      <c r="AT622" t="s">
        <v>180</v>
      </c>
      <c r="AU622" t="s">
        <v>160</v>
      </c>
      <c r="AV622" t="s">
        <v>159</v>
      </c>
      <c r="AW622" t="s">
        <v>159</v>
      </c>
      <c r="AX622" t="s">
        <v>159</v>
      </c>
      <c r="AY622" t="s">
        <v>159</v>
      </c>
      <c r="AZ622" t="s">
        <v>160</v>
      </c>
      <c r="BA622" t="s">
        <v>159</v>
      </c>
      <c r="BB622" t="s">
        <v>181</v>
      </c>
      <c r="BC622" t="s">
        <v>160</v>
      </c>
      <c r="BD622" t="s">
        <v>2574</v>
      </c>
      <c r="BE622" t="s">
        <v>2575</v>
      </c>
      <c r="BF622" t="s">
        <v>159</v>
      </c>
    </row>
    <row r="623" spans="1:59" ht="13" x14ac:dyDescent="0.15">
      <c r="A623" s="4">
        <v>44287.096261574072</v>
      </c>
      <c r="B623" s="4">
        <v>44287.097673611112</v>
      </c>
      <c r="C623" t="s">
        <v>39</v>
      </c>
      <c r="D623" t="s">
        <v>2518</v>
      </c>
      <c r="E623">
        <v>100</v>
      </c>
      <c r="F623">
        <v>121</v>
      </c>
      <c r="G623" t="b">
        <v>1</v>
      </c>
      <c r="H623" s="4">
        <v>44287.097673611112</v>
      </c>
      <c r="I623" t="s">
        <v>2576</v>
      </c>
      <c r="N623">
        <v>40.113601684570298</v>
      </c>
      <c r="O623">
        <v>-74.939598083495994</v>
      </c>
      <c r="P623" t="s">
        <v>153</v>
      </c>
      <c r="Q623" t="s">
        <v>154</v>
      </c>
      <c r="R623" t="s">
        <v>174</v>
      </c>
      <c r="S623" t="s">
        <v>226</v>
      </c>
      <c r="T623" t="s">
        <v>157</v>
      </c>
      <c r="U623" t="s">
        <v>967</v>
      </c>
      <c r="V623" t="s">
        <v>159</v>
      </c>
      <c r="W623" t="s">
        <v>159</v>
      </c>
      <c r="X623" t="s">
        <v>159</v>
      </c>
      <c r="Y623" t="s">
        <v>159</v>
      </c>
      <c r="AA623" t="s">
        <v>159</v>
      </c>
      <c r="AB623" t="s">
        <v>159</v>
      </c>
      <c r="AC623" t="s">
        <v>159</v>
      </c>
      <c r="AD623" t="s">
        <v>159</v>
      </c>
      <c r="AE623" t="s">
        <v>159</v>
      </c>
      <c r="AF623" t="s">
        <v>159</v>
      </c>
      <c r="AG623" t="s">
        <v>159</v>
      </c>
      <c r="AI623" t="s">
        <v>159</v>
      </c>
      <c r="AJ623" t="s">
        <v>163</v>
      </c>
      <c r="AK623" t="s">
        <v>163</v>
      </c>
      <c r="AL623" t="s">
        <v>192</v>
      </c>
      <c r="AM623" t="s">
        <v>162</v>
      </c>
      <c r="AN623" t="s">
        <v>163</v>
      </c>
      <c r="AO623" t="s">
        <v>165</v>
      </c>
      <c r="AP623" t="s">
        <v>165</v>
      </c>
      <c r="AQ623">
        <v>2000</v>
      </c>
      <c r="AR623" t="s">
        <v>159</v>
      </c>
      <c r="AS623" t="s">
        <v>159</v>
      </c>
      <c r="AT623" t="s">
        <v>180</v>
      </c>
      <c r="AU623" t="s">
        <v>159</v>
      </c>
      <c r="AV623" t="s">
        <v>159</v>
      </c>
      <c r="AW623" t="s">
        <v>159</v>
      </c>
      <c r="AX623" t="s">
        <v>159</v>
      </c>
      <c r="AY623" t="s">
        <v>159</v>
      </c>
      <c r="AZ623" t="s">
        <v>159</v>
      </c>
      <c r="BA623" t="s">
        <v>159</v>
      </c>
      <c r="BB623" t="s">
        <v>181</v>
      </c>
      <c r="BC623" t="s">
        <v>159</v>
      </c>
      <c r="BE623" t="s">
        <v>2577</v>
      </c>
      <c r="BF623" t="s">
        <v>159</v>
      </c>
    </row>
    <row r="624" spans="1:59" ht="13" x14ac:dyDescent="0.15">
      <c r="A624" s="4">
        <v>44287.097268518519</v>
      </c>
      <c r="B624" s="4">
        <v>44287.100995370369</v>
      </c>
      <c r="C624" t="s">
        <v>39</v>
      </c>
      <c r="D624" t="s">
        <v>2578</v>
      </c>
      <c r="E624">
        <v>100</v>
      </c>
      <c r="F624">
        <v>322</v>
      </c>
      <c r="G624" t="b">
        <v>1</v>
      </c>
      <c r="H624" s="4">
        <v>44287.101006944446</v>
      </c>
      <c r="I624" t="s">
        <v>2579</v>
      </c>
      <c r="N624">
        <v>29.5422058105468</v>
      </c>
      <c r="O624">
        <v>-95.321197509765597</v>
      </c>
      <c r="P624" t="s">
        <v>153</v>
      </c>
      <c r="Q624" t="s">
        <v>154</v>
      </c>
      <c r="R624" t="s">
        <v>155</v>
      </c>
      <c r="S624" t="s">
        <v>226</v>
      </c>
      <c r="T624" t="s">
        <v>176</v>
      </c>
      <c r="U624" t="s">
        <v>2580</v>
      </c>
      <c r="V624" t="s">
        <v>159</v>
      </c>
      <c r="W624" t="s">
        <v>160</v>
      </c>
      <c r="X624" t="s">
        <v>159</v>
      </c>
      <c r="Y624" t="s">
        <v>159</v>
      </c>
      <c r="Z624" t="s">
        <v>160</v>
      </c>
      <c r="AA624" t="s">
        <v>159</v>
      </c>
      <c r="AB624" t="s">
        <v>160</v>
      </c>
      <c r="AC624" t="s">
        <v>159</v>
      </c>
      <c r="AD624" t="s">
        <v>159</v>
      </c>
      <c r="AE624" t="s">
        <v>159</v>
      </c>
      <c r="AF624" t="s">
        <v>159</v>
      </c>
      <c r="AG624" t="s">
        <v>159</v>
      </c>
      <c r="AH624">
        <v>3</v>
      </c>
      <c r="AI624" t="s">
        <v>160</v>
      </c>
      <c r="AJ624" t="s">
        <v>192</v>
      </c>
      <c r="AK624" t="s">
        <v>192</v>
      </c>
      <c r="AL624" t="s">
        <v>192</v>
      </c>
      <c r="AM624" t="s">
        <v>192</v>
      </c>
      <c r="AN624" t="s">
        <v>192</v>
      </c>
      <c r="AO624" t="s">
        <v>179</v>
      </c>
      <c r="AP624" t="s">
        <v>179</v>
      </c>
      <c r="AQ624">
        <v>1999</v>
      </c>
      <c r="AR624" t="s">
        <v>160</v>
      </c>
      <c r="AS624" t="s">
        <v>159</v>
      </c>
      <c r="AT624" t="s">
        <v>180</v>
      </c>
      <c r="AU624" t="s">
        <v>159</v>
      </c>
      <c r="AV624" t="s">
        <v>159</v>
      </c>
      <c r="AW624" t="s">
        <v>159</v>
      </c>
      <c r="AX624" t="s">
        <v>159</v>
      </c>
      <c r="AY624" t="s">
        <v>159</v>
      </c>
      <c r="AZ624" t="s">
        <v>159</v>
      </c>
      <c r="BA624" t="s">
        <v>159</v>
      </c>
      <c r="BB624" t="s">
        <v>167</v>
      </c>
      <c r="BC624" t="s">
        <v>160</v>
      </c>
      <c r="BD624" t="s">
        <v>2581</v>
      </c>
      <c r="BE624" t="s">
        <v>2582</v>
      </c>
      <c r="BF624" t="s">
        <v>159</v>
      </c>
    </row>
    <row r="625" spans="1:59" ht="13" x14ac:dyDescent="0.15">
      <c r="A625" s="4">
        <v>44287.10229166667</v>
      </c>
      <c r="B625" s="4">
        <v>44287.104039351849</v>
      </c>
      <c r="C625" t="s">
        <v>39</v>
      </c>
      <c r="D625" t="s">
        <v>2583</v>
      </c>
      <c r="E625">
        <v>100</v>
      </c>
      <c r="F625">
        <v>151</v>
      </c>
      <c r="G625" t="b">
        <v>1</v>
      </c>
      <c r="H625" s="4">
        <v>44287.104050925926</v>
      </c>
      <c r="I625" t="s">
        <v>2584</v>
      </c>
      <c r="N625">
        <v>40.632705688476499</v>
      </c>
      <c r="O625">
        <v>-73.63330078125</v>
      </c>
      <c r="P625" t="s">
        <v>153</v>
      </c>
      <c r="Q625" t="s">
        <v>154</v>
      </c>
      <c r="R625" t="s">
        <v>174</v>
      </c>
      <c r="S625" t="s">
        <v>274</v>
      </c>
      <c r="T625" t="s">
        <v>263</v>
      </c>
      <c r="U625" t="s">
        <v>1823</v>
      </c>
      <c r="V625" t="s">
        <v>159</v>
      </c>
      <c r="W625" t="s">
        <v>159</v>
      </c>
      <c r="X625" t="s">
        <v>159</v>
      </c>
      <c r="Y625" t="s">
        <v>159</v>
      </c>
      <c r="Z625" t="s">
        <v>159</v>
      </c>
      <c r="AA625" t="s">
        <v>159</v>
      </c>
      <c r="AB625" t="s">
        <v>159</v>
      </c>
      <c r="AC625" t="s">
        <v>159</v>
      </c>
      <c r="AD625" t="s">
        <v>159</v>
      </c>
      <c r="AE625" t="s">
        <v>159</v>
      </c>
      <c r="AF625" t="s">
        <v>159</v>
      </c>
      <c r="AG625" t="s">
        <v>159</v>
      </c>
      <c r="AH625">
        <v>0</v>
      </c>
      <c r="AI625" t="s">
        <v>159</v>
      </c>
      <c r="AJ625" t="s">
        <v>192</v>
      </c>
      <c r="AK625" t="s">
        <v>192</v>
      </c>
      <c r="AL625" t="s">
        <v>192</v>
      </c>
      <c r="AM625" t="s">
        <v>163</v>
      </c>
      <c r="AN625" t="s">
        <v>163</v>
      </c>
      <c r="AO625" t="s">
        <v>179</v>
      </c>
      <c r="AP625" t="s">
        <v>179</v>
      </c>
      <c r="AQ625">
        <v>2000</v>
      </c>
      <c r="AR625" t="s">
        <v>160</v>
      </c>
      <c r="AS625" t="s">
        <v>159</v>
      </c>
      <c r="AT625" t="s">
        <v>180</v>
      </c>
      <c r="AU625" t="s">
        <v>159</v>
      </c>
      <c r="AV625" t="s">
        <v>159</v>
      </c>
      <c r="AW625" t="s">
        <v>159</v>
      </c>
      <c r="AX625" t="s">
        <v>159</v>
      </c>
      <c r="AY625" t="s">
        <v>159</v>
      </c>
      <c r="AZ625" t="s">
        <v>159</v>
      </c>
      <c r="BA625" t="s">
        <v>159</v>
      </c>
      <c r="BB625" t="s">
        <v>181</v>
      </c>
      <c r="BC625" t="s">
        <v>160</v>
      </c>
      <c r="BD625" t="s">
        <v>2585</v>
      </c>
      <c r="BE625" t="s">
        <v>2586</v>
      </c>
      <c r="BF625" t="s">
        <v>160</v>
      </c>
      <c r="BG625" t="s">
        <v>2587</v>
      </c>
    </row>
    <row r="626" spans="1:59" ht="13" x14ac:dyDescent="0.15">
      <c r="A626" s="4">
        <v>44287.102685185186</v>
      </c>
      <c r="B626" s="4">
        <v>44287.105486111112</v>
      </c>
      <c r="C626" t="s">
        <v>39</v>
      </c>
      <c r="D626" t="s">
        <v>2588</v>
      </c>
      <c r="E626">
        <v>100</v>
      </c>
      <c r="F626">
        <v>241</v>
      </c>
      <c r="G626" t="b">
        <v>1</v>
      </c>
      <c r="H626" s="4">
        <v>44287.105486111112</v>
      </c>
      <c r="I626" t="s">
        <v>2589</v>
      </c>
      <c r="N626">
        <v>46.325698852538999</v>
      </c>
      <c r="O626">
        <v>-119.30670166015599</v>
      </c>
      <c r="P626" t="s">
        <v>153</v>
      </c>
      <c r="Q626" t="s">
        <v>154</v>
      </c>
      <c r="R626" t="s">
        <v>174</v>
      </c>
      <c r="S626" t="s">
        <v>274</v>
      </c>
      <c r="T626" t="s">
        <v>157</v>
      </c>
      <c r="U626" t="s">
        <v>2590</v>
      </c>
      <c r="V626" t="s">
        <v>160</v>
      </c>
      <c r="W626" t="s">
        <v>160</v>
      </c>
      <c r="X626" t="s">
        <v>159</v>
      </c>
      <c r="Y626" t="s">
        <v>159</v>
      </c>
      <c r="Z626" t="s">
        <v>159</v>
      </c>
      <c r="AA626" t="s">
        <v>159</v>
      </c>
      <c r="AB626" t="s">
        <v>159</v>
      </c>
      <c r="AC626" t="s">
        <v>160</v>
      </c>
      <c r="AD626" t="s">
        <v>159</v>
      </c>
      <c r="AE626" t="s">
        <v>160</v>
      </c>
      <c r="AF626" t="s">
        <v>159</v>
      </c>
      <c r="AG626" t="s">
        <v>159</v>
      </c>
      <c r="AH626">
        <v>2</v>
      </c>
      <c r="AI626" t="s">
        <v>160</v>
      </c>
      <c r="AJ626" t="s">
        <v>192</v>
      </c>
      <c r="AK626" t="s">
        <v>162</v>
      </c>
      <c r="AL626" t="s">
        <v>164</v>
      </c>
      <c r="AM626" t="s">
        <v>163</v>
      </c>
      <c r="AN626" t="s">
        <v>192</v>
      </c>
      <c r="AO626" t="s">
        <v>179</v>
      </c>
      <c r="AP626" t="s">
        <v>179</v>
      </c>
      <c r="AQ626">
        <v>2002</v>
      </c>
      <c r="AR626" t="s">
        <v>160</v>
      </c>
      <c r="AS626" t="s">
        <v>159</v>
      </c>
      <c r="AT626" t="s">
        <v>180</v>
      </c>
      <c r="AU626" t="s">
        <v>159</v>
      </c>
      <c r="AV626" t="s">
        <v>159</v>
      </c>
      <c r="AW626" t="s">
        <v>159</v>
      </c>
      <c r="AX626" t="s">
        <v>159</v>
      </c>
      <c r="AY626" t="s">
        <v>159</v>
      </c>
      <c r="AZ626" t="s">
        <v>159</v>
      </c>
      <c r="BA626" t="s">
        <v>159</v>
      </c>
      <c r="BB626" t="s">
        <v>167</v>
      </c>
      <c r="BC626" t="s">
        <v>159</v>
      </c>
      <c r="BD626" t="s">
        <v>2591</v>
      </c>
      <c r="BE626" t="s">
        <v>2592</v>
      </c>
      <c r="BF626" t="s">
        <v>159</v>
      </c>
    </row>
    <row r="627" spans="1:59" ht="13" x14ac:dyDescent="0.15">
      <c r="A627" s="4">
        <v>44287.102662037039</v>
      </c>
      <c r="B627" s="4">
        <v>44287.105787037035</v>
      </c>
      <c r="C627" t="s">
        <v>39</v>
      </c>
      <c r="D627" t="s">
        <v>2593</v>
      </c>
      <c r="E627">
        <v>100</v>
      </c>
      <c r="F627">
        <v>270</v>
      </c>
      <c r="G627" t="b">
        <v>1</v>
      </c>
      <c r="H627" s="4">
        <v>44287.105787037035</v>
      </c>
      <c r="I627" t="s">
        <v>2594</v>
      </c>
      <c r="N627">
        <v>44.865798950195298</v>
      </c>
      <c r="O627">
        <v>-123.04679870605401</v>
      </c>
      <c r="P627" t="s">
        <v>153</v>
      </c>
      <c r="Q627" t="s">
        <v>154</v>
      </c>
      <c r="R627" t="s">
        <v>174</v>
      </c>
      <c r="S627" t="s">
        <v>274</v>
      </c>
      <c r="T627" t="s">
        <v>263</v>
      </c>
      <c r="U627" t="s">
        <v>2595</v>
      </c>
      <c r="V627" t="s">
        <v>160</v>
      </c>
      <c r="W627" t="s">
        <v>159</v>
      </c>
      <c r="X627" t="s">
        <v>160</v>
      </c>
      <c r="Y627" t="s">
        <v>159</v>
      </c>
      <c r="Z627" t="s">
        <v>159</v>
      </c>
      <c r="AA627" t="s">
        <v>160</v>
      </c>
      <c r="AB627" t="s">
        <v>159</v>
      </c>
      <c r="AC627" t="s">
        <v>160</v>
      </c>
      <c r="AD627" t="s">
        <v>159</v>
      </c>
      <c r="AE627" t="s">
        <v>159</v>
      </c>
      <c r="AF627" t="s">
        <v>159</v>
      </c>
      <c r="AG627" t="s">
        <v>160</v>
      </c>
      <c r="AH627">
        <v>1</v>
      </c>
      <c r="AI627" t="s">
        <v>160</v>
      </c>
      <c r="AJ627" t="s">
        <v>192</v>
      </c>
      <c r="AK627" t="s">
        <v>162</v>
      </c>
      <c r="AL627" t="s">
        <v>164</v>
      </c>
      <c r="AM627" t="s">
        <v>164</v>
      </c>
      <c r="AN627" t="s">
        <v>192</v>
      </c>
      <c r="AO627" t="s">
        <v>179</v>
      </c>
      <c r="AP627" t="s">
        <v>179</v>
      </c>
      <c r="AQ627">
        <v>2002</v>
      </c>
      <c r="AR627" t="s">
        <v>160</v>
      </c>
      <c r="AS627" t="s">
        <v>159</v>
      </c>
      <c r="AT627" t="s">
        <v>180</v>
      </c>
      <c r="AU627" t="s">
        <v>159</v>
      </c>
      <c r="AV627" t="s">
        <v>159</v>
      </c>
      <c r="AW627" t="s">
        <v>159</v>
      </c>
      <c r="AX627" t="s">
        <v>159</v>
      </c>
      <c r="AY627" t="s">
        <v>159</v>
      </c>
      <c r="AZ627" t="s">
        <v>159</v>
      </c>
      <c r="BA627" t="s">
        <v>159</v>
      </c>
      <c r="BB627" t="s">
        <v>167</v>
      </c>
      <c r="BC627" t="s">
        <v>160</v>
      </c>
      <c r="BD627" t="s">
        <v>182</v>
      </c>
      <c r="BE627" t="s">
        <v>2596</v>
      </c>
      <c r="BF627" t="s">
        <v>159</v>
      </c>
    </row>
    <row r="628" spans="1:59" ht="13" x14ac:dyDescent="0.15">
      <c r="A628" s="4">
        <v>44287.104687500003</v>
      </c>
      <c r="B628" s="4">
        <v>44287.105810185189</v>
      </c>
      <c r="C628" t="s">
        <v>39</v>
      </c>
      <c r="D628" t="s">
        <v>2597</v>
      </c>
      <c r="E628">
        <v>100</v>
      </c>
      <c r="F628">
        <v>96</v>
      </c>
      <c r="G628" t="b">
        <v>1</v>
      </c>
      <c r="H628" s="4">
        <v>44287.105810185189</v>
      </c>
      <c r="I628" t="s">
        <v>2598</v>
      </c>
      <c r="N628">
        <v>32.250595092773402</v>
      </c>
      <c r="O628">
        <v>-110.88400268554599</v>
      </c>
      <c r="P628" t="s">
        <v>153</v>
      </c>
      <c r="Q628" t="s">
        <v>154</v>
      </c>
      <c r="R628" t="s">
        <v>174</v>
      </c>
      <c r="S628" t="s">
        <v>274</v>
      </c>
      <c r="T628" t="s">
        <v>176</v>
      </c>
      <c r="U628" t="s">
        <v>2077</v>
      </c>
      <c r="V628" t="s">
        <v>159</v>
      </c>
      <c r="W628" t="s">
        <v>160</v>
      </c>
      <c r="X628" t="s">
        <v>159</v>
      </c>
      <c r="Y628" t="s">
        <v>159</v>
      </c>
      <c r="Z628" t="s">
        <v>159</v>
      </c>
      <c r="AA628" t="s">
        <v>159</v>
      </c>
      <c r="AB628" t="s">
        <v>159</v>
      </c>
      <c r="AC628" t="s">
        <v>159</v>
      </c>
      <c r="AD628" t="s">
        <v>159</v>
      </c>
      <c r="AE628" t="s">
        <v>159</v>
      </c>
      <c r="AF628" t="s">
        <v>159</v>
      </c>
      <c r="AG628" t="s">
        <v>159</v>
      </c>
      <c r="AH628">
        <v>1</v>
      </c>
      <c r="AI628" t="s">
        <v>160</v>
      </c>
      <c r="AJ628" t="s">
        <v>192</v>
      </c>
      <c r="AK628" t="s">
        <v>164</v>
      </c>
      <c r="AL628" t="s">
        <v>163</v>
      </c>
      <c r="AM628" t="s">
        <v>163</v>
      </c>
      <c r="AN628" t="s">
        <v>163</v>
      </c>
      <c r="AO628" t="s">
        <v>165</v>
      </c>
      <c r="AP628" t="s">
        <v>165</v>
      </c>
      <c r="AQ628">
        <v>1999</v>
      </c>
      <c r="AR628" t="s">
        <v>160</v>
      </c>
      <c r="AS628" t="s">
        <v>159</v>
      </c>
      <c r="AT628" t="s">
        <v>180</v>
      </c>
      <c r="AU628" t="s">
        <v>159</v>
      </c>
      <c r="AV628" t="s">
        <v>159</v>
      </c>
      <c r="AW628" t="s">
        <v>159</v>
      </c>
      <c r="AX628" t="s">
        <v>159</v>
      </c>
      <c r="AY628" t="s">
        <v>159</v>
      </c>
      <c r="AZ628" t="s">
        <v>159</v>
      </c>
      <c r="BA628" t="s">
        <v>159</v>
      </c>
      <c r="BB628" t="s">
        <v>167</v>
      </c>
      <c r="BC628" t="s">
        <v>160</v>
      </c>
      <c r="BD628" t="s">
        <v>2599</v>
      </c>
      <c r="BE628" t="s">
        <v>2600</v>
      </c>
      <c r="BF628" t="s">
        <v>159</v>
      </c>
    </row>
    <row r="629" spans="1:59" ht="13" x14ac:dyDescent="0.15">
      <c r="A629" s="4">
        <v>44287.102719907409</v>
      </c>
      <c r="B629" s="4">
        <v>44287.106145833335</v>
      </c>
      <c r="C629" t="s">
        <v>39</v>
      </c>
      <c r="D629" t="s">
        <v>2601</v>
      </c>
      <c r="E629">
        <v>100</v>
      </c>
      <c r="F629">
        <v>295</v>
      </c>
      <c r="G629" t="b">
        <v>1</v>
      </c>
      <c r="H629" s="4">
        <v>44287.106145833335</v>
      </c>
      <c r="I629" t="s">
        <v>2602</v>
      </c>
      <c r="N629">
        <v>29.9761962890625</v>
      </c>
      <c r="O629">
        <v>-95.640098571777301</v>
      </c>
      <c r="P629" t="s">
        <v>153</v>
      </c>
      <c r="Q629" t="s">
        <v>154</v>
      </c>
      <c r="R629" t="s">
        <v>174</v>
      </c>
      <c r="S629" t="s">
        <v>274</v>
      </c>
      <c r="T629" t="s">
        <v>237</v>
      </c>
      <c r="U629" t="s">
        <v>2603</v>
      </c>
      <c r="V629" t="s">
        <v>160</v>
      </c>
      <c r="W629" t="s">
        <v>160</v>
      </c>
      <c r="X629" t="s">
        <v>159</v>
      </c>
      <c r="Y629" t="s">
        <v>159</v>
      </c>
      <c r="Z629" t="s">
        <v>159</v>
      </c>
      <c r="AA629" t="s">
        <v>159</v>
      </c>
      <c r="AB629" t="s">
        <v>159</v>
      </c>
      <c r="AC629" t="s">
        <v>160</v>
      </c>
      <c r="AD629" t="s">
        <v>160</v>
      </c>
      <c r="AE629" t="s">
        <v>159</v>
      </c>
      <c r="AF629" t="s">
        <v>160</v>
      </c>
      <c r="AG629" t="s">
        <v>160</v>
      </c>
      <c r="AH629">
        <v>2</v>
      </c>
      <c r="AI629" t="s">
        <v>160</v>
      </c>
      <c r="AJ629" t="s">
        <v>164</v>
      </c>
      <c r="AK629" t="s">
        <v>192</v>
      </c>
      <c r="AL629" t="s">
        <v>198</v>
      </c>
      <c r="AM629" t="s">
        <v>164</v>
      </c>
      <c r="AN629" t="s">
        <v>163</v>
      </c>
      <c r="AO629" t="s">
        <v>179</v>
      </c>
      <c r="AP629" t="s">
        <v>179</v>
      </c>
      <c r="AQ629">
        <v>2002</v>
      </c>
      <c r="AR629" t="s">
        <v>160</v>
      </c>
      <c r="AS629" t="s">
        <v>159</v>
      </c>
      <c r="AT629" t="s">
        <v>180</v>
      </c>
      <c r="AU629" t="s">
        <v>159</v>
      </c>
      <c r="AV629" t="s">
        <v>159</v>
      </c>
      <c r="AW629" t="s">
        <v>159</v>
      </c>
      <c r="AX629" t="s">
        <v>159</v>
      </c>
      <c r="AY629" t="s">
        <v>159</v>
      </c>
      <c r="AZ629" t="s">
        <v>159</v>
      </c>
      <c r="BA629" t="s">
        <v>159</v>
      </c>
      <c r="BB629" t="s">
        <v>167</v>
      </c>
      <c r="BC629" t="s">
        <v>159</v>
      </c>
      <c r="BD629" t="s">
        <v>2604</v>
      </c>
      <c r="BE629" t="s">
        <v>2605</v>
      </c>
      <c r="BF629" t="s">
        <v>159</v>
      </c>
    </row>
    <row r="630" spans="1:59" ht="13" x14ac:dyDescent="0.15">
      <c r="A630" s="4">
        <v>44287.102743055555</v>
      </c>
      <c r="B630" s="4">
        <v>44287.106608796297</v>
      </c>
      <c r="C630" t="s">
        <v>39</v>
      </c>
      <c r="D630" t="s">
        <v>2606</v>
      </c>
      <c r="E630">
        <v>100</v>
      </c>
      <c r="F630">
        <v>334</v>
      </c>
      <c r="G630" t="b">
        <v>1</v>
      </c>
      <c r="H630" s="4">
        <v>44287.106608796297</v>
      </c>
      <c r="I630" t="s">
        <v>2607</v>
      </c>
      <c r="N630">
        <v>32.861892700195298</v>
      </c>
      <c r="O630">
        <v>-97.342697143554602</v>
      </c>
      <c r="P630" t="s">
        <v>153</v>
      </c>
      <c r="Q630" t="s">
        <v>154</v>
      </c>
      <c r="R630" t="s">
        <v>174</v>
      </c>
      <c r="S630" t="s">
        <v>274</v>
      </c>
      <c r="T630" t="s">
        <v>263</v>
      </c>
      <c r="U630" t="s">
        <v>2495</v>
      </c>
      <c r="V630" t="s">
        <v>160</v>
      </c>
      <c r="W630" t="s">
        <v>159</v>
      </c>
      <c r="X630" t="s">
        <v>160</v>
      </c>
      <c r="Y630" t="s">
        <v>160</v>
      </c>
      <c r="Z630" t="s">
        <v>160</v>
      </c>
      <c r="AA630" t="s">
        <v>160</v>
      </c>
      <c r="AB630" t="s">
        <v>159</v>
      </c>
      <c r="AC630" t="s">
        <v>159</v>
      </c>
      <c r="AD630" t="s">
        <v>159</v>
      </c>
      <c r="AE630" t="s">
        <v>160</v>
      </c>
      <c r="AF630" t="s">
        <v>160</v>
      </c>
      <c r="AG630" t="s">
        <v>160</v>
      </c>
      <c r="AH630">
        <v>1</v>
      </c>
      <c r="AI630" t="s">
        <v>160</v>
      </c>
      <c r="AJ630" t="s">
        <v>192</v>
      </c>
      <c r="AK630" t="s">
        <v>163</v>
      </c>
      <c r="AL630" t="s">
        <v>192</v>
      </c>
      <c r="AM630" t="s">
        <v>192</v>
      </c>
      <c r="AN630" t="s">
        <v>163</v>
      </c>
      <c r="AO630" t="s">
        <v>179</v>
      </c>
      <c r="AP630" t="s">
        <v>179</v>
      </c>
      <c r="AQ630">
        <v>2002</v>
      </c>
      <c r="AR630" t="s">
        <v>160</v>
      </c>
      <c r="AS630" t="s">
        <v>159</v>
      </c>
      <c r="AT630" t="s">
        <v>180</v>
      </c>
      <c r="AU630" t="s">
        <v>159</v>
      </c>
      <c r="AV630" t="s">
        <v>159</v>
      </c>
      <c r="AW630" t="s">
        <v>159</v>
      </c>
      <c r="AX630" t="s">
        <v>159</v>
      </c>
      <c r="AY630" t="s">
        <v>159</v>
      </c>
      <c r="AZ630" t="s">
        <v>159</v>
      </c>
      <c r="BA630" t="s">
        <v>159</v>
      </c>
      <c r="BB630" t="s">
        <v>167</v>
      </c>
      <c r="BC630" t="s">
        <v>160</v>
      </c>
      <c r="BD630" t="s">
        <v>2608</v>
      </c>
      <c r="BE630" t="s">
        <v>2609</v>
      </c>
      <c r="BF630" t="s">
        <v>159</v>
      </c>
    </row>
    <row r="631" spans="1:59" ht="13" x14ac:dyDescent="0.15">
      <c r="A631" s="4">
        <v>44287.098009259258</v>
      </c>
      <c r="B631" s="4">
        <v>44287.108958333331</v>
      </c>
      <c r="C631" t="s">
        <v>39</v>
      </c>
      <c r="D631" t="s">
        <v>2518</v>
      </c>
      <c r="E631">
        <v>100</v>
      </c>
      <c r="F631">
        <v>945</v>
      </c>
      <c r="G631" t="b">
        <v>1</v>
      </c>
      <c r="H631" s="4">
        <v>44287.108958333331</v>
      </c>
      <c r="I631" t="s">
        <v>2610</v>
      </c>
      <c r="N631">
        <v>40.113601684570298</v>
      </c>
      <c r="O631">
        <v>-74.939598083495994</v>
      </c>
      <c r="P631" t="s">
        <v>153</v>
      </c>
      <c r="Q631" t="s">
        <v>154</v>
      </c>
      <c r="R631" t="s">
        <v>174</v>
      </c>
      <c r="S631" t="s">
        <v>274</v>
      </c>
      <c r="T631" t="s">
        <v>263</v>
      </c>
      <c r="U631" t="s">
        <v>2611</v>
      </c>
      <c r="V631" t="s">
        <v>159</v>
      </c>
      <c r="W631" t="s">
        <v>159</v>
      </c>
      <c r="X631" t="s">
        <v>159</v>
      </c>
      <c r="Y631" t="s">
        <v>159</v>
      </c>
      <c r="Z631" t="s">
        <v>159</v>
      </c>
      <c r="AA631" t="s">
        <v>159</v>
      </c>
      <c r="AB631" t="s">
        <v>159</v>
      </c>
      <c r="AC631" t="s">
        <v>159</v>
      </c>
      <c r="AD631" t="s">
        <v>159</v>
      </c>
      <c r="AE631" t="s">
        <v>159</v>
      </c>
      <c r="AF631" t="s">
        <v>159</v>
      </c>
      <c r="AG631" t="s">
        <v>159</v>
      </c>
      <c r="AI631" t="s">
        <v>159</v>
      </c>
      <c r="AJ631" t="s">
        <v>163</v>
      </c>
      <c r="AK631" t="s">
        <v>192</v>
      </c>
      <c r="AL631" t="s">
        <v>163</v>
      </c>
      <c r="AM631" t="s">
        <v>163</v>
      </c>
      <c r="AN631" t="s">
        <v>163</v>
      </c>
      <c r="AO631" t="s">
        <v>165</v>
      </c>
      <c r="AP631" t="s">
        <v>165</v>
      </c>
      <c r="AQ631">
        <v>1999</v>
      </c>
      <c r="AR631" t="s">
        <v>160</v>
      </c>
      <c r="AS631" t="s">
        <v>159</v>
      </c>
      <c r="AT631" t="s">
        <v>180</v>
      </c>
      <c r="AU631" t="s">
        <v>159</v>
      </c>
      <c r="AV631" t="s">
        <v>159</v>
      </c>
      <c r="AW631" t="s">
        <v>159</v>
      </c>
      <c r="AX631" t="s">
        <v>159</v>
      </c>
      <c r="AY631" t="s">
        <v>159</v>
      </c>
      <c r="AZ631" t="s">
        <v>159</v>
      </c>
      <c r="BA631" t="s">
        <v>159</v>
      </c>
      <c r="BB631" t="s">
        <v>181</v>
      </c>
      <c r="BC631" t="s">
        <v>159</v>
      </c>
      <c r="BE631" t="s">
        <v>2612</v>
      </c>
      <c r="BF631" t="s">
        <v>159</v>
      </c>
    </row>
    <row r="632" spans="1:59" ht="13" x14ac:dyDescent="0.15">
      <c r="A632" s="4">
        <v>44287.109282407408</v>
      </c>
      <c r="B632" s="4">
        <v>44287.110555555555</v>
      </c>
      <c r="C632" t="s">
        <v>39</v>
      </c>
      <c r="D632" t="s">
        <v>2518</v>
      </c>
      <c r="E632">
        <v>100</v>
      </c>
      <c r="F632">
        <v>109</v>
      </c>
      <c r="G632" t="b">
        <v>1</v>
      </c>
      <c r="H632" s="4">
        <v>44287.110555555555</v>
      </c>
      <c r="I632" t="s">
        <v>2613</v>
      </c>
      <c r="N632">
        <v>40.113601684570298</v>
      </c>
      <c r="O632">
        <v>-74.939598083495994</v>
      </c>
      <c r="P632" t="s">
        <v>153</v>
      </c>
      <c r="Q632" t="s">
        <v>154</v>
      </c>
      <c r="R632" t="s">
        <v>174</v>
      </c>
      <c r="S632" t="s">
        <v>310</v>
      </c>
      <c r="T632" t="s">
        <v>157</v>
      </c>
      <c r="U632" t="s">
        <v>730</v>
      </c>
      <c r="V632" t="s">
        <v>159</v>
      </c>
      <c r="W632" t="s">
        <v>159</v>
      </c>
      <c r="X632" t="s">
        <v>159</v>
      </c>
      <c r="Y632" t="s">
        <v>159</v>
      </c>
      <c r="Z632" t="s">
        <v>159</v>
      </c>
      <c r="AA632" t="s">
        <v>159</v>
      </c>
      <c r="AB632" t="s">
        <v>159</v>
      </c>
      <c r="AC632" t="s">
        <v>159</v>
      </c>
      <c r="AD632" t="s">
        <v>159</v>
      </c>
      <c r="AE632" t="s">
        <v>159</v>
      </c>
      <c r="AF632" t="s">
        <v>159</v>
      </c>
      <c r="AG632" t="s">
        <v>159</v>
      </c>
      <c r="AI632" t="s">
        <v>159</v>
      </c>
      <c r="AJ632" t="s">
        <v>163</v>
      </c>
      <c r="AK632" t="s">
        <v>163</v>
      </c>
      <c r="AL632" t="s">
        <v>192</v>
      </c>
      <c r="AM632" t="s">
        <v>192</v>
      </c>
      <c r="AN632" t="s">
        <v>163</v>
      </c>
      <c r="AO632" t="s">
        <v>179</v>
      </c>
      <c r="AP632" t="s">
        <v>179</v>
      </c>
      <c r="AQ632">
        <v>2001</v>
      </c>
      <c r="AR632" t="s">
        <v>160</v>
      </c>
      <c r="AS632" t="s">
        <v>159</v>
      </c>
      <c r="AT632" t="s">
        <v>180</v>
      </c>
      <c r="AU632" t="s">
        <v>159</v>
      </c>
      <c r="AV632" t="s">
        <v>159</v>
      </c>
      <c r="AW632" t="s">
        <v>159</v>
      </c>
      <c r="AX632" t="s">
        <v>159</v>
      </c>
      <c r="AY632" t="s">
        <v>159</v>
      </c>
      <c r="AZ632" t="s">
        <v>159</v>
      </c>
      <c r="BA632" t="s">
        <v>159</v>
      </c>
      <c r="BB632" t="s">
        <v>167</v>
      </c>
      <c r="BC632" t="s">
        <v>159</v>
      </c>
      <c r="BE632" t="s">
        <v>2614</v>
      </c>
      <c r="BF632" t="s">
        <v>159</v>
      </c>
    </row>
    <row r="633" spans="1:59" ht="13" x14ac:dyDescent="0.15">
      <c r="A633" s="4">
        <v>44287.110983796294</v>
      </c>
      <c r="B633" s="4">
        <v>44287.112384259257</v>
      </c>
      <c r="C633" t="s">
        <v>39</v>
      </c>
      <c r="D633" t="s">
        <v>2518</v>
      </c>
      <c r="E633">
        <v>100</v>
      </c>
      <c r="F633">
        <v>120</v>
      </c>
      <c r="G633" t="b">
        <v>1</v>
      </c>
      <c r="H633" s="4">
        <v>44287.112384259257</v>
      </c>
      <c r="I633" t="s">
        <v>2615</v>
      </c>
      <c r="N633">
        <v>40.113601684570298</v>
      </c>
      <c r="O633">
        <v>-74.939598083495994</v>
      </c>
      <c r="P633" t="s">
        <v>153</v>
      </c>
      <c r="Q633" t="s">
        <v>154</v>
      </c>
      <c r="R633" t="s">
        <v>174</v>
      </c>
      <c r="S633" t="s">
        <v>226</v>
      </c>
      <c r="T633" t="s">
        <v>176</v>
      </c>
      <c r="U633" t="s">
        <v>2616</v>
      </c>
      <c r="V633" t="s">
        <v>160</v>
      </c>
      <c r="W633" t="s">
        <v>159</v>
      </c>
      <c r="X633" t="s">
        <v>159</v>
      </c>
      <c r="Y633" t="s">
        <v>159</v>
      </c>
      <c r="Z633" t="s">
        <v>159</v>
      </c>
      <c r="AA633" t="s">
        <v>159</v>
      </c>
      <c r="AB633" t="s">
        <v>159</v>
      </c>
      <c r="AC633" t="s">
        <v>159</v>
      </c>
      <c r="AD633" t="s">
        <v>159</v>
      </c>
      <c r="AE633" t="s">
        <v>159</v>
      </c>
      <c r="AF633" t="s">
        <v>159</v>
      </c>
      <c r="AG633" t="s">
        <v>159</v>
      </c>
      <c r="AI633" t="s">
        <v>159</v>
      </c>
      <c r="AJ633" t="s">
        <v>163</v>
      </c>
      <c r="AK633" t="s">
        <v>163</v>
      </c>
      <c r="AL633" t="s">
        <v>192</v>
      </c>
      <c r="AM633" t="s">
        <v>163</v>
      </c>
      <c r="AN633" t="s">
        <v>163</v>
      </c>
      <c r="AO633" t="s">
        <v>165</v>
      </c>
      <c r="AP633" t="s">
        <v>165</v>
      </c>
      <c r="AQ633">
        <v>2000</v>
      </c>
      <c r="AR633" t="s">
        <v>160</v>
      </c>
      <c r="AS633" t="s">
        <v>159</v>
      </c>
      <c r="AT633" t="s">
        <v>180</v>
      </c>
      <c r="AU633" t="s">
        <v>159</v>
      </c>
      <c r="AV633" t="s">
        <v>159</v>
      </c>
      <c r="AW633" t="s">
        <v>159</v>
      </c>
      <c r="AX633" t="s">
        <v>159</v>
      </c>
      <c r="AY633" t="s">
        <v>159</v>
      </c>
      <c r="AZ633" t="s">
        <v>159</v>
      </c>
      <c r="BA633" t="s">
        <v>159</v>
      </c>
      <c r="BB633" t="s">
        <v>167</v>
      </c>
      <c r="BC633" t="s">
        <v>159</v>
      </c>
      <c r="BE633" t="s">
        <v>2617</v>
      </c>
      <c r="BF633" t="s">
        <v>159</v>
      </c>
    </row>
    <row r="634" spans="1:59" ht="13" x14ac:dyDescent="0.15">
      <c r="A634" s="4">
        <v>44287.097858796296</v>
      </c>
      <c r="B634" s="4">
        <v>44287.115636574075</v>
      </c>
      <c r="C634" t="s">
        <v>39</v>
      </c>
      <c r="D634" t="s">
        <v>2618</v>
      </c>
      <c r="E634">
        <v>100</v>
      </c>
      <c r="F634">
        <v>1535</v>
      </c>
      <c r="G634" t="b">
        <v>1</v>
      </c>
      <c r="H634" s="4">
        <v>44287.115636574075</v>
      </c>
      <c r="I634" t="s">
        <v>2619</v>
      </c>
      <c r="N634">
        <v>40.582794189453097</v>
      </c>
      <c r="O634">
        <v>-73.953201293945298</v>
      </c>
      <c r="P634" t="s">
        <v>153</v>
      </c>
      <c r="Q634" t="s">
        <v>154</v>
      </c>
      <c r="R634" t="s">
        <v>155</v>
      </c>
      <c r="S634" t="s">
        <v>274</v>
      </c>
      <c r="T634" t="s">
        <v>176</v>
      </c>
      <c r="U634" t="s">
        <v>2620</v>
      </c>
      <c r="V634" t="s">
        <v>160</v>
      </c>
      <c r="W634" t="s">
        <v>159</v>
      </c>
      <c r="X634" t="s">
        <v>160</v>
      </c>
      <c r="Y634" t="s">
        <v>160</v>
      </c>
      <c r="Z634" t="s">
        <v>160</v>
      </c>
      <c r="AA634" t="s">
        <v>160</v>
      </c>
      <c r="AB634" t="s">
        <v>159</v>
      </c>
      <c r="AC634" t="s">
        <v>160</v>
      </c>
      <c r="AD634" t="s">
        <v>160</v>
      </c>
      <c r="AE634" t="s">
        <v>160</v>
      </c>
      <c r="AF634" t="s">
        <v>160</v>
      </c>
      <c r="AG634" t="s">
        <v>160</v>
      </c>
      <c r="AH634">
        <v>2</v>
      </c>
      <c r="AI634" t="s">
        <v>160</v>
      </c>
      <c r="AJ634" t="s">
        <v>163</v>
      </c>
      <c r="AK634" t="s">
        <v>192</v>
      </c>
      <c r="AL634" t="s">
        <v>163</v>
      </c>
      <c r="AM634" t="s">
        <v>192</v>
      </c>
      <c r="AN634" t="s">
        <v>163</v>
      </c>
      <c r="AO634" t="s">
        <v>165</v>
      </c>
      <c r="AP634" t="s">
        <v>165</v>
      </c>
      <c r="AQ634" s="9">
        <v>35883</v>
      </c>
      <c r="AR634" t="s">
        <v>160</v>
      </c>
      <c r="AS634" t="s">
        <v>160</v>
      </c>
      <c r="AT634" t="s">
        <v>180</v>
      </c>
      <c r="AU634" t="s">
        <v>159</v>
      </c>
      <c r="AV634" t="s">
        <v>159</v>
      </c>
      <c r="AW634" t="s">
        <v>159</v>
      </c>
      <c r="AX634" t="s">
        <v>159</v>
      </c>
      <c r="AY634" t="s">
        <v>159</v>
      </c>
      <c r="AZ634" t="s">
        <v>159</v>
      </c>
      <c r="BA634" t="s">
        <v>159</v>
      </c>
      <c r="BB634" t="s">
        <v>181</v>
      </c>
      <c r="BC634" t="s">
        <v>159</v>
      </c>
      <c r="BD634" t="s">
        <v>2621</v>
      </c>
      <c r="BE634" t="s">
        <v>2622</v>
      </c>
      <c r="BF634" t="s">
        <v>159</v>
      </c>
    </row>
    <row r="635" spans="1:59" ht="13" x14ac:dyDescent="0.15">
      <c r="A635" s="4">
        <v>44287.113321759258</v>
      </c>
      <c r="B635" s="4">
        <v>44287.116863425923</v>
      </c>
      <c r="C635" t="s">
        <v>39</v>
      </c>
      <c r="D635" t="s">
        <v>2593</v>
      </c>
      <c r="E635">
        <v>100</v>
      </c>
      <c r="F635">
        <v>306</v>
      </c>
      <c r="G635" t="b">
        <v>1</v>
      </c>
      <c r="H635" s="4">
        <v>44287.116875</v>
      </c>
      <c r="I635" t="s">
        <v>2623</v>
      </c>
      <c r="N635">
        <v>44.865798950195298</v>
      </c>
      <c r="O635">
        <v>-123.04679870605401</v>
      </c>
      <c r="P635" t="s">
        <v>153</v>
      </c>
      <c r="Q635" t="s">
        <v>154</v>
      </c>
      <c r="R635" t="s">
        <v>174</v>
      </c>
      <c r="S635" t="s">
        <v>208</v>
      </c>
      <c r="T635" t="s">
        <v>176</v>
      </c>
      <c r="U635" t="s">
        <v>2620</v>
      </c>
      <c r="V635" t="s">
        <v>160</v>
      </c>
      <c r="W635" t="s">
        <v>160</v>
      </c>
      <c r="X635" t="s">
        <v>159</v>
      </c>
      <c r="Y635" t="s">
        <v>159</v>
      </c>
      <c r="Z635" t="s">
        <v>159</v>
      </c>
      <c r="AA635" t="s">
        <v>160</v>
      </c>
      <c r="AB635" t="s">
        <v>160</v>
      </c>
      <c r="AC635" t="s">
        <v>159</v>
      </c>
      <c r="AD635" t="s">
        <v>159</v>
      </c>
      <c r="AE635" t="s">
        <v>160</v>
      </c>
      <c r="AF635" t="s">
        <v>159</v>
      </c>
      <c r="AG635" t="s">
        <v>159</v>
      </c>
      <c r="AH635">
        <v>2</v>
      </c>
      <c r="AI635" t="s">
        <v>160</v>
      </c>
      <c r="AJ635" t="s">
        <v>192</v>
      </c>
      <c r="AK635" t="s">
        <v>163</v>
      </c>
      <c r="AL635" t="s">
        <v>164</v>
      </c>
      <c r="AM635" t="s">
        <v>164</v>
      </c>
      <c r="AN635" t="s">
        <v>164</v>
      </c>
      <c r="AO635" t="s">
        <v>179</v>
      </c>
      <c r="AP635" t="s">
        <v>179</v>
      </c>
      <c r="AQ635">
        <v>2001</v>
      </c>
      <c r="AR635" t="s">
        <v>160</v>
      </c>
      <c r="AS635" t="s">
        <v>159</v>
      </c>
      <c r="AT635" t="s">
        <v>180</v>
      </c>
      <c r="AU635" t="s">
        <v>159</v>
      </c>
      <c r="AV635" t="s">
        <v>159</v>
      </c>
      <c r="AW635" t="s">
        <v>159</v>
      </c>
      <c r="AX635" t="s">
        <v>159</v>
      </c>
      <c r="AY635" t="s">
        <v>159</v>
      </c>
      <c r="AZ635" t="s">
        <v>159</v>
      </c>
      <c r="BA635" t="s">
        <v>159</v>
      </c>
      <c r="BB635" t="s">
        <v>167</v>
      </c>
      <c r="BC635" t="s">
        <v>160</v>
      </c>
      <c r="BD635" t="s">
        <v>2624</v>
      </c>
      <c r="BE635" t="s">
        <v>2625</v>
      </c>
      <c r="BF635" t="s">
        <v>159</v>
      </c>
    </row>
    <row r="636" spans="1:59" ht="13" x14ac:dyDescent="0.15">
      <c r="A636" s="4">
        <v>44287.113368055558</v>
      </c>
      <c r="B636" s="4">
        <v>44287.117268518516</v>
      </c>
      <c r="C636" t="s">
        <v>39</v>
      </c>
      <c r="D636" t="s">
        <v>2601</v>
      </c>
      <c r="E636">
        <v>100</v>
      </c>
      <c r="F636">
        <v>337</v>
      </c>
      <c r="G636" t="b">
        <v>1</v>
      </c>
      <c r="H636" s="4">
        <v>44287.117268518516</v>
      </c>
      <c r="I636" t="s">
        <v>2626</v>
      </c>
      <c r="N636">
        <v>29.9761962890625</v>
      </c>
      <c r="O636">
        <v>-95.640098571777301</v>
      </c>
      <c r="P636" t="s">
        <v>153</v>
      </c>
      <c r="Q636" t="s">
        <v>154</v>
      </c>
      <c r="R636" t="s">
        <v>174</v>
      </c>
      <c r="S636" t="s">
        <v>208</v>
      </c>
      <c r="T636" t="s">
        <v>237</v>
      </c>
      <c r="U636" t="s">
        <v>2627</v>
      </c>
      <c r="V636" t="s">
        <v>160</v>
      </c>
      <c r="W636" t="s">
        <v>160</v>
      </c>
      <c r="X636" t="s">
        <v>159</v>
      </c>
      <c r="Y636" t="s">
        <v>159</v>
      </c>
      <c r="Z636" t="s">
        <v>159</v>
      </c>
      <c r="AA636" t="s">
        <v>159</v>
      </c>
      <c r="AB636" t="s">
        <v>160</v>
      </c>
      <c r="AC636" t="s">
        <v>159</v>
      </c>
      <c r="AD636" t="s">
        <v>159</v>
      </c>
      <c r="AE636" t="s">
        <v>159</v>
      </c>
      <c r="AF636" t="s">
        <v>160</v>
      </c>
      <c r="AG636" t="s">
        <v>160</v>
      </c>
      <c r="AH636">
        <v>1</v>
      </c>
      <c r="AI636" t="s">
        <v>160</v>
      </c>
      <c r="AJ636" t="s">
        <v>164</v>
      </c>
      <c r="AK636" t="s">
        <v>164</v>
      </c>
      <c r="AL636" t="s">
        <v>163</v>
      </c>
      <c r="AM636" t="s">
        <v>164</v>
      </c>
      <c r="AN636" t="s">
        <v>192</v>
      </c>
      <c r="AO636" t="s">
        <v>179</v>
      </c>
      <c r="AP636" t="s">
        <v>179</v>
      </c>
      <c r="AQ636">
        <v>2001</v>
      </c>
      <c r="AR636" t="s">
        <v>160</v>
      </c>
      <c r="AS636" t="s">
        <v>160</v>
      </c>
      <c r="AT636" t="s">
        <v>180</v>
      </c>
      <c r="AU636" t="s">
        <v>159</v>
      </c>
      <c r="AV636" t="s">
        <v>159</v>
      </c>
      <c r="AW636" t="s">
        <v>159</v>
      </c>
      <c r="AX636" t="s">
        <v>159</v>
      </c>
      <c r="AY636" t="s">
        <v>159</v>
      </c>
      <c r="AZ636" t="s">
        <v>159</v>
      </c>
      <c r="BA636" t="s">
        <v>159</v>
      </c>
      <c r="BB636" t="s">
        <v>167</v>
      </c>
      <c r="BC636" t="s">
        <v>160</v>
      </c>
      <c r="BD636" t="s">
        <v>2628</v>
      </c>
      <c r="BE636" t="s">
        <v>2629</v>
      </c>
      <c r="BF636" t="s">
        <v>159</v>
      </c>
    </row>
    <row r="637" spans="1:59" ht="13" x14ac:dyDescent="0.15">
      <c r="A637" s="4">
        <v>44287.113344907404</v>
      </c>
      <c r="B637" s="4">
        <v>44287.117592592593</v>
      </c>
      <c r="C637" t="s">
        <v>39</v>
      </c>
      <c r="D637" t="s">
        <v>2588</v>
      </c>
      <c r="E637">
        <v>100</v>
      </c>
      <c r="F637">
        <v>366</v>
      </c>
      <c r="G637" t="b">
        <v>1</v>
      </c>
      <c r="H637" s="4">
        <v>44287.117592592593</v>
      </c>
      <c r="I637" t="s">
        <v>2630</v>
      </c>
      <c r="N637">
        <v>46.325698852538999</v>
      </c>
      <c r="O637">
        <v>-119.30670166015599</v>
      </c>
      <c r="P637" t="s">
        <v>153</v>
      </c>
      <c r="Q637" t="s">
        <v>154</v>
      </c>
      <c r="R637" t="s">
        <v>174</v>
      </c>
      <c r="S637" t="s">
        <v>208</v>
      </c>
      <c r="T637" t="s">
        <v>176</v>
      </c>
      <c r="U637" t="s">
        <v>1429</v>
      </c>
      <c r="V637" t="s">
        <v>160</v>
      </c>
      <c r="W637" t="s">
        <v>160</v>
      </c>
      <c r="X637" t="s">
        <v>159</v>
      </c>
      <c r="Y637" t="s">
        <v>159</v>
      </c>
      <c r="Z637" t="s">
        <v>160</v>
      </c>
      <c r="AA637" t="s">
        <v>159</v>
      </c>
      <c r="AB637" t="s">
        <v>159</v>
      </c>
      <c r="AC637" t="s">
        <v>159</v>
      </c>
      <c r="AD637" t="s">
        <v>160</v>
      </c>
      <c r="AE637" t="s">
        <v>160</v>
      </c>
      <c r="AF637" t="s">
        <v>160</v>
      </c>
      <c r="AG637" t="s">
        <v>159</v>
      </c>
      <c r="AH637">
        <v>2</v>
      </c>
      <c r="AI637" t="s">
        <v>160</v>
      </c>
      <c r="AJ637" t="s">
        <v>163</v>
      </c>
      <c r="AK637" t="s">
        <v>163</v>
      </c>
      <c r="AL637" t="s">
        <v>192</v>
      </c>
      <c r="AM637" t="s">
        <v>162</v>
      </c>
      <c r="AN637" t="s">
        <v>192</v>
      </c>
      <c r="AO637" t="s">
        <v>179</v>
      </c>
      <c r="AP637" t="s">
        <v>179</v>
      </c>
      <c r="AQ637">
        <v>2001</v>
      </c>
      <c r="AR637" t="s">
        <v>160</v>
      </c>
      <c r="AS637" t="s">
        <v>159</v>
      </c>
      <c r="AT637" t="s">
        <v>180</v>
      </c>
      <c r="AU637" t="s">
        <v>159</v>
      </c>
      <c r="AV637" t="s">
        <v>159</v>
      </c>
      <c r="AW637" t="s">
        <v>159</v>
      </c>
      <c r="AX637" t="s">
        <v>159</v>
      </c>
      <c r="AY637" t="s">
        <v>159</v>
      </c>
      <c r="AZ637" t="s">
        <v>159</v>
      </c>
      <c r="BA637" t="s">
        <v>159</v>
      </c>
      <c r="BB637" t="s">
        <v>167</v>
      </c>
      <c r="BC637" t="s">
        <v>159</v>
      </c>
      <c r="BD637" t="s">
        <v>2631</v>
      </c>
      <c r="BE637" t="s">
        <v>2632</v>
      </c>
      <c r="BF637" t="s">
        <v>159</v>
      </c>
    </row>
    <row r="638" spans="1:59" ht="13" x14ac:dyDescent="0.15">
      <c r="A638" s="4">
        <v>44287.113391203704</v>
      </c>
      <c r="B638" s="4">
        <v>44287.117905092593</v>
      </c>
      <c r="C638" t="s">
        <v>39</v>
      </c>
      <c r="D638" t="s">
        <v>2606</v>
      </c>
      <c r="E638">
        <v>100</v>
      </c>
      <c r="F638">
        <v>390</v>
      </c>
      <c r="G638" t="b">
        <v>1</v>
      </c>
      <c r="H638" s="4">
        <v>44287.117905092593</v>
      </c>
      <c r="I638" t="s">
        <v>2633</v>
      </c>
      <c r="N638">
        <v>32.861892700195298</v>
      </c>
      <c r="O638">
        <v>-97.342697143554602</v>
      </c>
      <c r="P638" t="s">
        <v>153</v>
      </c>
      <c r="Q638" t="s">
        <v>154</v>
      </c>
      <c r="R638" t="s">
        <v>174</v>
      </c>
      <c r="S638" t="s">
        <v>208</v>
      </c>
      <c r="T638" t="s">
        <v>157</v>
      </c>
      <c r="U638" t="s">
        <v>2634</v>
      </c>
      <c r="V638" t="s">
        <v>160</v>
      </c>
      <c r="W638" t="s">
        <v>160</v>
      </c>
      <c r="X638" t="s">
        <v>160</v>
      </c>
      <c r="Y638" t="s">
        <v>159</v>
      </c>
      <c r="Z638" t="s">
        <v>160</v>
      </c>
      <c r="AA638" t="s">
        <v>159</v>
      </c>
      <c r="AB638" t="s">
        <v>160</v>
      </c>
      <c r="AC638" t="s">
        <v>160</v>
      </c>
      <c r="AD638" t="s">
        <v>160</v>
      </c>
      <c r="AE638" t="s">
        <v>159</v>
      </c>
      <c r="AF638" t="s">
        <v>159</v>
      </c>
      <c r="AG638" t="s">
        <v>159</v>
      </c>
      <c r="AH638">
        <v>2</v>
      </c>
      <c r="AI638" t="s">
        <v>160</v>
      </c>
      <c r="AJ638" t="s">
        <v>163</v>
      </c>
      <c r="AK638" t="s">
        <v>163</v>
      </c>
      <c r="AL638" t="s">
        <v>164</v>
      </c>
      <c r="AM638" t="s">
        <v>164</v>
      </c>
      <c r="AN638" t="s">
        <v>163</v>
      </c>
      <c r="AO638" t="s">
        <v>179</v>
      </c>
      <c r="AP638" t="s">
        <v>179</v>
      </c>
      <c r="AQ638">
        <v>2001</v>
      </c>
      <c r="AR638" t="s">
        <v>160</v>
      </c>
      <c r="AS638" t="s">
        <v>159</v>
      </c>
      <c r="AT638" t="s">
        <v>180</v>
      </c>
      <c r="AU638" t="s">
        <v>159</v>
      </c>
      <c r="AV638" t="s">
        <v>159</v>
      </c>
      <c r="AW638" t="s">
        <v>159</v>
      </c>
      <c r="AX638" t="s">
        <v>159</v>
      </c>
      <c r="AY638" t="s">
        <v>159</v>
      </c>
      <c r="AZ638" t="s">
        <v>159</v>
      </c>
      <c r="BA638" t="s">
        <v>159</v>
      </c>
      <c r="BB638" t="s">
        <v>167</v>
      </c>
      <c r="BC638" t="s">
        <v>160</v>
      </c>
      <c r="BD638" t="s">
        <v>2635</v>
      </c>
      <c r="BE638" t="s">
        <v>2636</v>
      </c>
      <c r="BF638" t="s">
        <v>159</v>
      </c>
    </row>
    <row r="639" spans="1:59" ht="13" x14ac:dyDescent="0.15">
      <c r="A639" s="4">
        <v>44287.120069444441</v>
      </c>
      <c r="B639" s="4">
        <v>44287.122337962966</v>
      </c>
      <c r="C639" t="s">
        <v>39</v>
      </c>
      <c r="D639" t="s">
        <v>2637</v>
      </c>
      <c r="E639">
        <v>100</v>
      </c>
      <c r="F639">
        <v>195</v>
      </c>
      <c r="G639" t="b">
        <v>1</v>
      </c>
      <c r="H639" s="4">
        <v>44287.122337962966</v>
      </c>
      <c r="I639" t="s">
        <v>2638</v>
      </c>
      <c r="N639">
        <v>39.924102783203097</v>
      </c>
      <c r="O639">
        <v>-105.063903808593</v>
      </c>
      <c r="P639" t="s">
        <v>153</v>
      </c>
      <c r="Q639" t="s">
        <v>154</v>
      </c>
      <c r="R639" t="s">
        <v>174</v>
      </c>
      <c r="S639" t="s">
        <v>274</v>
      </c>
      <c r="T639" t="s">
        <v>176</v>
      </c>
      <c r="U639" t="s">
        <v>2639</v>
      </c>
      <c r="V639" t="s">
        <v>160</v>
      </c>
      <c r="W639" t="s">
        <v>160</v>
      </c>
      <c r="X639" t="s">
        <v>159</v>
      </c>
      <c r="Y639" t="s">
        <v>160</v>
      </c>
      <c r="Z639" t="s">
        <v>159</v>
      </c>
      <c r="AA639" t="s">
        <v>160</v>
      </c>
      <c r="AB639" t="s">
        <v>159</v>
      </c>
      <c r="AC639" t="s">
        <v>159</v>
      </c>
      <c r="AD639" t="s">
        <v>159</v>
      </c>
      <c r="AE639" t="s">
        <v>160</v>
      </c>
      <c r="AF639" t="s">
        <v>160</v>
      </c>
      <c r="AG639" t="s">
        <v>159</v>
      </c>
      <c r="AH639">
        <v>1</v>
      </c>
      <c r="AI639" t="s">
        <v>160</v>
      </c>
      <c r="AJ639" t="s">
        <v>164</v>
      </c>
      <c r="AK639" t="s">
        <v>162</v>
      </c>
      <c r="AL639" t="s">
        <v>164</v>
      </c>
      <c r="AM639" t="s">
        <v>192</v>
      </c>
      <c r="AN639" t="s">
        <v>164</v>
      </c>
      <c r="AO639" t="s">
        <v>179</v>
      </c>
      <c r="AP639" t="s">
        <v>179</v>
      </c>
      <c r="AQ639">
        <v>2002</v>
      </c>
      <c r="AR639" t="s">
        <v>160</v>
      </c>
      <c r="AS639" t="s">
        <v>159</v>
      </c>
      <c r="AT639" t="s">
        <v>180</v>
      </c>
      <c r="AU639" t="s">
        <v>159</v>
      </c>
      <c r="AV639" t="s">
        <v>159</v>
      </c>
      <c r="AW639" t="s">
        <v>159</v>
      </c>
      <c r="AX639" t="s">
        <v>159</v>
      </c>
      <c r="AY639" t="s">
        <v>159</v>
      </c>
      <c r="AZ639" t="s">
        <v>159</v>
      </c>
      <c r="BA639" t="s">
        <v>159</v>
      </c>
      <c r="BB639" t="s">
        <v>167</v>
      </c>
      <c r="BC639" t="s">
        <v>160</v>
      </c>
      <c r="BD639" t="s">
        <v>2328</v>
      </c>
      <c r="BE639" t="s">
        <v>2640</v>
      </c>
      <c r="BF639" t="s">
        <v>159</v>
      </c>
    </row>
    <row r="640" spans="1:59" ht="13" x14ac:dyDescent="0.15">
      <c r="A640" s="4">
        <v>44287.120081018518</v>
      </c>
      <c r="B640" s="4">
        <v>44287.122685185182</v>
      </c>
      <c r="C640" t="s">
        <v>39</v>
      </c>
      <c r="D640" t="s">
        <v>2641</v>
      </c>
      <c r="E640">
        <v>100</v>
      </c>
      <c r="F640">
        <v>224</v>
      </c>
      <c r="G640" t="b">
        <v>1</v>
      </c>
      <c r="H640" s="4">
        <v>44287.122696759259</v>
      </c>
      <c r="I640" t="s">
        <v>2642</v>
      </c>
      <c r="N640">
        <v>34.048492431640597</v>
      </c>
      <c r="O640">
        <v>-118.25289916992099</v>
      </c>
      <c r="P640" t="s">
        <v>153</v>
      </c>
      <c r="Q640" t="s">
        <v>154</v>
      </c>
      <c r="R640" t="s">
        <v>174</v>
      </c>
      <c r="S640" t="s">
        <v>274</v>
      </c>
      <c r="T640" t="s">
        <v>263</v>
      </c>
      <c r="U640" t="s">
        <v>735</v>
      </c>
      <c r="V640" t="s">
        <v>160</v>
      </c>
      <c r="W640" t="s">
        <v>160</v>
      </c>
      <c r="X640" t="s">
        <v>159</v>
      </c>
      <c r="Y640" t="s">
        <v>159</v>
      </c>
      <c r="Z640" t="s">
        <v>159</v>
      </c>
      <c r="AA640" t="s">
        <v>160</v>
      </c>
      <c r="AB640" t="s">
        <v>160</v>
      </c>
      <c r="AC640" t="s">
        <v>159</v>
      </c>
      <c r="AD640" t="s">
        <v>159</v>
      </c>
      <c r="AE640" t="s">
        <v>160</v>
      </c>
      <c r="AF640" t="s">
        <v>159</v>
      </c>
      <c r="AG640" t="s">
        <v>160</v>
      </c>
      <c r="AH640">
        <v>2</v>
      </c>
      <c r="AI640" t="s">
        <v>160</v>
      </c>
      <c r="AJ640" t="s">
        <v>192</v>
      </c>
      <c r="AK640" t="s">
        <v>162</v>
      </c>
      <c r="AL640" t="s">
        <v>164</v>
      </c>
      <c r="AM640" t="s">
        <v>164</v>
      </c>
      <c r="AN640" t="s">
        <v>192</v>
      </c>
      <c r="AO640" t="s">
        <v>179</v>
      </c>
      <c r="AP640" t="s">
        <v>179</v>
      </c>
      <c r="AQ640">
        <v>2002</v>
      </c>
      <c r="AR640" t="s">
        <v>160</v>
      </c>
      <c r="AS640" t="s">
        <v>159</v>
      </c>
      <c r="AT640" t="s">
        <v>180</v>
      </c>
      <c r="AU640" t="s">
        <v>159</v>
      </c>
      <c r="AV640" t="s">
        <v>159</v>
      </c>
      <c r="AW640" t="s">
        <v>159</v>
      </c>
      <c r="AX640" t="s">
        <v>159</v>
      </c>
      <c r="AY640" t="s">
        <v>159</v>
      </c>
      <c r="AZ640" t="s">
        <v>159</v>
      </c>
      <c r="BA640" t="s">
        <v>159</v>
      </c>
      <c r="BB640" t="s">
        <v>167</v>
      </c>
      <c r="BC640" t="s">
        <v>160</v>
      </c>
      <c r="BD640" t="s">
        <v>2628</v>
      </c>
      <c r="BE640" t="s">
        <v>2643</v>
      </c>
      <c r="BF640" t="s">
        <v>159</v>
      </c>
    </row>
    <row r="641" spans="1:59" ht="13" x14ac:dyDescent="0.15">
      <c r="A641" s="4">
        <v>44287.120104166665</v>
      </c>
      <c r="B641" s="4">
        <v>44287.123090277775</v>
      </c>
      <c r="C641" t="s">
        <v>39</v>
      </c>
      <c r="D641" t="s">
        <v>2644</v>
      </c>
      <c r="E641">
        <v>100</v>
      </c>
      <c r="F641">
        <v>257</v>
      </c>
      <c r="G641" t="b">
        <v>1</v>
      </c>
      <c r="H641" s="4">
        <v>44287.123090277775</v>
      </c>
      <c r="I641" t="s">
        <v>2645</v>
      </c>
      <c r="N641">
        <v>29.743896484375</v>
      </c>
      <c r="O641">
        <v>-95.606697082519503</v>
      </c>
      <c r="P641" t="s">
        <v>153</v>
      </c>
      <c r="Q641" t="s">
        <v>154</v>
      </c>
      <c r="R641" t="s">
        <v>174</v>
      </c>
      <c r="S641" t="s">
        <v>274</v>
      </c>
      <c r="T641" t="s">
        <v>237</v>
      </c>
      <c r="U641" t="s">
        <v>2646</v>
      </c>
      <c r="W641" t="s">
        <v>160</v>
      </c>
      <c r="X641" t="s">
        <v>160</v>
      </c>
      <c r="Y641" t="s">
        <v>159</v>
      </c>
      <c r="Z641" t="s">
        <v>160</v>
      </c>
      <c r="AA641" t="s">
        <v>159</v>
      </c>
      <c r="AB641" t="s">
        <v>159</v>
      </c>
      <c r="AC641" t="s">
        <v>160</v>
      </c>
      <c r="AD641" t="s">
        <v>160</v>
      </c>
      <c r="AE641" t="s">
        <v>160</v>
      </c>
      <c r="AF641" t="s">
        <v>159</v>
      </c>
      <c r="AG641" t="s">
        <v>160</v>
      </c>
      <c r="AH641">
        <v>2</v>
      </c>
      <c r="AI641" t="s">
        <v>160</v>
      </c>
      <c r="AJ641" t="s">
        <v>164</v>
      </c>
      <c r="AK641" t="s">
        <v>162</v>
      </c>
      <c r="AL641" t="s">
        <v>164</v>
      </c>
      <c r="AM641" t="s">
        <v>192</v>
      </c>
      <c r="AN641" t="s">
        <v>162</v>
      </c>
      <c r="AO641" t="s">
        <v>179</v>
      </c>
      <c r="AP641" t="s">
        <v>179</v>
      </c>
      <c r="AQ641">
        <v>2002</v>
      </c>
      <c r="AR641" t="s">
        <v>160</v>
      </c>
      <c r="AS641" t="s">
        <v>159</v>
      </c>
      <c r="AT641" t="s">
        <v>180</v>
      </c>
      <c r="AU641" t="s">
        <v>159</v>
      </c>
      <c r="AV641" t="s">
        <v>159</v>
      </c>
      <c r="AW641" t="s">
        <v>159</v>
      </c>
      <c r="AX641" t="s">
        <v>159</v>
      </c>
      <c r="AY641" t="s">
        <v>159</v>
      </c>
      <c r="AZ641" t="s">
        <v>159</v>
      </c>
      <c r="BA641" t="s">
        <v>159</v>
      </c>
      <c r="BB641" t="s">
        <v>167</v>
      </c>
      <c r="BC641" t="s">
        <v>159</v>
      </c>
      <c r="BD641" t="s">
        <v>182</v>
      </c>
      <c r="BE641" t="s">
        <v>2647</v>
      </c>
      <c r="BF641" t="s">
        <v>159</v>
      </c>
    </row>
    <row r="642" spans="1:59" s="7" customFormat="1" ht="13" x14ac:dyDescent="0.15">
      <c r="A642" s="6">
        <v>44287.120127314818</v>
      </c>
      <c r="B642" s="6">
        <v>44287.123460648145</v>
      </c>
      <c r="C642" s="7" t="s">
        <v>39</v>
      </c>
      <c r="D642" s="7" t="s">
        <v>2648</v>
      </c>
      <c r="E642" s="7">
        <v>100</v>
      </c>
      <c r="F642" s="7">
        <v>287</v>
      </c>
      <c r="G642" s="7" t="b">
        <v>1</v>
      </c>
      <c r="H642" s="6">
        <v>44287.123460648145</v>
      </c>
      <c r="I642" s="7" t="s">
        <v>2649</v>
      </c>
      <c r="N642" s="7">
        <v>29.618392944335898</v>
      </c>
      <c r="O642" s="7">
        <v>-95.609298706054602</v>
      </c>
      <c r="P642" s="7" t="s">
        <v>153</v>
      </c>
      <c r="Q642" s="7" t="s">
        <v>154</v>
      </c>
      <c r="R642" s="7" t="s">
        <v>174</v>
      </c>
      <c r="S642" s="7" t="s">
        <v>274</v>
      </c>
      <c r="T642" s="7" t="s">
        <v>157</v>
      </c>
      <c r="U642" s="7" t="s">
        <v>2650</v>
      </c>
      <c r="V642" s="7" t="s">
        <v>160</v>
      </c>
      <c r="W642" s="7" t="s">
        <v>160</v>
      </c>
      <c r="X642" s="7" t="s">
        <v>159</v>
      </c>
      <c r="Y642" s="7" t="s">
        <v>160</v>
      </c>
      <c r="Z642" s="7" t="s">
        <v>159</v>
      </c>
      <c r="AA642" s="7" t="s">
        <v>159</v>
      </c>
      <c r="AB642" s="7" t="s">
        <v>160</v>
      </c>
      <c r="AC642" s="7" t="s">
        <v>160</v>
      </c>
      <c r="AD642" s="7" t="s">
        <v>160</v>
      </c>
      <c r="AE642" s="7" t="s">
        <v>159</v>
      </c>
      <c r="AF642" s="7" t="s">
        <v>159</v>
      </c>
      <c r="AG642" s="7" t="s">
        <v>159</v>
      </c>
      <c r="AH642" s="7">
        <v>2</v>
      </c>
      <c r="AI642" s="7" t="s">
        <v>160</v>
      </c>
      <c r="AJ642" s="7" t="s">
        <v>198</v>
      </c>
      <c r="AK642" s="7" t="s">
        <v>162</v>
      </c>
      <c r="AL642" s="7" t="s">
        <v>164</v>
      </c>
      <c r="AM642" s="7" t="s">
        <v>163</v>
      </c>
      <c r="AN642" s="7" t="s">
        <v>164</v>
      </c>
      <c r="AO642" s="7" t="s">
        <v>179</v>
      </c>
      <c r="AP642" s="7" t="s">
        <v>179</v>
      </c>
      <c r="AR642" s="7" t="s">
        <v>160</v>
      </c>
      <c r="AS642" s="7" t="s">
        <v>159</v>
      </c>
      <c r="AT642" s="7" t="s">
        <v>180</v>
      </c>
      <c r="AU642" s="7" t="s">
        <v>159</v>
      </c>
      <c r="AV642" s="7" t="s">
        <v>159</v>
      </c>
      <c r="AW642" s="7" t="s">
        <v>159</v>
      </c>
      <c r="AX642" s="7" t="s">
        <v>159</v>
      </c>
      <c r="AY642" s="7" t="s">
        <v>159</v>
      </c>
      <c r="AZ642" s="7" t="s">
        <v>159</v>
      </c>
      <c r="BA642" s="7" t="s">
        <v>159</v>
      </c>
      <c r="BB642" s="7" t="s">
        <v>167</v>
      </c>
      <c r="BC642" s="7" t="s">
        <v>159</v>
      </c>
      <c r="BD642" s="7" t="s">
        <v>2332</v>
      </c>
      <c r="BE642" s="7" t="s">
        <v>2651</v>
      </c>
      <c r="BF642" s="7" t="s">
        <v>159</v>
      </c>
    </row>
    <row r="643" spans="1:59" ht="13" x14ac:dyDescent="0.15">
      <c r="A643" s="4">
        <v>44287.121712962966</v>
      </c>
      <c r="B643" s="4">
        <v>44287.124895833331</v>
      </c>
      <c r="C643" t="s">
        <v>39</v>
      </c>
      <c r="D643" t="s">
        <v>2652</v>
      </c>
      <c r="E643">
        <v>100</v>
      </c>
      <c r="F643">
        <v>275</v>
      </c>
      <c r="G643" t="b">
        <v>1</v>
      </c>
      <c r="H643" s="4">
        <v>44287.124895833331</v>
      </c>
      <c r="I643" t="s">
        <v>2653</v>
      </c>
      <c r="N643">
        <v>34.044692993163999</v>
      </c>
      <c r="O643">
        <v>-118.29460144042901</v>
      </c>
      <c r="P643" t="s">
        <v>153</v>
      </c>
      <c r="Q643" t="s">
        <v>154</v>
      </c>
      <c r="R643" t="s">
        <v>174</v>
      </c>
      <c r="S643" t="s">
        <v>208</v>
      </c>
      <c r="T643" t="s">
        <v>263</v>
      </c>
      <c r="U643" t="s">
        <v>2654</v>
      </c>
      <c r="V643" t="s">
        <v>160</v>
      </c>
      <c r="W643" t="s">
        <v>160</v>
      </c>
      <c r="X643" t="s">
        <v>160</v>
      </c>
      <c r="Y643" t="s">
        <v>160</v>
      </c>
      <c r="Z643" t="s">
        <v>160</v>
      </c>
      <c r="AA643" t="s">
        <v>159</v>
      </c>
      <c r="AB643" t="s">
        <v>160</v>
      </c>
      <c r="AC643" t="s">
        <v>159</v>
      </c>
      <c r="AD643" t="s">
        <v>159</v>
      </c>
      <c r="AE643" t="s">
        <v>160</v>
      </c>
      <c r="AF643" t="s">
        <v>160</v>
      </c>
      <c r="AG643" t="s">
        <v>160</v>
      </c>
      <c r="AH643">
        <v>2</v>
      </c>
      <c r="AI643" t="s">
        <v>160</v>
      </c>
      <c r="AJ643" t="s">
        <v>192</v>
      </c>
      <c r="AK643" t="s">
        <v>163</v>
      </c>
      <c r="AL643" t="s">
        <v>163</v>
      </c>
      <c r="AM643" t="s">
        <v>192</v>
      </c>
      <c r="AN643" t="s">
        <v>163</v>
      </c>
      <c r="AO643" t="s">
        <v>165</v>
      </c>
      <c r="AP643" t="s">
        <v>165</v>
      </c>
      <c r="AQ643" s="9">
        <v>36356</v>
      </c>
      <c r="AR643" t="s">
        <v>160</v>
      </c>
      <c r="AS643" t="s">
        <v>160</v>
      </c>
      <c r="AT643" t="s">
        <v>180</v>
      </c>
      <c r="AU643" t="s">
        <v>159</v>
      </c>
      <c r="AV643" t="s">
        <v>159</v>
      </c>
      <c r="AW643" t="s">
        <v>159</v>
      </c>
      <c r="AX643" t="s">
        <v>159</v>
      </c>
      <c r="AY643" t="s">
        <v>159</v>
      </c>
      <c r="AZ643" t="s">
        <v>159</v>
      </c>
      <c r="BA643" t="s">
        <v>159</v>
      </c>
      <c r="BB643" t="s">
        <v>181</v>
      </c>
      <c r="BC643" t="s">
        <v>160</v>
      </c>
      <c r="BD643" t="s">
        <v>1082</v>
      </c>
      <c r="BE643" t="s">
        <v>2655</v>
      </c>
      <c r="BF643" t="s">
        <v>159</v>
      </c>
    </row>
    <row r="644" spans="1:59" ht="13" x14ac:dyDescent="0.15">
      <c r="A644" s="4">
        <v>44287.123090277775</v>
      </c>
      <c r="B644" s="4">
        <v>44287.12903935185</v>
      </c>
      <c r="C644" t="s">
        <v>39</v>
      </c>
      <c r="D644" t="s">
        <v>2656</v>
      </c>
      <c r="E644">
        <v>100</v>
      </c>
      <c r="F644">
        <v>514</v>
      </c>
      <c r="G644" t="b">
        <v>1</v>
      </c>
      <c r="H644" s="4">
        <v>44287.129050925927</v>
      </c>
      <c r="I644" t="s">
        <v>2657</v>
      </c>
      <c r="N644">
        <v>40.786895751953097</v>
      </c>
      <c r="O644">
        <v>-74.253501892089801</v>
      </c>
      <c r="P644" t="s">
        <v>153</v>
      </c>
      <c r="Q644" t="s">
        <v>154</v>
      </c>
      <c r="R644" t="s">
        <v>174</v>
      </c>
      <c r="S644" t="s">
        <v>208</v>
      </c>
      <c r="T644" t="s">
        <v>176</v>
      </c>
      <c r="U644" t="s">
        <v>1204</v>
      </c>
      <c r="V644" t="s">
        <v>160</v>
      </c>
      <c r="W644" t="s">
        <v>160</v>
      </c>
      <c r="X644" t="s">
        <v>160</v>
      </c>
      <c r="Y644" t="s">
        <v>160</v>
      </c>
      <c r="Z644" t="s">
        <v>160</v>
      </c>
      <c r="AA644" t="s">
        <v>159</v>
      </c>
      <c r="AB644" t="s">
        <v>160</v>
      </c>
      <c r="AC644" t="s">
        <v>160</v>
      </c>
      <c r="AD644" t="s">
        <v>160</v>
      </c>
      <c r="AE644" t="s">
        <v>160</v>
      </c>
      <c r="AF644" t="s">
        <v>159</v>
      </c>
      <c r="AG644" t="s">
        <v>160</v>
      </c>
      <c r="AH644">
        <v>3</v>
      </c>
      <c r="AI644" t="s">
        <v>160</v>
      </c>
      <c r="AJ644" t="s">
        <v>198</v>
      </c>
      <c r="AK644" t="s">
        <v>164</v>
      </c>
      <c r="AL644" t="s">
        <v>192</v>
      </c>
      <c r="AM644" t="s">
        <v>163</v>
      </c>
      <c r="AN644" t="s">
        <v>192</v>
      </c>
      <c r="AO644" t="s">
        <v>179</v>
      </c>
      <c r="AP644" t="s">
        <v>179</v>
      </c>
      <c r="AQ644">
        <v>2000</v>
      </c>
      <c r="AR644" t="s">
        <v>160</v>
      </c>
      <c r="AS644" t="s">
        <v>160</v>
      </c>
      <c r="AT644" t="s">
        <v>210</v>
      </c>
      <c r="AU644" t="s">
        <v>160</v>
      </c>
      <c r="AV644" t="s">
        <v>159</v>
      </c>
      <c r="AW644" t="s">
        <v>159</v>
      </c>
      <c r="AX644" t="s">
        <v>160</v>
      </c>
      <c r="AY644" t="s">
        <v>159</v>
      </c>
      <c r="AZ644" t="s">
        <v>160</v>
      </c>
      <c r="BA644" t="s">
        <v>159</v>
      </c>
      <c r="BB644" t="s">
        <v>167</v>
      </c>
      <c r="BC644" t="s">
        <v>160</v>
      </c>
      <c r="BD644" t="s">
        <v>159</v>
      </c>
      <c r="BE644" t="s">
        <v>1426</v>
      </c>
      <c r="BF644" t="s">
        <v>160</v>
      </c>
      <c r="BG644" t="s">
        <v>2658</v>
      </c>
    </row>
    <row r="645" spans="1:59" ht="13" x14ac:dyDescent="0.15">
      <c r="A645" s="4">
        <v>44287.129745370374</v>
      </c>
      <c r="B645" s="4">
        <v>44287.1328587963</v>
      </c>
      <c r="C645" t="s">
        <v>39</v>
      </c>
      <c r="D645" t="s">
        <v>2659</v>
      </c>
      <c r="E645">
        <v>100</v>
      </c>
      <c r="F645">
        <v>269</v>
      </c>
      <c r="G645" t="b">
        <v>1</v>
      </c>
      <c r="H645" s="4">
        <v>44287.1328587963</v>
      </c>
      <c r="I645" t="s">
        <v>2660</v>
      </c>
      <c r="N645">
        <v>40.712600708007798</v>
      </c>
      <c r="O645">
        <v>-74.006599426269503</v>
      </c>
      <c r="P645" t="s">
        <v>153</v>
      </c>
      <c r="Q645" t="s">
        <v>154</v>
      </c>
      <c r="R645" t="s">
        <v>174</v>
      </c>
      <c r="S645" t="s">
        <v>208</v>
      </c>
      <c r="T645" t="s">
        <v>176</v>
      </c>
      <c r="U645" t="s">
        <v>2661</v>
      </c>
      <c r="V645" t="s">
        <v>160</v>
      </c>
      <c r="W645" t="s">
        <v>160</v>
      </c>
      <c r="X645" t="s">
        <v>160</v>
      </c>
      <c r="Y645" t="s">
        <v>160</v>
      </c>
      <c r="Z645" t="s">
        <v>160</v>
      </c>
      <c r="AA645" t="s">
        <v>160</v>
      </c>
      <c r="AB645" t="s">
        <v>159</v>
      </c>
      <c r="AC645" t="s">
        <v>160</v>
      </c>
      <c r="AD645" t="s">
        <v>159</v>
      </c>
      <c r="AE645" t="s">
        <v>160</v>
      </c>
      <c r="AF645" t="s">
        <v>159</v>
      </c>
      <c r="AG645" t="s">
        <v>160</v>
      </c>
      <c r="AH645">
        <v>1</v>
      </c>
      <c r="AI645" t="s">
        <v>160</v>
      </c>
      <c r="AJ645" t="s">
        <v>163</v>
      </c>
      <c r="AK645" t="s">
        <v>192</v>
      </c>
      <c r="AL645" t="s">
        <v>192</v>
      </c>
      <c r="AM645" t="s">
        <v>163</v>
      </c>
      <c r="AN645" t="s">
        <v>163</v>
      </c>
      <c r="AO645" t="s">
        <v>165</v>
      </c>
      <c r="AQ645" s="9">
        <v>36834</v>
      </c>
      <c r="AR645" t="s">
        <v>160</v>
      </c>
      <c r="AS645" t="s">
        <v>159</v>
      </c>
      <c r="AT645" t="s">
        <v>180</v>
      </c>
      <c r="AU645" t="s">
        <v>159</v>
      </c>
      <c r="AV645" t="s">
        <v>159</v>
      </c>
      <c r="AW645" t="s">
        <v>159</v>
      </c>
      <c r="AX645" t="s">
        <v>160</v>
      </c>
      <c r="AY645" t="s">
        <v>159</v>
      </c>
      <c r="AZ645" t="s">
        <v>159</v>
      </c>
      <c r="BA645" t="s">
        <v>159</v>
      </c>
      <c r="BB645" t="s">
        <v>181</v>
      </c>
      <c r="BC645" t="s">
        <v>160</v>
      </c>
      <c r="BD645" t="s">
        <v>2621</v>
      </c>
      <c r="BE645" t="s">
        <v>2662</v>
      </c>
      <c r="BF645" t="s">
        <v>159</v>
      </c>
    </row>
    <row r="646" spans="1:59" ht="13" x14ac:dyDescent="0.15">
      <c r="A646" s="4">
        <v>44286.937800925924</v>
      </c>
      <c r="B646" s="4">
        <v>44287.136608796296</v>
      </c>
      <c r="C646" t="s">
        <v>39</v>
      </c>
      <c r="D646" t="s">
        <v>2663</v>
      </c>
      <c r="E646">
        <v>100</v>
      </c>
      <c r="F646">
        <v>17176</v>
      </c>
      <c r="G646" t="b">
        <v>1</v>
      </c>
      <c r="H646" s="4">
        <v>44287.136608796296</v>
      </c>
      <c r="I646" t="s">
        <v>2664</v>
      </c>
      <c r="N646">
        <v>47.1036987304687</v>
      </c>
      <c r="O646">
        <v>-122.32350158691401</v>
      </c>
      <c r="P646" t="s">
        <v>153</v>
      </c>
      <c r="Q646" t="s">
        <v>154</v>
      </c>
      <c r="R646" t="s">
        <v>155</v>
      </c>
      <c r="S646" t="s">
        <v>156</v>
      </c>
      <c r="T646" t="s">
        <v>263</v>
      </c>
      <c r="U646" t="s">
        <v>2665</v>
      </c>
      <c r="V646" t="s">
        <v>159</v>
      </c>
      <c r="W646" t="s">
        <v>160</v>
      </c>
      <c r="X646" t="s">
        <v>160</v>
      </c>
      <c r="Y646" t="s">
        <v>160</v>
      </c>
      <c r="Z646" t="s">
        <v>160</v>
      </c>
      <c r="AA646" t="s">
        <v>159</v>
      </c>
      <c r="AB646" t="s">
        <v>160</v>
      </c>
      <c r="AC646" t="s">
        <v>160</v>
      </c>
      <c r="AD646" t="s">
        <v>160</v>
      </c>
      <c r="AE646" t="s">
        <v>160</v>
      </c>
      <c r="AF646" t="s">
        <v>160</v>
      </c>
      <c r="AG646" t="s">
        <v>160</v>
      </c>
      <c r="AH646">
        <v>3</v>
      </c>
      <c r="AI646" t="s">
        <v>160</v>
      </c>
      <c r="AJ646" t="s">
        <v>192</v>
      </c>
      <c r="AK646" t="s">
        <v>163</v>
      </c>
      <c r="AL646" t="s">
        <v>163</v>
      </c>
      <c r="AM646" t="s">
        <v>163</v>
      </c>
      <c r="AN646" t="s">
        <v>192</v>
      </c>
      <c r="AO646" t="s">
        <v>179</v>
      </c>
      <c r="AP646" t="s">
        <v>179</v>
      </c>
      <c r="AQ646">
        <v>1990</v>
      </c>
      <c r="AR646" t="s">
        <v>160</v>
      </c>
      <c r="AS646" t="s">
        <v>159</v>
      </c>
      <c r="AT646" t="s">
        <v>180</v>
      </c>
      <c r="AU646" t="s">
        <v>159</v>
      </c>
      <c r="AV646" t="s">
        <v>159</v>
      </c>
      <c r="AW646" t="s">
        <v>159</v>
      </c>
      <c r="AX646" t="s">
        <v>160</v>
      </c>
      <c r="AY646" t="s">
        <v>159</v>
      </c>
      <c r="AZ646" t="s">
        <v>159</v>
      </c>
      <c r="BA646" t="s">
        <v>160</v>
      </c>
      <c r="BB646" t="s">
        <v>241</v>
      </c>
      <c r="BC646" t="s">
        <v>160</v>
      </c>
      <c r="BD646" t="s">
        <v>2666</v>
      </c>
      <c r="BE646" t="s">
        <v>2667</v>
      </c>
      <c r="BF646" t="s">
        <v>160</v>
      </c>
      <c r="BG646" t="s">
        <v>2667</v>
      </c>
    </row>
    <row r="647" spans="1:59" ht="13" x14ac:dyDescent="0.15">
      <c r="A647" s="4">
        <v>44287.136122685188</v>
      </c>
      <c r="B647" s="4">
        <v>44287.140011574076</v>
      </c>
      <c r="C647" t="s">
        <v>39</v>
      </c>
      <c r="D647" t="s">
        <v>2668</v>
      </c>
      <c r="E647">
        <v>100</v>
      </c>
      <c r="F647">
        <v>335</v>
      </c>
      <c r="G647" t="b">
        <v>1</v>
      </c>
      <c r="H647" s="4">
        <v>44287.140011574076</v>
      </c>
      <c r="I647" t="s">
        <v>2669</v>
      </c>
      <c r="N647">
        <v>32.643798828125</v>
      </c>
      <c r="O647">
        <v>-83.635398864745994</v>
      </c>
      <c r="P647" t="s">
        <v>153</v>
      </c>
      <c r="Q647" t="s">
        <v>154</v>
      </c>
      <c r="R647" t="s">
        <v>155</v>
      </c>
      <c r="S647" t="s">
        <v>274</v>
      </c>
      <c r="T647" t="s">
        <v>176</v>
      </c>
      <c r="U647" t="s">
        <v>368</v>
      </c>
      <c r="V647" t="s">
        <v>160</v>
      </c>
      <c r="W647" t="s">
        <v>160</v>
      </c>
      <c r="X647" t="s">
        <v>160</v>
      </c>
      <c r="Y647" t="s">
        <v>160</v>
      </c>
      <c r="Z647" t="s">
        <v>160</v>
      </c>
      <c r="AA647" t="s">
        <v>160</v>
      </c>
      <c r="AB647" t="s">
        <v>160</v>
      </c>
      <c r="AC647" t="s">
        <v>159</v>
      </c>
      <c r="AD647" t="s">
        <v>160</v>
      </c>
      <c r="AE647" t="s">
        <v>159</v>
      </c>
      <c r="AF647" t="s">
        <v>160</v>
      </c>
      <c r="AG647" t="s">
        <v>160</v>
      </c>
      <c r="AH647">
        <v>2</v>
      </c>
      <c r="AI647" t="s">
        <v>160</v>
      </c>
      <c r="AJ647" t="s">
        <v>163</v>
      </c>
      <c r="AK647" t="s">
        <v>192</v>
      </c>
      <c r="AL647" t="s">
        <v>163</v>
      </c>
      <c r="AM647" t="s">
        <v>192</v>
      </c>
      <c r="AN647" t="s">
        <v>163</v>
      </c>
      <c r="AO647" t="s">
        <v>165</v>
      </c>
      <c r="AP647" t="s">
        <v>165</v>
      </c>
      <c r="AQ647" s="9">
        <v>35802</v>
      </c>
      <c r="AR647" t="s">
        <v>160</v>
      </c>
      <c r="AS647" t="s">
        <v>160</v>
      </c>
      <c r="AT647" t="s">
        <v>180</v>
      </c>
      <c r="AU647" t="s">
        <v>159</v>
      </c>
      <c r="AV647" t="s">
        <v>159</v>
      </c>
      <c r="AW647" t="s">
        <v>159</v>
      </c>
      <c r="AX647" t="s">
        <v>160</v>
      </c>
      <c r="AY647" t="s">
        <v>159</v>
      </c>
      <c r="AZ647" t="s">
        <v>160</v>
      </c>
      <c r="BA647" t="s">
        <v>159</v>
      </c>
      <c r="BB647" t="s">
        <v>181</v>
      </c>
      <c r="BC647" t="s">
        <v>160</v>
      </c>
      <c r="BD647" t="s">
        <v>2358</v>
      </c>
      <c r="BE647" t="s">
        <v>2670</v>
      </c>
      <c r="BF647" t="s">
        <v>159</v>
      </c>
    </row>
    <row r="648" spans="1:59" ht="28" x14ac:dyDescent="0.15">
      <c r="A648" s="4">
        <v>44287.166076388887</v>
      </c>
      <c r="B648" s="4">
        <v>44287.169189814813</v>
      </c>
      <c r="C648" t="s">
        <v>39</v>
      </c>
      <c r="D648" t="s">
        <v>2671</v>
      </c>
      <c r="E648">
        <v>100</v>
      </c>
      <c r="F648">
        <v>268</v>
      </c>
      <c r="G648" t="b">
        <v>1</v>
      </c>
      <c r="H648" s="4">
        <v>44287.169189814813</v>
      </c>
      <c r="I648" t="s">
        <v>2672</v>
      </c>
      <c r="N648">
        <v>36.668304443359297</v>
      </c>
      <c r="O648">
        <v>116.997192382812</v>
      </c>
      <c r="P648" t="s">
        <v>153</v>
      </c>
      <c r="Q648" t="s">
        <v>154</v>
      </c>
      <c r="R648" t="s">
        <v>174</v>
      </c>
      <c r="S648" t="s">
        <v>274</v>
      </c>
      <c r="T648" t="s">
        <v>176</v>
      </c>
      <c r="U648" t="s">
        <v>2620</v>
      </c>
      <c r="V648" t="s">
        <v>160</v>
      </c>
      <c r="W648" t="s">
        <v>160</v>
      </c>
      <c r="X648" t="s">
        <v>160</v>
      </c>
      <c r="Y648" t="s">
        <v>160</v>
      </c>
      <c r="Z648" t="s">
        <v>159</v>
      </c>
      <c r="AA648" t="s">
        <v>159</v>
      </c>
      <c r="AB648" t="s">
        <v>159</v>
      </c>
      <c r="AC648" t="s">
        <v>160</v>
      </c>
      <c r="AD648" t="s">
        <v>159</v>
      </c>
      <c r="AE648" t="s">
        <v>160</v>
      </c>
      <c r="AF648" t="s">
        <v>159</v>
      </c>
      <c r="AG648" t="s">
        <v>159</v>
      </c>
      <c r="AH648">
        <v>1</v>
      </c>
      <c r="AI648" t="s">
        <v>160</v>
      </c>
      <c r="AJ648" t="s">
        <v>163</v>
      </c>
      <c r="AK648" t="s">
        <v>163</v>
      </c>
      <c r="AL648" t="s">
        <v>192</v>
      </c>
      <c r="AM648" t="s">
        <v>163</v>
      </c>
      <c r="AN648" t="s">
        <v>163</v>
      </c>
      <c r="AO648" t="s">
        <v>179</v>
      </c>
      <c r="AP648" t="s">
        <v>179</v>
      </c>
      <c r="AQ648">
        <v>21</v>
      </c>
      <c r="AR648" t="s">
        <v>160</v>
      </c>
      <c r="AS648" t="s">
        <v>159</v>
      </c>
      <c r="AT648" t="s">
        <v>322</v>
      </c>
      <c r="AU648" t="s">
        <v>159</v>
      </c>
      <c r="AV648" t="s">
        <v>159</v>
      </c>
      <c r="AW648" t="s">
        <v>159</v>
      </c>
      <c r="AX648" t="s">
        <v>159</v>
      </c>
      <c r="AY648" t="s">
        <v>159</v>
      </c>
      <c r="AZ648" t="s">
        <v>159</v>
      </c>
      <c r="BA648" t="s">
        <v>159</v>
      </c>
      <c r="BB648" t="s">
        <v>167</v>
      </c>
      <c r="BC648" t="s">
        <v>159</v>
      </c>
      <c r="BD648" t="s">
        <v>2673</v>
      </c>
      <c r="BE648" t="s">
        <v>2674</v>
      </c>
      <c r="BF648" t="s">
        <v>160</v>
      </c>
      <c r="BG648" s="5" t="s">
        <v>2675</v>
      </c>
    </row>
    <row r="649" spans="1:59" ht="28" x14ac:dyDescent="0.15">
      <c r="A649" s="4">
        <v>44287.172951388886</v>
      </c>
      <c r="B649" s="4">
        <v>44287.175069444442</v>
      </c>
      <c r="C649" t="s">
        <v>39</v>
      </c>
      <c r="D649" t="s">
        <v>2671</v>
      </c>
      <c r="E649">
        <v>100</v>
      </c>
      <c r="F649">
        <v>183</v>
      </c>
      <c r="G649" t="b">
        <v>1</v>
      </c>
      <c r="H649" s="4">
        <v>44287.175069444442</v>
      </c>
      <c r="I649" t="s">
        <v>2676</v>
      </c>
      <c r="N649">
        <v>36.668304443359297</v>
      </c>
      <c r="O649">
        <v>116.997192382812</v>
      </c>
      <c r="P649" t="s">
        <v>153</v>
      </c>
      <c r="Q649" t="s">
        <v>154</v>
      </c>
      <c r="R649" t="s">
        <v>174</v>
      </c>
      <c r="S649" t="s">
        <v>310</v>
      </c>
      <c r="T649" t="s">
        <v>2254</v>
      </c>
      <c r="U649" t="s">
        <v>2580</v>
      </c>
      <c r="V649" t="s">
        <v>160</v>
      </c>
      <c r="W649" t="s">
        <v>160</v>
      </c>
      <c r="X649" t="s">
        <v>159</v>
      </c>
      <c r="Y649" t="s">
        <v>159</v>
      </c>
      <c r="Z649" t="s">
        <v>160</v>
      </c>
      <c r="AA649" t="s">
        <v>159</v>
      </c>
      <c r="AB649" t="s">
        <v>159</v>
      </c>
      <c r="AC649" t="s">
        <v>159</v>
      </c>
      <c r="AD649" t="s">
        <v>159</v>
      </c>
      <c r="AE649" t="s">
        <v>160</v>
      </c>
      <c r="AF649" t="s">
        <v>160</v>
      </c>
      <c r="AG649" t="s">
        <v>160</v>
      </c>
      <c r="AH649">
        <v>2</v>
      </c>
      <c r="AI649" t="s">
        <v>160</v>
      </c>
      <c r="AJ649" t="s">
        <v>163</v>
      </c>
      <c r="AK649" t="s">
        <v>163</v>
      </c>
      <c r="AL649" t="s">
        <v>163</v>
      </c>
      <c r="AM649" t="s">
        <v>163</v>
      </c>
      <c r="AN649" t="s">
        <v>163</v>
      </c>
      <c r="AO649" t="s">
        <v>165</v>
      </c>
      <c r="AP649" t="s">
        <v>165</v>
      </c>
      <c r="AQ649">
        <v>2000</v>
      </c>
      <c r="AR649" t="s">
        <v>160</v>
      </c>
      <c r="AS649" t="s">
        <v>159</v>
      </c>
      <c r="AT649" t="s">
        <v>322</v>
      </c>
      <c r="AU649" t="s">
        <v>159</v>
      </c>
      <c r="AV649" t="s">
        <v>159</v>
      </c>
      <c r="AW649" t="s">
        <v>159</v>
      </c>
      <c r="AX649" t="s">
        <v>159</v>
      </c>
      <c r="AY649" t="s">
        <v>159</v>
      </c>
      <c r="AZ649" t="s">
        <v>159</v>
      </c>
      <c r="BA649" t="s">
        <v>159</v>
      </c>
      <c r="BB649" t="s">
        <v>167</v>
      </c>
      <c r="BC649" t="s">
        <v>160</v>
      </c>
      <c r="BD649" t="s">
        <v>193</v>
      </c>
      <c r="BE649" t="s">
        <v>2677</v>
      </c>
      <c r="BF649" t="s">
        <v>160</v>
      </c>
      <c r="BG649" s="5" t="s">
        <v>2678</v>
      </c>
    </row>
    <row r="650" spans="1:59" ht="13" x14ac:dyDescent="0.15">
      <c r="A650" s="4">
        <v>44287.174085648148</v>
      </c>
      <c r="B650" s="4">
        <v>44287.182662037034</v>
      </c>
      <c r="C650" t="s">
        <v>39</v>
      </c>
      <c r="D650" t="s">
        <v>2679</v>
      </c>
      <c r="E650">
        <v>100</v>
      </c>
      <c r="F650">
        <v>740</v>
      </c>
      <c r="G650" t="b">
        <v>1</v>
      </c>
      <c r="H650" s="4">
        <v>44287.182662037034</v>
      </c>
      <c r="I650" t="s">
        <v>2680</v>
      </c>
      <c r="N650">
        <v>42.331497192382798</v>
      </c>
      <c r="O650">
        <v>-83.342498779296804</v>
      </c>
      <c r="P650" t="s">
        <v>153</v>
      </c>
      <c r="Q650" t="s">
        <v>154</v>
      </c>
      <c r="R650" t="s">
        <v>174</v>
      </c>
      <c r="S650" t="s">
        <v>208</v>
      </c>
      <c r="T650" t="s">
        <v>263</v>
      </c>
      <c r="U650" t="s">
        <v>976</v>
      </c>
      <c r="V650" t="s">
        <v>160</v>
      </c>
      <c r="W650" t="s">
        <v>159</v>
      </c>
      <c r="X650" t="s">
        <v>160</v>
      </c>
      <c r="Y650" t="s">
        <v>160</v>
      </c>
      <c r="Z650" t="s">
        <v>160</v>
      </c>
      <c r="AA650" t="s">
        <v>159</v>
      </c>
      <c r="AB650" t="s">
        <v>160</v>
      </c>
      <c r="AC650" t="s">
        <v>160</v>
      </c>
      <c r="AD650" t="s">
        <v>159</v>
      </c>
      <c r="AE650" t="s">
        <v>159</v>
      </c>
      <c r="AF650" t="s">
        <v>160</v>
      </c>
      <c r="AG650" t="s">
        <v>160</v>
      </c>
      <c r="AH650">
        <v>3</v>
      </c>
      <c r="AI650" t="s">
        <v>160</v>
      </c>
      <c r="AJ650" t="s">
        <v>163</v>
      </c>
      <c r="AK650" t="s">
        <v>192</v>
      </c>
      <c r="AL650" t="s">
        <v>162</v>
      </c>
      <c r="AM650" t="s">
        <v>164</v>
      </c>
      <c r="AN650" t="s">
        <v>192</v>
      </c>
      <c r="AO650" t="s">
        <v>179</v>
      </c>
      <c r="AP650" t="s">
        <v>179</v>
      </c>
      <c r="AQ650">
        <v>1998</v>
      </c>
      <c r="AR650" t="s">
        <v>160</v>
      </c>
      <c r="AS650" t="s">
        <v>159</v>
      </c>
      <c r="AT650" t="s">
        <v>180</v>
      </c>
      <c r="AU650" t="s">
        <v>159</v>
      </c>
      <c r="AV650" t="s">
        <v>159</v>
      </c>
      <c r="AW650" t="s">
        <v>159</v>
      </c>
      <c r="AX650" t="s">
        <v>159</v>
      </c>
      <c r="AY650" t="s">
        <v>159</v>
      </c>
      <c r="AZ650" t="s">
        <v>159</v>
      </c>
      <c r="BA650" t="s">
        <v>159</v>
      </c>
      <c r="BB650" t="s">
        <v>181</v>
      </c>
      <c r="BC650" t="s">
        <v>160</v>
      </c>
      <c r="BD650" t="s">
        <v>620</v>
      </c>
      <c r="BE650" t="s">
        <v>869</v>
      </c>
      <c r="BF650" t="s">
        <v>159</v>
      </c>
    </row>
    <row r="651" spans="1:59" ht="13" x14ac:dyDescent="0.15">
      <c r="A651" s="4">
        <v>44287.184039351851</v>
      </c>
      <c r="B651" s="4">
        <v>44287.18546296296</v>
      </c>
      <c r="C651" t="s">
        <v>39</v>
      </c>
      <c r="D651" t="s">
        <v>2681</v>
      </c>
      <c r="E651">
        <v>100</v>
      </c>
      <c r="F651">
        <v>123</v>
      </c>
      <c r="G651" t="b">
        <v>1</v>
      </c>
      <c r="H651" s="4">
        <v>44287.185474537036</v>
      </c>
      <c r="I651" t="s">
        <v>2682</v>
      </c>
      <c r="N651">
        <v>36.5036010742187</v>
      </c>
      <c r="O651">
        <v>-79.758003234863196</v>
      </c>
      <c r="P651" t="s">
        <v>153</v>
      </c>
      <c r="Q651" t="s">
        <v>154</v>
      </c>
      <c r="R651" t="s">
        <v>155</v>
      </c>
      <c r="S651" t="s">
        <v>175</v>
      </c>
      <c r="T651" t="s">
        <v>176</v>
      </c>
      <c r="U651" t="s">
        <v>2553</v>
      </c>
      <c r="V651" t="s">
        <v>160</v>
      </c>
      <c r="W651" t="s">
        <v>159</v>
      </c>
      <c r="X651" t="s">
        <v>160</v>
      </c>
      <c r="Y651" t="s">
        <v>160</v>
      </c>
      <c r="Z651" t="s">
        <v>160</v>
      </c>
      <c r="AA651" t="s">
        <v>159</v>
      </c>
      <c r="AB651" t="s">
        <v>160</v>
      </c>
      <c r="AC651" t="s">
        <v>160</v>
      </c>
      <c r="AD651" t="s">
        <v>159</v>
      </c>
      <c r="AE651" t="s">
        <v>160</v>
      </c>
      <c r="AF651" t="s">
        <v>160</v>
      </c>
      <c r="AG651" t="s">
        <v>160</v>
      </c>
      <c r="AH651">
        <v>5</v>
      </c>
      <c r="AI651" t="s">
        <v>160</v>
      </c>
      <c r="AJ651" t="s">
        <v>164</v>
      </c>
      <c r="AK651" t="s">
        <v>163</v>
      </c>
      <c r="AL651" t="s">
        <v>192</v>
      </c>
      <c r="AM651" t="s">
        <v>162</v>
      </c>
      <c r="AN651" t="s">
        <v>164</v>
      </c>
      <c r="AO651" t="s">
        <v>165</v>
      </c>
      <c r="AP651" t="s">
        <v>165</v>
      </c>
      <c r="AQ651">
        <v>1992</v>
      </c>
      <c r="AR651" t="s">
        <v>160</v>
      </c>
      <c r="AS651" t="s">
        <v>159</v>
      </c>
      <c r="AT651" t="s">
        <v>180</v>
      </c>
      <c r="AU651" t="s">
        <v>159</v>
      </c>
      <c r="AV651" t="s">
        <v>159</v>
      </c>
      <c r="AW651" t="s">
        <v>159</v>
      </c>
      <c r="AX651" t="s">
        <v>159</v>
      </c>
      <c r="AY651" t="s">
        <v>159</v>
      </c>
      <c r="AZ651" t="s">
        <v>159</v>
      </c>
      <c r="BA651" t="s">
        <v>159</v>
      </c>
      <c r="BB651" t="s">
        <v>241</v>
      </c>
      <c r="BC651" t="s">
        <v>159</v>
      </c>
      <c r="BD651" t="s">
        <v>2683</v>
      </c>
      <c r="BE651" t="s">
        <v>916</v>
      </c>
      <c r="BF651" t="s">
        <v>159</v>
      </c>
    </row>
    <row r="652" spans="1:59" ht="13" x14ac:dyDescent="0.15">
      <c r="A652" s="4">
        <v>44287.795902777776</v>
      </c>
      <c r="B652" s="4">
        <v>44287.798263888886</v>
      </c>
      <c r="C652" t="s">
        <v>39</v>
      </c>
      <c r="D652" t="s">
        <v>2684</v>
      </c>
      <c r="E652">
        <v>100</v>
      </c>
      <c r="F652">
        <v>204</v>
      </c>
      <c r="G652" t="b">
        <v>1</v>
      </c>
      <c r="H652" s="4">
        <v>44287.798275462963</v>
      </c>
      <c r="I652" t="s">
        <v>2685</v>
      </c>
      <c r="N652">
        <v>37.767593383788999</v>
      </c>
      <c r="O652">
        <v>-92.210502624511705</v>
      </c>
      <c r="P652" t="s">
        <v>153</v>
      </c>
      <c r="Q652" t="s">
        <v>154</v>
      </c>
      <c r="R652" t="s">
        <v>174</v>
      </c>
      <c r="S652" t="s">
        <v>274</v>
      </c>
      <c r="T652" t="s">
        <v>176</v>
      </c>
      <c r="U652" t="s">
        <v>2553</v>
      </c>
      <c r="V652" t="s">
        <v>160</v>
      </c>
      <c r="W652" t="s">
        <v>160</v>
      </c>
      <c r="X652" t="s">
        <v>160</v>
      </c>
      <c r="Y652" t="s">
        <v>160</v>
      </c>
      <c r="Z652" t="s">
        <v>160</v>
      </c>
      <c r="AA652" t="s">
        <v>159</v>
      </c>
      <c r="AB652" t="s">
        <v>160</v>
      </c>
      <c r="AC652" t="s">
        <v>160</v>
      </c>
      <c r="AD652" t="s">
        <v>159</v>
      </c>
      <c r="AE652" t="s">
        <v>160</v>
      </c>
      <c r="AF652" t="s">
        <v>159</v>
      </c>
      <c r="AG652" t="s">
        <v>160</v>
      </c>
      <c r="AH652">
        <v>4</v>
      </c>
      <c r="AI652" t="s">
        <v>160</v>
      </c>
      <c r="AJ652" t="s">
        <v>192</v>
      </c>
      <c r="AK652" t="s">
        <v>163</v>
      </c>
      <c r="AL652" t="s">
        <v>192</v>
      </c>
      <c r="AM652" t="s">
        <v>164</v>
      </c>
      <c r="AN652" t="s">
        <v>163</v>
      </c>
      <c r="AO652" t="s">
        <v>179</v>
      </c>
      <c r="AP652" t="s">
        <v>179</v>
      </c>
      <c r="AQ652">
        <v>2000</v>
      </c>
      <c r="AR652" t="s">
        <v>160</v>
      </c>
      <c r="AS652" t="s">
        <v>160</v>
      </c>
      <c r="AT652" t="s">
        <v>210</v>
      </c>
      <c r="AU652" t="s">
        <v>160</v>
      </c>
      <c r="AV652" t="s">
        <v>159</v>
      </c>
      <c r="AW652" t="s">
        <v>160</v>
      </c>
      <c r="AX652" t="s">
        <v>160</v>
      </c>
      <c r="AY652" t="s">
        <v>159</v>
      </c>
      <c r="AZ652" t="s">
        <v>160</v>
      </c>
      <c r="BA652" t="s">
        <v>159</v>
      </c>
      <c r="BB652" t="s">
        <v>241</v>
      </c>
      <c r="BC652" t="s">
        <v>160</v>
      </c>
      <c r="BD652" t="s">
        <v>159</v>
      </c>
      <c r="BE652" t="s">
        <v>2686</v>
      </c>
      <c r="BF652" t="s">
        <v>160</v>
      </c>
      <c r="BG652" t="s">
        <v>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workbookViewId="0">
      <pane ySplit="2" topLeftCell="A3" activePane="bottomLeft" state="frozen"/>
      <selection activeCell="AY1" sqref="AY1"/>
      <selection pane="bottomLeft" activeCell="D2" sqref="D2"/>
    </sheetView>
  </sheetViews>
  <sheetFormatPr baseColWidth="10" defaultColWidth="11.5" defaultRowHeight="13" x14ac:dyDescent="0.15"/>
  <cols>
    <col min="1" max="2" width="11.5" bestFit="1" customWidth="1"/>
    <col min="8" max="9" width="11.5" bestFit="1" customWidth="1"/>
    <col min="12" max="12" width="32.83203125" customWidth="1"/>
    <col min="15" max="15" width="42.83203125" customWidth="1"/>
    <col min="17" max="17" width="16.5" customWidth="1"/>
    <col min="37" max="37" width="11.5" bestFit="1" customWidth="1"/>
    <col min="50" max="50" width="62.5" bestFit="1" customWidth="1"/>
    <col min="51" max="51" width="31.1640625" customWidth="1"/>
  </cols>
  <sheetData>
    <row r="1" spans="1:55" ht="15.75" customHeight="1" x14ac:dyDescent="0.15">
      <c r="A1" s="1" t="s">
        <v>5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>
        <v>10</v>
      </c>
      <c r="AB1" s="1">
        <v>11</v>
      </c>
      <c r="AC1" s="1">
        <v>12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>
        <v>15</v>
      </c>
      <c r="AJ1" s="1">
        <v>16</v>
      </c>
      <c r="AK1" s="1">
        <v>17</v>
      </c>
      <c r="AL1" s="1">
        <v>18</v>
      </c>
      <c r="AM1" s="1">
        <v>19</v>
      </c>
      <c r="AN1" s="1">
        <v>20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>
        <v>22</v>
      </c>
      <c r="AW1" s="1">
        <v>23</v>
      </c>
      <c r="AX1" s="1">
        <v>24</v>
      </c>
      <c r="AY1" s="1">
        <v>26</v>
      </c>
    </row>
    <row r="2" spans="1:55" ht="66.75" customHeight="1" x14ac:dyDescent="0.2">
      <c r="A2" s="23" t="s">
        <v>5</v>
      </c>
      <c r="B2" s="24" t="s">
        <v>6</v>
      </c>
      <c r="C2" s="24" t="s">
        <v>41</v>
      </c>
      <c r="D2" s="24" t="s">
        <v>42</v>
      </c>
      <c r="E2" s="24" t="s">
        <v>43</v>
      </c>
      <c r="F2" s="24" t="s">
        <v>44</v>
      </c>
      <c r="G2" s="24" t="s">
        <v>45</v>
      </c>
      <c r="H2" s="15" t="s">
        <v>46</v>
      </c>
      <c r="I2" s="15" t="s">
        <v>47</v>
      </c>
      <c r="J2" s="15" t="s">
        <v>48</v>
      </c>
      <c r="K2" s="15" t="s">
        <v>49</v>
      </c>
      <c r="L2" s="15" t="s">
        <v>50</v>
      </c>
      <c r="M2" s="15" t="s">
        <v>51</v>
      </c>
      <c r="N2" s="15" t="s">
        <v>52</v>
      </c>
      <c r="O2" s="15" t="s">
        <v>53</v>
      </c>
      <c r="P2" s="20" t="s">
        <v>54</v>
      </c>
      <c r="Q2" s="20" t="s">
        <v>55</v>
      </c>
      <c r="R2" s="20" t="s">
        <v>56</v>
      </c>
      <c r="S2" s="20" t="s">
        <v>57</v>
      </c>
      <c r="T2" s="20" t="s">
        <v>58</v>
      </c>
      <c r="U2" s="20" t="s">
        <v>59</v>
      </c>
      <c r="V2" s="20" t="s">
        <v>60</v>
      </c>
      <c r="W2" s="20" t="s">
        <v>61</v>
      </c>
      <c r="X2" s="20" t="s">
        <v>62</v>
      </c>
      <c r="Y2" s="20" t="s">
        <v>63</v>
      </c>
      <c r="Z2" s="20" t="s">
        <v>64</v>
      </c>
      <c r="AA2" s="20" t="s">
        <v>65</v>
      </c>
      <c r="AB2" s="20" t="s">
        <v>66</v>
      </c>
      <c r="AC2" s="20" t="s">
        <v>67</v>
      </c>
      <c r="AD2" s="15" t="s">
        <v>68</v>
      </c>
      <c r="AE2" s="15" t="s">
        <v>69</v>
      </c>
      <c r="AF2" s="15" t="s">
        <v>70</v>
      </c>
      <c r="AG2" s="15" t="s">
        <v>71</v>
      </c>
      <c r="AH2" s="16" t="s">
        <v>72</v>
      </c>
      <c r="AI2" s="15" t="s">
        <v>73</v>
      </c>
      <c r="AJ2" s="15" t="s">
        <v>74</v>
      </c>
      <c r="AK2" s="15" t="s">
        <v>75</v>
      </c>
      <c r="AL2" s="15" t="s">
        <v>76</v>
      </c>
      <c r="AM2" s="15" t="s">
        <v>77</v>
      </c>
      <c r="AN2" s="15" t="s">
        <v>78</v>
      </c>
      <c r="AO2" s="15" t="s">
        <v>79</v>
      </c>
      <c r="AP2" s="15" t="s">
        <v>80</v>
      </c>
      <c r="AQ2" s="15" t="s">
        <v>81</v>
      </c>
      <c r="AR2" s="15" t="s">
        <v>82</v>
      </c>
      <c r="AS2" s="15" t="s">
        <v>83</v>
      </c>
      <c r="AT2" s="15" t="s">
        <v>84</v>
      </c>
      <c r="AU2" s="15" t="s">
        <v>85</v>
      </c>
      <c r="AV2" s="15" t="s">
        <v>86</v>
      </c>
      <c r="AW2" s="15" t="s">
        <v>87</v>
      </c>
      <c r="AX2" s="15" t="s">
        <v>88</v>
      </c>
      <c r="AY2" s="15" t="s">
        <v>90</v>
      </c>
      <c r="AZ2" s="5"/>
    </row>
    <row r="3" spans="1:55" ht="15.75" customHeight="1" x14ac:dyDescent="0.2">
      <c r="A3" s="23" t="s">
        <v>97</v>
      </c>
      <c r="B3" s="23" t="s">
        <v>98</v>
      </c>
      <c r="C3" s="23" t="s">
        <v>100</v>
      </c>
      <c r="D3" s="23" t="s">
        <v>101</v>
      </c>
      <c r="E3" s="23" t="s">
        <v>102</v>
      </c>
      <c r="F3" s="23" t="s">
        <v>103</v>
      </c>
      <c r="G3" s="23" t="s">
        <v>104</v>
      </c>
      <c r="H3" s="1" t="s">
        <v>105</v>
      </c>
      <c r="I3" s="1" t="s">
        <v>106</v>
      </c>
      <c r="J3" s="1" t="s">
        <v>107</v>
      </c>
      <c r="K3" s="1" t="s">
        <v>108</v>
      </c>
      <c r="L3" s="1" t="s">
        <v>109</v>
      </c>
      <c r="M3" s="1" t="s">
        <v>110</v>
      </c>
      <c r="N3" s="1" t="s">
        <v>111</v>
      </c>
      <c r="O3" s="1" t="s">
        <v>112</v>
      </c>
      <c r="P3" s="21" t="s">
        <v>113</v>
      </c>
      <c r="Q3" s="21" t="s">
        <v>114</v>
      </c>
      <c r="R3" s="21" t="s">
        <v>115</v>
      </c>
      <c r="S3" s="21" t="s">
        <v>116</v>
      </c>
      <c r="T3" s="21" t="s">
        <v>117</v>
      </c>
      <c r="U3" s="21" t="s">
        <v>118</v>
      </c>
      <c r="V3" s="21" t="s">
        <v>119</v>
      </c>
      <c r="W3" s="21" t="s">
        <v>120</v>
      </c>
      <c r="X3" s="21" t="s">
        <v>121</v>
      </c>
      <c r="Y3" s="21" t="s">
        <v>122</v>
      </c>
      <c r="Z3" s="21" t="s">
        <v>123</v>
      </c>
      <c r="AA3" s="21" t="s">
        <v>124</v>
      </c>
      <c r="AB3" s="21" t="s">
        <v>125</v>
      </c>
      <c r="AC3" s="21" t="s">
        <v>126</v>
      </c>
      <c r="AD3" s="1" t="s">
        <v>127</v>
      </c>
      <c r="AE3" s="1" t="s">
        <v>128</v>
      </c>
      <c r="AF3" s="1" t="s">
        <v>129</v>
      </c>
      <c r="AG3" s="1" t="s">
        <v>130</v>
      </c>
      <c r="AH3" s="17" t="s">
        <v>131</v>
      </c>
      <c r="AI3" s="1" t="s">
        <v>132</v>
      </c>
      <c r="AJ3" s="1" t="s">
        <v>133</v>
      </c>
      <c r="AK3" s="1" t="s">
        <v>134</v>
      </c>
      <c r="AL3" s="1" t="s">
        <v>135</v>
      </c>
      <c r="AM3" s="1" t="s">
        <v>136</v>
      </c>
      <c r="AN3" s="1" t="s">
        <v>137</v>
      </c>
      <c r="AO3" s="1" t="s">
        <v>138</v>
      </c>
      <c r="AP3" s="1" t="s">
        <v>139</v>
      </c>
      <c r="AQ3" s="1" t="s">
        <v>140</v>
      </c>
      <c r="AR3" s="1" t="s">
        <v>141</v>
      </c>
      <c r="AS3" s="1" t="s">
        <v>142</v>
      </c>
      <c r="AT3" s="1" t="s">
        <v>143</v>
      </c>
      <c r="AU3" s="1" t="s">
        <v>144</v>
      </c>
      <c r="AV3" s="1" t="s">
        <v>145</v>
      </c>
      <c r="AW3" s="1" t="s">
        <v>146</v>
      </c>
      <c r="AX3" s="1" t="s">
        <v>147</v>
      </c>
      <c r="AY3" s="1" t="s">
        <v>149</v>
      </c>
    </row>
    <row r="4" spans="1:55" ht="15.75" customHeight="1" x14ac:dyDescent="0.2">
      <c r="A4" s="23">
        <f>205/60</f>
        <v>3.4166666666666665</v>
      </c>
      <c r="B4" s="23" t="b">
        <v>1</v>
      </c>
      <c r="C4" s="23" t="s">
        <v>173</v>
      </c>
      <c r="D4" s="25"/>
      <c r="E4" s="25"/>
      <c r="F4" s="25"/>
      <c r="G4" s="25"/>
      <c r="H4" s="1">
        <v>35.083694459999997</v>
      </c>
      <c r="I4" s="1">
        <v>-80.664596560000007</v>
      </c>
      <c r="J4" s="1" t="s">
        <v>153</v>
      </c>
      <c r="K4" s="1" t="s">
        <v>154</v>
      </c>
      <c r="L4" s="1" t="s">
        <v>174</v>
      </c>
      <c r="M4" s="1" t="s">
        <v>175</v>
      </c>
      <c r="N4" s="1" t="s">
        <v>176</v>
      </c>
      <c r="O4" s="1" t="s">
        <v>177</v>
      </c>
      <c r="P4" s="21" t="s">
        <v>160</v>
      </c>
      <c r="Q4" s="21" t="s">
        <v>159</v>
      </c>
      <c r="R4" s="21" t="s">
        <v>159</v>
      </c>
      <c r="S4" s="21" t="s">
        <v>159</v>
      </c>
      <c r="T4" s="21" t="s">
        <v>159</v>
      </c>
      <c r="U4" s="21" t="s">
        <v>159</v>
      </c>
      <c r="V4" s="21" t="s">
        <v>159</v>
      </c>
      <c r="W4" s="21" t="s">
        <v>159</v>
      </c>
      <c r="X4" s="21"/>
      <c r="Y4" s="21" t="s">
        <v>159</v>
      </c>
      <c r="Z4" s="21" t="s">
        <v>159</v>
      </c>
      <c r="AA4" s="21" t="s">
        <v>159</v>
      </c>
      <c r="AB4" s="21" t="s">
        <v>178</v>
      </c>
      <c r="AC4" s="21" t="s">
        <v>159</v>
      </c>
      <c r="AD4" s="1" t="s">
        <v>162</v>
      </c>
      <c r="AE4" s="1" t="s">
        <v>163</v>
      </c>
      <c r="AF4" s="1" t="s">
        <v>162</v>
      </c>
      <c r="AG4" s="1" t="s">
        <v>162</v>
      </c>
      <c r="AH4" s="17" t="s">
        <v>163</v>
      </c>
      <c r="AI4" s="1" t="s">
        <v>179</v>
      </c>
      <c r="AJ4" s="1" t="s">
        <v>179</v>
      </c>
      <c r="AK4" s="1">
        <v>1998</v>
      </c>
      <c r="AL4" s="1" t="s">
        <v>160</v>
      </c>
      <c r="AM4" s="1" t="s">
        <v>159</v>
      </c>
      <c r="AN4" s="1" t="s">
        <v>180</v>
      </c>
      <c r="AO4" s="1" t="s">
        <v>159</v>
      </c>
      <c r="AP4" s="1" t="s">
        <v>159</v>
      </c>
      <c r="AQ4" s="1" t="s">
        <v>159</v>
      </c>
      <c r="AR4" s="1" t="s">
        <v>159</v>
      </c>
      <c r="AS4" s="1" t="s">
        <v>159</v>
      </c>
      <c r="AT4" s="1" t="s">
        <v>159</v>
      </c>
      <c r="AU4" s="1" t="s">
        <v>159</v>
      </c>
      <c r="AV4" s="1" t="s">
        <v>181</v>
      </c>
      <c r="AW4" s="1" t="s">
        <v>159</v>
      </c>
      <c r="AX4" s="1" t="s">
        <v>182</v>
      </c>
      <c r="AY4" s="1" t="s">
        <v>159</v>
      </c>
    </row>
    <row r="5" spans="1:55" ht="15.75" customHeight="1" x14ac:dyDescent="0.2">
      <c r="A5" s="26">
        <f>193/60</f>
        <v>3.2166666666666668</v>
      </c>
      <c r="B5" s="26" t="b">
        <v>1</v>
      </c>
      <c r="C5" s="26" t="s">
        <v>185</v>
      </c>
      <c r="D5" s="26"/>
      <c r="E5" s="26"/>
      <c r="F5" s="26"/>
      <c r="G5" s="26"/>
      <c r="H5" s="12">
        <v>33.747406009999999</v>
      </c>
      <c r="I5" s="12">
        <v>-84.374702450000001</v>
      </c>
      <c r="J5" s="12" t="s">
        <v>153</v>
      </c>
      <c r="K5" s="12" t="s">
        <v>154</v>
      </c>
      <c r="L5" s="12" t="s">
        <v>174</v>
      </c>
      <c r="M5" s="12" t="s">
        <v>175</v>
      </c>
      <c r="N5" s="12" t="s">
        <v>176</v>
      </c>
      <c r="O5" s="12" t="s">
        <v>186</v>
      </c>
      <c r="P5" s="22" t="s">
        <v>159</v>
      </c>
      <c r="Q5" s="22" t="s">
        <v>159</v>
      </c>
      <c r="R5" s="22" t="s">
        <v>160</v>
      </c>
      <c r="S5" s="22" t="s">
        <v>160</v>
      </c>
      <c r="T5" s="22" t="s">
        <v>159</v>
      </c>
      <c r="U5" s="22" t="s">
        <v>159</v>
      </c>
      <c r="V5" s="22" t="s">
        <v>159</v>
      </c>
      <c r="W5" s="22"/>
      <c r="X5" s="22" t="s">
        <v>160</v>
      </c>
      <c r="Y5" s="22" t="s">
        <v>160</v>
      </c>
      <c r="Z5" s="22" t="s">
        <v>160</v>
      </c>
      <c r="AA5" s="22" t="s">
        <v>160</v>
      </c>
      <c r="AB5" s="22">
        <v>4</v>
      </c>
      <c r="AC5" s="22" t="s">
        <v>160</v>
      </c>
      <c r="AD5" s="12" t="s">
        <v>163</v>
      </c>
      <c r="AE5" s="12" t="s">
        <v>163</v>
      </c>
      <c r="AF5" s="12" t="s">
        <v>163</v>
      </c>
      <c r="AG5" s="12" t="s">
        <v>163</v>
      </c>
      <c r="AH5" s="18" t="s">
        <v>163</v>
      </c>
      <c r="AI5" s="12" t="s">
        <v>165</v>
      </c>
      <c r="AJ5" s="12" t="s">
        <v>165</v>
      </c>
      <c r="AK5" s="12">
        <v>1999</v>
      </c>
      <c r="AL5" s="12" t="s">
        <v>160</v>
      </c>
      <c r="AM5" s="12" t="s">
        <v>159</v>
      </c>
      <c r="AN5" s="12" t="s">
        <v>180</v>
      </c>
      <c r="AO5" s="12" t="s">
        <v>159</v>
      </c>
      <c r="AP5" s="12" t="s">
        <v>159</v>
      </c>
      <c r="AQ5" s="12" t="s">
        <v>159</v>
      </c>
      <c r="AR5" s="12" t="s">
        <v>159</v>
      </c>
      <c r="AS5" s="12" t="s">
        <v>159</v>
      </c>
      <c r="AT5" s="12" t="s">
        <v>159</v>
      </c>
      <c r="AU5" s="12" t="s">
        <v>159</v>
      </c>
      <c r="AV5" s="12" t="s">
        <v>167</v>
      </c>
      <c r="AW5" s="12" t="s">
        <v>160</v>
      </c>
      <c r="AX5" s="12" t="s">
        <v>193</v>
      </c>
      <c r="AY5" s="12" t="s">
        <v>160</v>
      </c>
      <c r="AZ5" s="12"/>
      <c r="BA5" s="12"/>
      <c r="BB5" s="12"/>
      <c r="BC5" s="12"/>
    </row>
    <row r="6" spans="1:55" ht="15.75" customHeight="1" x14ac:dyDescent="0.2">
      <c r="A6" s="23">
        <v>253</v>
      </c>
      <c r="B6" s="23" t="b">
        <v>1</v>
      </c>
      <c r="C6" s="23" t="s">
        <v>190</v>
      </c>
      <c r="D6" s="25"/>
      <c r="E6" s="25"/>
      <c r="F6" s="25"/>
      <c r="G6" s="25"/>
      <c r="H6" s="1">
        <v>35.284301759999998</v>
      </c>
      <c r="I6" s="1">
        <v>-80.760002139999997</v>
      </c>
      <c r="J6" s="1" t="s">
        <v>153</v>
      </c>
      <c r="K6" s="1" t="s">
        <v>154</v>
      </c>
      <c r="L6" s="1" t="s">
        <v>174</v>
      </c>
      <c r="M6" s="1" t="s">
        <v>175</v>
      </c>
      <c r="N6" s="1" t="s">
        <v>176</v>
      </c>
      <c r="O6" s="1" t="s">
        <v>191</v>
      </c>
      <c r="P6" s="21" t="s">
        <v>160</v>
      </c>
      <c r="Q6" s="21" t="s">
        <v>159</v>
      </c>
      <c r="R6" s="21" t="s">
        <v>159</v>
      </c>
      <c r="S6" s="21" t="s">
        <v>159</v>
      </c>
      <c r="T6" s="21" t="s">
        <v>160</v>
      </c>
      <c r="U6" s="21" t="s">
        <v>159</v>
      </c>
      <c r="V6" s="21" t="s">
        <v>159</v>
      </c>
      <c r="W6" s="21" t="s">
        <v>160</v>
      </c>
      <c r="X6" s="21" t="s">
        <v>159</v>
      </c>
      <c r="Y6" s="21" t="s">
        <v>160</v>
      </c>
      <c r="Z6" s="21" t="s">
        <v>159</v>
      </c>
      <c r="AA6" s="21" t="s">
        <v>159</v>
      </c>
      <c r="AB6" s="21">
        <v>3</v>
      </c>
      <c r="AC6" s="21" t="s">
        <v>159</v>
      </c>
      <c r="AD6" s="1" t="s">
        <v>164</v>
      </c>
      <c r="AE6" s="1" t="s">
        <v>192</v>
      </c>
      <c r="AF6" s="1" t="s">
        <v>162</v>
      </c>
      <c r="AG6" s="1" t="s">
        <v>162</v>
      </c>
      <c r="AH6" s="17" t="s">
        <v>162</v>
      </c>
      <c r="AI6" s="1" t="s">
        <v>165</v>
      </c>
      <c r="AJ6" s="1" t="s">
        <v>165</v>
      </c>
      <c r="AK6" s="1">
        <v>1998</v>
      </c>
      <c r="AL6" s="1" t="s">
        <v>160</v>
      </c>
      <c r="AM6" s="1" t="s">
        <v>159</v>
      </c>
      <c r="AN6" s="1" t="s">
        <v>180</v>
      </c>
      <c r="AO6" s="1" t="s">
        <v>159</v>
      </c>
      <c r="AP6" s="1" t="s">
        <v>159</v>
      </c>
      <c r="AQ6" s="1" t="s">
        <v>159</v>
      </c>
      <c r="AR6" s="1" t="s">
        <v>159</v>
      </c>
      <c r="AS6" s="1" t="s">
        <v>160</v>
      </c>
      <c r="AT6" s="1" t="s">
        <v>160</v>
      </c>
      <c r="AU6" s="1" t="s">
        <v>159</v>
      </c>
      <c r="AV6" s="1" t="s">
        <v>181</v>
      </c>
      <c r="AW6" s="1" t="s">
        <v>159</v>
      </c>
      <c r="AX6" s="1" t="s">
        <v>193</v>
      </c>
      <c r="AY6" s="1" t="s">
        <v>159</v>
      </c>
    </row>
    <row r="7" spans="1:55" ht="15.75" customHeight="1" x14ac:dyDescent="0.2">
      <c r="A7" s="23">
        <v>267</v>
      </c>
      <c r="B7" s="23" t="b">
        <v>1</v>
      </c>
      <c r="C7" s="23" t="s">
        <v>196</v>
      </c>
      <c r="D7" s="25"/>
      <c r="E7" s="25"/>
      <c r="F7" s="25"/>
      <c r="G7" s="25"/>
      <c r="H7" s="1">
        <v>33.86540222</v>
      </c>
      <c r="I7" s="1">
        <v>-84.338500980000006</v>
      </c>
      <c r="J7" s="1" t="s">
        <v>153</v>
      </c>
      <c r="K7" s="1" t="s">
        <v>154</v>
      </c>
      <c r="L7" s="1" t="s">
        <v>174</v>
      </c>
      <c r="M7" s="1" t="s">
        <v>175</v>
      </c>
      <c r="N7" s="1" t="s">
        <v>157</v>
      </c>
      <c r="O7" s="1" t="s">
        <v>197</v>
      </c>
      <c r="P7" s="21" t="s">
        <v>160</v>
      </c>
      <c r="Q7" s="21" t="s">
        <v>159</v>
      </c>
      <c r="R7" s="21" t="s">
        <v>159</v>
      </c>
      <c r="S7" s="21" t="s">
        <v>159</v>
      </c>
      <c r="T7" s="21" t="s">
        <v>159</v>
      </c>
      <c r="U7" s="21" t="s">
        <v>159</v>
      </c>
      <c r="V7" s="21" t="s">
        <v>159</v>
      </c>
      <c r="W7" s="21" t="s">
        <v>159</v>
      </c>
      <c r="X7" s="21" t="s">
        <v>159</v>
      </c>
      <c r="Y7" s="21" t="s">
        <v>159</v>
      </c>
      <c r="Z7" s="21" t="s">
        <v>159</v>
      </c>
      <c r="AA7" s="21" t="s">
        <v>159</v>
      </c>
      <c r="AB7" s="21">
        <v>0</v>
      </c>
      <c r="AC7" s="21" t="s">
        <v>159</v>
      </c>
      <c r="AD7" s="1" t="s">
        <v>198</v>
      </c>
      <c r="AE7" s="1" t="s">
        <v>198</v>
      </c>
      <c r="AF7" s="1" t="s">
        <v>198</v>
      </c>
      <c r="AG7" s="1" t="s">
        <v>198</v>
      </c>
      <c r="AH7" s="17" t="s">
        <v>198</v>
      </c>
      <c r="AI7" s="1" t="s">
        <v>165</v>
      </c>
      <c r="AJ7" s="1" t="s">
        <v>165</v>
      </c>
      <c r="AK7" s="1">
        <v>1999</v>
      </c>
      <c r="AL7" s="1" t="s">
        <v>160</v>
      </c>
      <c r="AM7" s="1" t="s">
        <v>159</v>
      </c>
      <c r="AN7" s="1" t="s">
        <v>180</v>
      </c>
      <c r="AO7" s="1" t="s">
        <v>159</v>
      </c>
      <c r="AP7" s="1" t="s">
        <v>159</v>
      </c>
      <c r="AQ7" s="1" t="s">
        <v>159</v>
      </c>
      <c r="AS7" s="1" t="s">
        <v>159</v>
      </c>
      <c r="AT7" s="1" t="s">
        <v>159</v>
      </c>
      <c r="AU7" s="1" t="s">
        <v>159</v>
      </c>
      <c r="AV7" s="1" t="s">
        <v>167</v>
      </c>
      <c r="AW7" s="1" t="s">
        <v>159</v>
      </c>
      <c r="AX7" s="1" t="s">
        <v>182</v>
      </c>
      <c r="AY7" s="1" t="s">
        <v>159</v>
      </c>
    </row>
    <row r="8" spans="1:55" ht="15.75" customHeight="1" x14ac:dyDescent="0.2">
      <c r="A8" s="23">
        <v>742</v>
      </c>
      <c r="B8" s="23" t="b">
        <v>1</v>
      </c>
      <c r="C8" s="23" t="s">
        <v>201</v>
      </c>
      <c r="D8" s="25"/>
      <c r="E8" s="25"/>
      <c r="F8" s="25"/>
      <c r="G8" s="25"/>
      <c r="H8" s="1">
        <v>35.078796390000001</v>
      </c>
      <c r="I8" s="1">
        <v>-85.063003539999997</v>
      </c>
      <c r="J8" s="1" t="s">
        <v>153</v>
      </c>
      <c r="K8" s="1" t="s">
        <v>154</v>
      </c>
      <c r="L8" s="1" t="s">
        <v>174</v>
      </c>
      <c r="M8" s="1" t="s">
        <v>175</v>
      </c>
      <c r="N8" s="1" t="s">
        <v>157</v>
      </c>
      <c r="O8" s="1" t="s">
        <v>202</v>
      </c>
      <c r="P8" s="21" t="s">
        <v>160</v>
      </c>
      <c r="Q8" s="21" t="s">
        <v>160</v>
      </c>
      <c r="R8" s="21" t="s">
        <v>159</v>
      </c>
      <c r="S8" s="21" t="s">
        <v>159</v>
      </c>
      <c r="T8" s="21" t="s">
        <v>159</v>
      </c>
      <c r="U8" s="21" t="s">
        <v>159</v>
      </c>
      <c r="V8" s="21" t="s">
        <v>160</v>
      </c>
      <c r="W8" s="21" t="s">
        <v>160</v>
      </c>
      <c r="X8" s="21" t="s">
        <v>159</v>
      </c>
      <c r="Y8" s="21" t="s">
        <v>159</v>
      </c>
      <c r="Z8" s="21" t="s">
        <v>159</v>
      </c>
      <c r="AA8" s="21" t="s">
        <v>159</v>
      </c>
      <c r="AB8" s="21">
        <v>1</v>
      </c>
      <c r="AC8" s="21" t="s">
        <v>159</v>
      </c>
      <c r="AD8" s="1" t="s">
        <v>198</v>
      </c>
      <c r="AE8" s="1" t="s">
        <v>163</v>
      </c>
      <c r="AF8" s="1" t="s">
        <v>163</v>
      </c>
      <c r="AG8" s="1" t="s">
        <v>163</v>
      </c>
      <c r="AH8" s="17" t="s">
        <v>163</v>
      </c>
      <c r="AI8" s="1" t="s">
        <v>165</v>
      </c>
      <c r="AJ8" s="1" t="s">
        <v>165</v>
      </c>
      <c r="AK8" s="1">
        <v>1998</v>
      </c>
      <c r="AL8" s="1" t="s">
        <v>160</v>
      </c>
      <c r="AM8" s="1" t="s">
        <v>159</v>
      </c>
      <c r="AN8" s="1" t="s">
        <v>203</v>
      </c>
      <c r="AO8" s="1" t="s">
        <v>159</v>
      </c>
      <c r="AP8" s="1" t="s">
        <v>159</v>
      </c>
      <c r="AQ8" s="1" t="s">
        <v>159</v>
      </c>
      <c r="AR8" s="1" t="s">
        <v>159</v>
      </c>
      <c r="AS8" s="1" t="s">
        <v>159</v>
      </c>
      <c r="AT8" s="1" t="s">
        <v>159</v>
      </c>
      <c r="AV8" s="1" t="s">
        <v>167</v>
      </c>
      <c r="AW8" s="1" t="s">
        <v>159</v>
      </c>
      <c r="AX8" s="1" t="s">
        <v>204</v>
      </c>
      <c r="AY8" s="1" t="s">
        <v>159</v>
      </c>
    </row>
    <row r="9" spans="1:55" ht="15.75" customHeight="1" x14ac:dyDescent="0.2">
      <c r="A9" s="23">
        <v>256</v>
      </c>
      <c r="B9" s="23" t="b">
        <v>1</v>
      </c>
      <c r="C9" s="23" t="s">
        <v>207</v>
      </c>
      <c r="D9" s="25"/>
      <c r="E9" s="25"/>
      <c r="F9" s="25"/>
      <c r="G9" s="25"/>
      <c r="H9" s="1">
        <v>35.734298709999997</v>
      </c>
      <c r="I9" s="1">
        <v>-79.791603089999995</v>
      </c>
      <c r="J9" s="1" t="s">
        <v>153</v>
      </c>
      <c r="K9" s="1" t="s">
        <v>154</v>
      </c>
      <c r="L9" s="1" t="s">
        <v>174</v>
      </c>
      <c r="M9" s="1" t="s">
        <v>208</v>
      </c>
      <c r="N9" s="1" t="s">
        <v>176</v>
      </c>
      <c r="O9" s="1" t="s">
        <v>209</v>
      </c>
      <c r="P9" s="21" t="s">
        <v>160</v>
      </c>
      <c r="Q9" s="21" t="s">
        <v>160</v>
      </c>
      <c r="R9" s="21" t="s">
        <v>160</v>
      </c>
      <c r="S9" s="21" t="s">
        <v>160</v>
      </c>
      <c r="T9" s="21" t="s">
        <v>159</v>
      </c>
      <c r="U9" s="21" t="s">
        <v>159</v>
      </c>
      <c r="V9" s="21" t="s">
        <v>159</v>
      </c>
      <c r="W9" s="21" t="s">
        <v>160</v>
      </c>
      <c r="X9" s="21" t="s">
        <v>160</v>
      </c>
      <c r="Y9" s="21" t="s">
        <v>159</v>
      </c>
      <c r="Z9" s="21" t="s">
        <v>159</v>
      </c>
      <c r="AA9" s="21" t="s">
        <v>159</v>
      </c>
      <c r="AB9" s="21">
        <v>0</v>
      </c>
      <c r="AC9" s="21" t="s">
        <v>159</v>
      </c>
      <c r="AD9" s="1" t="s">
        <v>163</v>
      </c>
      <c r="AE9" s="1" t="s">
        <v>163</v>
      </c>
      <c r="AF9" s="1" t="s">
        <v>163</v>
      </c>
      <c r="AG9" s="1" t="s">
        <v>163</v>
      </c>
      <c r="AH9" s="17" t="s">
        <v>164</v>
      </c>
      <c r="AI9" s="1" t="s">
        <v>165</v>
      </c>
      <c r="AJ9" s="1" t="s">
        <v>165</v>
      </c>
      <c r="AK9" s="1">
        <v>2000</v>
      </c>
      <c r="AL9" s="1" t="s">
        <v>160</v>
      </c>
      <c r="AM9" s="1" t="s">
        <v>159</v>
      </c>
      <c r="AN9" s="1" t="s">
        <v>210</v>
      </c>
      <c r="AO9" s="1" t="s">
        <v>159</v>
      </c>
      <c r="AP9" s="1" t="s">
        <v>159</v>
      </c>
      <c r="AQ9" s="1" t="s">
        <v>159</v>
      </c>
      <c r="AR9" s="1" t="s">
        <v>159</v>
      </c>
      <c r="AS9" s="1" t="s">
        <v>159</v>
      </c>
      <c r="AT9" s="1" t="s">
        <v>159</v>
      </c>
      <c r="AV9" s="1" t="s">
        <v>181</v>
      </c>
      <c r="AW9" s="1" t="s">
        <v>159</v>
      </c>
      <c r="AX9" s="1" t="s">
        <v>211</v>
      </c>
      <c r="AY9" s="1" t="s">
        <v>159</v>
      </c>
    </row>
    <row r="10" spans="1:55" ht="15.75" customHeight="1" x14ac:dyDescent="0.2">
      <c r="A10" s="23">
        <v>329</v>
      </c>
      <c r="B10" s="23" t="b">
        <v>1</v>
      </c>
      <c r="C10" s="23" t="s">
        <v>214</v>
      </c>
      <c r="D10" s="25"/>
      <c r="E10" s="25"/>
      <c r="F10" s="25"/>
      <c r="G10" s="25"/>
      <c r="H10" s="1">
        <v>34.110992430000003</v>
      </c>
      <c r="I10" s="1">
        <v>-84.302497860000003</v>
      </c>
      <c r="J10" s="1" t="s">
        <v>153</v>
      </c>
      <c r="K10" s="1" t="s">
        <v>154</v>
      </c>
      <c r="L10" s="1" t="s">
        <v>174</v>
      </c>
      <c r="M10" s="1" t="s">
        <v>175</v>
      </c>
      <c r="N10" s="1" t="s">
        <v>157</v>
      </c>
      <c r="O10" s="1" t="s">
        <v>215</v>
      </c>
      <c r="P10" s="21" t="s">
        <v>160</v>
      </c>
      <c r="Q10" s="21" t="s">
        <v>160</v>
      </c>
      <c r="R10" s="21" t="s">
        <v>159</v>
      </c>
      <c r="S10" s="21" t="s">
        <v>159</v>
      </c>
      <c r="T10" s="21" t="s">
        <v>159</v>
      </c>
      <c r="U10" s="21" t="s">
        <v>159</v>
      </c>
      <c r="V10" s="21" t="s">
        <v>159</v>
      </c>
      <c r="W10" s="21" t="s">
        <v>160</v>
      </c>
      <c r="X10" s="21" t="s">
        <v>159</v>
      </c>
      <c r="Y10" s="21" t="s">
        <v>159</v>
      </c>
      <c r="Z10" s="21" t="s">
        <v>159</v>
      </c>
      <c r="AA10" s="21" t="s">
        <v>159</v>
      </c>
      <c r="AB10" s="21">
        <v>0</v>
      </c>
      <c r="AC10" s="21" t="s">
        <v>159</v>
      </c>
      <c r="AD10" s="1" t="s">
        <v>192</v>
      </c>
      <c r="AE10" s="1" t="s">
        <v>163</v>
      </c>
      <c r="AF10" s="1" t="s">
        <v>163</v>
      </c>
      <c r="AG10" s="1" t="s">
        <v>163</v>
      </c>
      <c r="AH10" s="17" t="s">
        <v>192</v>
      </c>
      <c r="AI10" s="1" t="s">
        <v>165</v>
      </c>
      <c r="AJ10" s="1" t="s">
        <v>165</v>
      </c>
      <c r="AK10" s="1">
        <v>1997</v>
      </c>
      <c r="AL10" s="1" t="s">
        <v>160</v>
      </c>
      <c r="AM10" s="1" t="s">
        <v>159</v>
      </c>
      <c r="AN10" s="1" t="s">
        <v>210</v>
      </c>
      <c r="AO10" s="1" t="s">
        <v>159</v>
      </c>
      <c r="AP10" s="1" t="s">
        <v>159</v>
      </c>
      <c r="AQ10" s="1" t="s">
        <v>159</v>
      </c>
      <c r="AR10" s="1" t="s">
        <v>159</v>
      </c>
      <c r="AS10" s="1" t="s">
        <v>159</v>
      </c>
      <c r="AT10" s="1" t="s">
        <v>160</v>
      </c>
      <c r="AU10" s="1" t="s">
        <v>159</v>
      </c>
      <c r="AV10" s="1" t="s">
        <v>181</v>
      </c>
      <c r="AW10" s="1" t="s">
        <v>159</v>
      </c>
      <c r="AX10" s="1" t="s">
        <v>216</v>
      </c>
      <c r="AY10" s="1" t="s">
        <v>159</v>
      </c>
    </row>
    <row r="11" spans="1:55" ht="15.75" customHeight="1" x14ac:dyDescent="0.2">
      <c r="A11" s="25">
        <v>948</v>
      </c>
      <c r="B11" s="25" t="b">
        <v>1</v>
      </c>
      <c r="C11" s="25" t="s">
        <v>219</v>
      </c>
      <c r="D11" s="25"/>
      <c r="E11" s="25"/>
      <c r="F11" s="25"/>
      <c r="G11" s="25"/>
      <c r="H11">
        <v>35.222702030000001</v>
      </c>
      <c r="I11">
        <v>-80.793800349999998</v>
      </c>
      <c r="J11" t="s">
        <v>153</v>
      </c>
      <c r="K11" t="s">
        <v>154</v>
      </c>
      <c r="L11" t="s">
        <v>174</v>
      </c>
      <c r="M11" t="s">
        <v>175</v>
      </c>
      <c r="N11" t="s">
        <v>157</v>
      </c>
      <c r="O11" t="s">
        <v>220</v>
      </c>
      <c r="P11" s="21" t="s">
        <v>159</v>
      </c>
      <c r="Q11" s="21" t="s">
        <v>159</v>
      </c>
      <c r="R11" s="21" t="s">
        <v>159</v>
      </c>
      <c r="S11" s="21" t="s">
        <v>159</v>
      </c>
      <c r="T11" s="21" t="s">
        <v>159</v>
      </c>
      <c r="U11" s="21" t="s">
        <v>159</v>
      </c>
      <c r="V11" s="21" t="s">
        <v>159</v>
      </c>
      <c r="W11" s="21" t="s">
        <v>159</v>
      </c>
      <c r="X11" s="21" t="s">
        <v>159</v>
      </c>
      <c r="Y11" s="21" t="s">
        <v>159</v>
      </c>
      <c r="Z11" s="21" t="s">
        <v>159</v>
      </c>
      <c r="AA11" s="21" t="s">
        <v>159</v>
      </c>
      <c r="AB11" s="21">
        <v>0</v>
      </c>
      <c r="AC11" s="21" t="s">
        <v>159</v>
      </c>
      <c r="AD11" t="s">
        <v>163</v>
      </c>
      <c r="AE11" t="s">
        <v>163</v>
      </c>
      <c r="AF11" t="s">
        <v>163</v>
      </c>
      <c r="AG11" t="s">
        <v>162</v>
      </c>
      <c r="AH11" s="17" t="s">
        <v>163</v>
      </c>
      <c r="AI11" t="s">
        <v>165</v>
      </c>
      <c r="AJ11" t="s">
        <v>165</v>
      </c>
      <c r="AK11">
        <v>31769</v>
      </c>
      <c r="AL11" t="s">
        <v>160</v>
      </c>
      <c r="AM11" t="s">
        <v>159</v>
      </c>
      <c r="AN11" t="s">
        <v>166</v>
      </c>
      <c r="AO11" t="s">
        <v>159</v>
      </c>
      <c r="AP11" t="s">
        <v>159</v>
      </c>
      <c r="AQ11" t="s">
        <v>159</v>
      </c>
      <c r="AR11" t="s">
        <v>159</v>
      </c>
      <c r="AS11" t="s">
        <v>159</v>
      </c>
      <c r="AT11" t="s">
        <v>159</v>
      </c>
      <c r="AV11" t="s">
        <v>222</v>
      </c>
      <c r="AW11" t="s">
        <v>159</v>
      </c>
      <c r="AX11" t="s">
        <v>182</v>
      </c>
      <c r="AY11" t="s">
        <v>160</v>
      </c>
    </row>
    <row r="12" spans="1:55" s="12" customFormat="1" ht="15.75" customHeight="1" x14ac:dyDescent="0.2">
      <c r="A12" s="26">
        <v>295</v>
      </c>
      <c r="B12" s="26" t="b">
        <v>1</v>
      </c>
      <c r="C12" s="26" t="s">
        <v>225</v>
      </c>
      <c r="D12" s="26"/>
      <c r="E12" s="26"/>
      <c r="F12" s="26"/>
      <c r="G12" s="26"/>
      <c r="H12" s="12">
        <v>35.022094729999999</v>
      </c>
      <c r="I12" s="12">
        <v>-80.531799320000005</v>
      </c>
      <c r="J12" s="12" t="s">
        <v>153</v>
      </c>
      <c r="K12" s="12" t="s">
        <v>154</v>
      </c>
      <c r="L12" s="12" t="s">
        <v>174</v>
      </c>
      <c r="M12" s="12" t="s">
        <v>226</v>
      </c>
      <c r="N12" s="12" t="s">
        <v>157</v>
      </c>
      <c r="O12" s="12" t="s">
        <v>227</v>
      </c>
      <c r="P12" s="22" t="s">
        <v>160</v>
      </c>
      <c r="Q12" s="22" t="s">
        <v>160</v>
      </c>
      <c r="R12" s="22" t="s">
        <v>160</v>
      </c>
      <c r="S12" s="22" t="s">
        <v>159</v>
      </c>
      <c r="T12" s="22" t="s">
        <v>159</v>
      </c>
      <c r="U12" s="22" t="s">
        <v>159</v>
      </c>
      <c r="V12" s="22" t="s">
        <v>159</v>
      </c>
      <c r="W12" s="22" t="s">
        <v>160</v>
      </c>
      <c r="X12" s="22" t="s">
        <v>159</v>
      </c>
      <c r="Y12" s="22" t="s">
        <v>160</v>
      </c>
      <c r="Z12" s="22" t="s">
        <v>160</v>
      </c>
      <c r="AA12" s="22" t="s">
        <v>159</v>
      </c>
      <c r="AB12" s="22">
        <v>0</v>
      </c>
      <c r="AC12" s="22" t="s">
        <v>159</v>
      </c>
      <c r="AD12" s="12" t="s">
        <v>163</v>
      </c>
      <c r="AE12" s="12" t="s">
        <v>192</v>
      </c>
      <c r="AF12" s="12" t="s">
        <v>164</v>
      </c>
      <c r="AG12" s="12" t="s">
        <v>163</v>
      </c>
      <c r="AH12" s="18" t="s">
        <v>192</v>
      </c>
      <c r="AI12" s="12" t="s">
        <v>165</v>
      </c>
      <c r="AJ12" s="12" t="s">
        <v>165</v>
      </c>
      <c r="AK12" s="12">
        <v>1997</v>
      </c>
      <c r="AL12" s="12" t="s">
        <v>160</v>
      </c>
      <c r="AM12" s="12" t="s">
        <v>159</v>
      </c>
      <c r="AN12" s="12" t="s">
        <v>210</v>
      </c>
      <c r="AO12" s="12" t="s">
        <v>159</v>
      </c>
      <c r="AP12" s="12" t="s">
        <v>159</v>
      </c>
      <c r="AQ12" s="12" t="s">
        <v>159</v>
      </c>
      <c r="AR12" s="12" t="s">
        <v>160</v>
      </c>
      <c r="AS12" s="12" t="s">
        <v>160</v>
      </c>
      <c r="AT12" s="12" t="s">
        <v>160</v>
      </c>
      <c r="AU12" s="12" t="s">
        <v>159</v>
      </c>
      <c r="AV12" s="12" t="s">
        <v>181</v>
      </c>
      <c r="AW12" s="12" t="s">
        <v>159</v>
      </c>
      <c r="AX12" s="12" t="s">
        <v>228</v>
      </c>
      <c r="AY12" s="12" t="s">
        <v>160</v>
      </c>
    </row>
    <row r="13" spans="1:55" ht="15" x14ac:dyDescent="0.2">
      <c r="A13" s="23">
        <v>386</v>
      </c>
      <c r="B13" s="23" t="b">
        <v>1</v>
      </c>
      <c r="C13" s="23" t="s">
        <v>773</v>
      </c>
      <c r="D13" s="25"/>
      <c r="E13" s="25"/>
      <c r="F13" s="25"/>
      <c r="G13" s="25"/>
      <c r="H13" s="1">
        <v>37.067596440000003</v>
      </c>
      <c r="I13" s="1">
        <v>-97.035697940000006</v>
      </c>
      <c r="J13" s="1" t="s">
        <v>153</v>
      </c>
      <c r="K13" s="1" t="s">
        <v>154</v>
      </c>
      <c r="L13" s="1" t="s">
        <v>174</v>
      </c>
      <c r="M13" s="1" t="s">
        <v>208</v>
      </c>
      <c r="N13" s="1" t="s">
        <v>176</v>
      </c>
      <c r="O13" s="1" t="s">
        <v>774</v>
      </c>
      <c r="P13" s="21" t="s">
        <v>159</v>
      </c>
      <c r="Q13" s="21" t="s">
        <v>160</v>
      </c>
      <c r="R13" s="21" t="s">
        <v>160</v>
      </c>
      <c r="S13" s="21" t="s">
        <v>160</v>
      </c>
      <c r="T13" s="21" t="s">
        <v>160</v>
      </c>
      <c r="U13" s="21" t="s">
        <v>159</v>
      </c>
      <c r="V13" s="21" t="s">
        <v>160</v>
      </c>
      <c r="W13" s="21" t="s">
        <v>160</v>
      </c>
      <c r="X13" s="21" t="s">
        <v>159</v>
      </c>
      <c r="Y13" s="21" t="s">
        <v>160</v>
      </c>
      <c r="Z13" s="21" t="s">
        <v>160</v>
      </c>
      <c r="AA13" s="21" t="s">
        <v>160</v>
      </c>
      <c r="AB13" s="21">
        <v>3</v>
      </c>
      <c r="AC13" s="21" t="s">
        <v>160</v>
      </c>
      <c r="AD13" s="1" t="s">
        <v>163</v>
      </c>
      <c r="AE13" s="1" t="s">
        <v>162</v>
      </c>
      <c r="AF13" s="1" t="s">
        <v>162</v>
      </c>
      <c r="AG13" s="1" t="s">
        <v>163</v>
      </c>
      <c r="AH13" s="17" t="s">
        <v>163</v>
      </c>
      <c r="AI13" s="1" t="s">
        <v>179</v>
      </c>
      <c r="AJ13" s="1" t="s">
        <v>179</v>
      </c>
      <c r="AK13" s="1">
        <v>2000</v>
      </c>
      <c r="AL13" s="1" t="s">
        <v>160</v>
      </c>
      <c r="AM13" s="1" t="s">
        <v>159</v>
      </c>
      <c r="AN13" s="1" t="s">
        <v>166</v>
      </c>
      <c r="AO13" s="1" t="s">
        <v>159</v>
      </c>
      <c r="AP13" s="1" t="s">
        <v>159</v>
      </c>
      <c r="AQ13" s="1" t="s">
        <v>159</v>
      </c>
      <c r="AR13" s="1" t="s">
        <v>159</v>
      </c>
      <c r="AS13" s="1" t="s">
        <v>159</v>
      </c>
      <c r="AT13" s="1" t="s">
        <v>159</v>
      </c>
      <c r="AU13" s="1" t="s">
        <v>159</v>
      </c>
      <c r="AV13" s="1" t="s">
        <v>167</v>
      </c>
      <c r="AW13" s="1" t="s">
        <v>160</v>
      </c>
      <c r="AX13" s="1" t="s">
        <v>193</v>
      </c>
      <c r="AY13" s="10" t="s">
        <v>160</v>
      </c>
    </row>
    <row r="14" spans="1:55" ht="15" x14ac:dyDescent="0.2">
      <c r="A14" s="23">
        <v>352</v>
      </c>
      <c r="B14" s="23" t="b">
        <v>1</v>
      </c>
      <c r="C14" s="23" t="s">
        <v>1229</v>
      </c>
      <c r="D14" s="25"/>
      <c r="E14" s="25"/>
      <c r="F14" s="25"/>
      <c r="G14" s="25"/>
      <c r="H14" s="1">
        <v>23.030807500000002</v>
      </c>
      <c r="I14" s="1">
        <v>113.7174072</v>
      </c>
      <c r="J14" s="1" t="s">
        <v>153</v>
      </c>
      <c r="K14" s="1" t="s">
        <v>154</v>
      </c>
      <c r="L14" s="1" t="s">
        <v>174</v>
      </c>
      <c r="M14" s="1" t="s">
        <v>208</v>
      </c>
      <c r="N14" s="1" t="s">
        <v>263</v>
      </c>
      <c r="O14" s="1" t="s">
        <v>701</v>
      </c>
      <c r="P14" s="21" t="s">
        <v>159</v>
      </c>
      <c r="Q14" s="21" t="s">
        <v>159</v>
      </c>
      <c r="R14" s="21" t="s">
        <v>159</v>
      </c>
      <c r="S14" s="21" t="s">
        <v>159</v>
      </c>
      <c r="T14" s="21" t="s">
        <v>160</v>
      </c>
      <c r="U14" s="21" t="s">
        <v>160</v>
      </c>
      <c r="V14" s="21" t="s">
        <v>160</v>
      </c>
      <c r="W14" s="21" t="s">
        <v>160</v>
      </c>
      <c r="X14" s="21" t="s">
        <v>160</v>
      </c>
      <c r="Y14" s="21" t="s">
        <v>160</v>
      </c>
      <c r="Z14" s="21" t="s">
        <v>159</v>
      </c>
      <c r="AA14" s="21" t="s">
        <v>159</v>
      </c>
      <c r="AB14" s="21">
        <v>1</v>
      </c>
      <c r="AC14" s="21" t="s">
        <v>159</v>
      </c>
      <c r="AD14" s="1" t="s">
        <v>192</v>
      </c>
      <c r="AE14" s="1" t="s">
        <v>164</v>
      </c>
      <c r="AF14" s="1" t="s">
        <v>164</v>
      </c>
      <c r="AG14" s="1" t="s">
        <v>192</v>
      </c>
      <c r="AH14" s="17" t="s">
        <v>192</v>
      </c>
      <c r="AI14" s="1" t="s">
        <v>179</v>
      </c>
      <c r="AJ14" s="1" t="s">
        <v>165</v>
      </c>
      <c r="AK14" s="1">
        <v>2000</v>
      </c>
      <c r="AL14" s="1" t="s">
        <v>160</v>
      </c>
      <c r="AM14" s="1" t="s">
        <v>159</v>
      </c>
      <c r="AN14" s="1" t="s">
        <v>180</v>
      </c>
      <c r="AO14" s="1" t="s">
        <v>159</v>
      </c>
      <c r="AP14" s="1" t="s">
        <v>159</v>
      </c>
      <c r="AQ14" s="1" t="s">
        <v>159</v>
      </c>
      <c r="AR14" s="1" t="s">
        <v>159</v>
      </c>
      <c r="AS14" s="1" t="s">
        <v>159</v>
      </c>
      <c r="AT14" s="1" t="s">
        <v>159</v>
      </c>
      <c r="AU14" s="1" t="s">
        <v>159</v>
      </c>
      <c r="AV14" s="1" t="s">
        <v>167</v>
      </c>
      <c r="AW14" s="1" t="s">
        <v>159</v>
      </c>
      <c r="AX14" s="1" t="s">
        <v>182</v>
      </c>
      <c r="AY14" s="10" t="s">
        <v>160</v>
      </c>
    </row>
    <row r="15" spans="1:55" s="13" customFormat="1" ht="15" x14ac:dyDescent="0.2">
      <c r="A15" s="27">
        <v>335</v>
      </c>
      <c r="B15" s="27" t="b">
        <v>1</v>
      </c>
      <c r="C15" s="27" t="s">
        <v>2297</v>
      </c>
      <c r="D15" s="27"/>
      <c r="E15" s="27"/>
      <c r="F15" s="27"/>
      <c r="G15" s="27"/>
      <c r="H15" s="13">
        <v>35.089202880859297</v>
      </c>
      <c r="I15" s="13">
        <v>-80.819396972656193</v>
      </c>
      <c r="J15" s="13" t="s">
        <v>153</v>
      </c>
      <c r="K15" s="13" t="s">
        <v>154</v>
      </c>
      <c r="L15" s="13" t="s">
        <v>155</v>
      </c>
      <c r="M15" s="13" t="s">
        <v>175</v>
      </c>
      <c r="N15" s="13" t="s">
        <v>157</v>
      </c>
      <c r="O15" s="13" t="s">
        <v>2298</v>
      </c>
      <c r="P15" s="21" t="s">
        <v>159</v>
      </c>
      <c r="Q15" s="21" t="s">
        <v>159</v>
      </c>
      <c r="R15" s="21" t="s">
        <v>159</v>
      </c>
      <c r="S15" s="21" t="s">
        <v>159</v>
      </c>
      <c r="T15" s="21" t="s">
        <v>159</v>
      </c>
      <c r="U15" s="21" t="s">
        <v>159</v>
      </c>
      <c r="V15" s="21" t="s">
        <v>159</v>
      </c>
      <c r="W15" s="21" t="s">
        <v>159</v>
      </c>
      <c r="X15" s="21" t="s">
        <v>159</v>
      </c>
      <c r="Y15" s="21" t="s">
        <v>159</v>
      </c>
      <c r="Z15" s="21" t="s">
        <v>159</v>
      </c>
      <c r="AA15" s="21" t="s">
        <v>159</v>
      </c>
      <c r="AB15" s="21">
        <v>0</v>
      </c>
      <c r="AC15" s="21" t="s">
        <v>159</v>
      </c>
      <c r="AD15" s="13" t="s">
        <v>164</v>
      </c>
      <c r="AE15" s="13" t="s">
        <v>164</v>
      </c>
      <c r="AF15" s="13" t="s">
        <v>164</v>
      </c>
      <c r="AG15" s="13" t="s">
        <v>164</v>
      </c>
      <c r="AH15" s="19" t="s">
        <v>192</v>
      </c>
      <c r="AI15" s="13" t="s">
        <v>165</v>
      </c>
      <c r="AJ15" s="13" t="s">
        <v>165</v>
      </c>
      <c r="AK15" s="13">
        <v>1999</v>
      </c>
      <c r="AL15" s="13" t="s">
        <v>160</v>
      </c>
      <c r="AM15" s="13" t="s">
        <v>159</v>
      </c>
      <c r="AN15" s="13" t="s">
        <v>180</v>
      </c>
      <c r="AO15" s="13" t="s">
        <v>159</v>
      </c>
      <c r="AP15" s="13" t="s">
        <v>159</v>
      </c>
      <c r="AQ15" s="13" t="s">
        <v>159</v>
      </c>
      <c r="AR15" s="13" t="s">
        <v>159</v>
      </c>
      <c r="AS15" s="13" t="s">
        <v>159</v>
      </c>
      <c r="AT15" s="13" t="s">
        <v>160</v>
      </c>
      <c r="AU15" s="13" t="s">
        <v>159</v>
      </c>
      <c r="AV15" s="13" t="s">
        <v>181</v>
      </c>
      <c r="AW15" s="13" t="s">
        <v>159</v>
      </c>
      <c r="AX15" s="13" t="s">
        <v>182</v>
      </c>
      <c r="AY15" s="13" t="s">
        <v>160</v>
      </c>
    </row>
    <row r="16" spans="1:55" s="7" customFormat="1" ht="15" x14ac:dyDescent="0.2">
      <c r="A16" s="25">
        <v>304</v>
      </c>
      <c r="B16" s="25" t="b">
        <v>1</v>
      </c>
      <c r="C16" s="25" t="s">
        <v>2302</v>
      </c>
      <c r="D16" s="25"/>
      <c r="E16" s="25"/>
      <c r="F16" s="25"/>
      <c r="G16" s="25"/>
      <c r="H16" s="7">
        <v>35.650894165038999</v>
      </c>
      <c r="I16" s="7">
        <v>-81.239097595214801</v>
      </c>
      <c r="J16" s="7" t="s">
        <v>153</v>
      </c>
      <c r="K16" s="7" t="s">
        <v>154</v>
      </c>
      <c r="L16" s="7" t="s">
        <v>155</v>
      </c>
      <c r="M16" s="7" t="s">
        <v>156</v>
      </c>
      <c r="N16" s="7" t="s">
        <v>176</v>
      </c>
      <c r="O16" s="7" t="s">
        <v>2303</v>
      </c>
      <c r="P16" s="21" t="s">
        <v>159</v>
      </c>
      <c r="Q16" s="21" t="s">
        <v>159</v>
      </c>
      <c r="R16" s="21" t="s">
        <v>159</v>
      </c>
      <c r="S16" s="21" t="s">
        <v>159</v>
      </c>
      <c r="T16" s="21" t="s">
        <v>159</v>
      </c>
      <c r="U16" s="21" t="s">
        <v>159</v>
      </c>
      <c r="V16" s="21" t="s">
        <v>159</v>
      </c>
      <c r="W16" s="21" t="s">
        <v>160</v>
      </c>
      <c r="X16" s="21" t="s">
        <v>159</v>
      </c>
      <c r="Y16" s="21" t="s">
        <v>159</v>
      </c>
      <c r="Z16" s="21" t="s">
        <v>159</v>
      </c>
      <c r="AA16" s="21" t="s">
        <v>159</v>
      </c>
      <c r="AB16" s="21"/>
      <c r="AC16" s="21" t="s">
        <v>159</v>
      </c>
      <c r="AD16" s="7" t="s">
        <v>162</v>
      </c>
      <c r="AE16" s="7" t="s">
        <v>163</v>
      </c>
      <c r="AF16" s="7" t="s">
        <v>162</v>
      </c>
      <c r="AG16" s="7" t="s">
        <v>162</v>
      </c>
      <c r="AH16" s="17" t="s">
        <v>163</v>
      </c>
      <c r="AI16" s="7" t="s">
        <v>165</v>
      </c>
      <c r="AJ16" s="7" t="s">
        <v>165</v>
      </c>
      <c r="AK16" s="7">
        <v>1994</v>
      </c>
      <c r="AL16" s="7" t="s">
        <v>160</v>
      </c>
      <c r="AM16" s="7" t="s">
        <v>159</v>
      </c>
      <c r="AN16" s="7" t="s">
        <v>1366</v>
      </c>
      <c r="AO16" s="7" t="s">
        <v>159</v>
      </c>
      <c r="AP16" s="7" t="s">
        <v>159</v>
      </c>
      <c r="AQ16" s="7" t="s">
        <v>159</v>
      </c>
      <c r="AR16" s="7" t="s">
        <v>159</v>
      </c>
      <c r="AS16" s="7" t="s">
        <v>159</v>
      </c>
      <c r="AT16" s="7" t="s">
        <v>159</v>
      </c>
      <c r="AU16" s="7" t="s">
        <v>159</v>
      </c>
      <c r="AV16" s="7" t="s">
        <v>181</v>
      </c>
      <c r="AW16" s="7" t="s">
        <v>159</v>
      </c>
      <c r="AX16" s="7" t="s">
        <v>2304</v>
      </c>
      <c r="AY16" s="11" t="s">
        <v>160</v>
      </c>
    </row>
    <row r="17" spans="1:51" s="14" customFormat="1" ht="15" x14ac:dyDescent="0.2">
      <c r="A17" s="28">
        <v>356</v>
      </c>
      <c r="B17" s="28" t="b">
        <v>1</v>
      </c>
      <c r="C17" s="28" t="s">
        <v>2317</v>
      </c>
      <c r="D17" s="28"/>
      <c r="E17" s="28"/>
      <c r="F17" s="28"/>
      <c r="G17" s="28"/>
      <c r="H17" s="14">
        <v>27.9447937011718</v>
      </c>
      <c r="I17" s="14">
        <v>-82.240898132324205</v>
      </c>
      <c r="J17" s="14" t="s">
        <v>153</v>
      </c>
      <c r="K17" s="14" t="s">
        <v>154</v>
      </c>
      <c r="L17" s="14" t="s">
        <v>174</v>
      </c>
      <c r="M17" s="14" t="s">
        <v>226</v>
      </c>
      <c r="N17" s="14" t="s">
        <v>176</v>
      </c>
      <c r="O17" s="14" t="s">
        <v>976</v>
      </c>
      <c r="P17" s="21" t="s">
        <v>160</v>
      </c>
      <c r="Q17" s="21" t="s">
        <v>160</v>
      </c>
      <c r="R17" s="21" t="s">
        <v>159</v>
      </c>
      <c r="S17" s="21" t="s">
        <v>159</v>
      </c>
      <c r="T17" s="21" t="s">
        <v>160</v>
      </c>
      <c r="U17" s="21" t="s">
        <v>159</v>
      </c>
      <c r="V17" s="21" t="s">
        <v>159</v>
      </c>
      <c r="W17" s="21" t="s">
        <v>159</v>
      </c>
      <c r="X17" s="21" t="s">
        <v>159</v>
      </c>
      <c r="Y17" s="21" t="s">
        <v>159</v>
      </c>
      <c r="Z17" s="21" t="s">
        <v>159</v>
      </c>
      <c r="AA17" s="21" t="s">
        <v>160</v>
      </c>
      <c r="AB17" s="21">
        <v>1</v>
      </c>
      <c r="AC17" s="21" t="s">
        <v>160</v>
      </c>
      <c r="AD17" s="14" t="s">
        <v>163</v>
      </c>
      <c r="AE17" s="14" t="s">
        <v>162</v>
      </c>
      <c r="AF17" s="14" t="s">
        <v>163</v>
      </c>
      <c r="AG17" s="14" t="s">
        <v>192</v>
      </c>
      <c r="AH17" s="17" t="s">
        <v>162</v>
      </c>
      <c r="AI17" s="14" t="s">
        <v>179</v>
      </c>
      <c r="AJ17" s="14" t="s">
        <v>179</v>
      </c>
      <c r="AK17" s="14">
        <v>1997</v>
      </c>
      <c r="AL17" s="14" t="s">
        <v>160</v>
      </c>
      <c r="AM17" s="14" t="s">
        <v>159</v>
      </c>
      <c r="AN17" s="14" t="s">
        <v>180</v>
      </c>
      <c r="AO17" s="14" t="s">
        <v>159</v>
      </c>
      <c r="AP17" s="14" t="s">
        <v>159</v>
      </c>
      <c r="AQ17" s="14" t="s">
        <v>159</v>
      </c>
      <c r="AR17" s="14" t="s">
        <v>159</v>
      </c>
      <c r="AS17" s="14" t="s">
        <v>159</v>
      </c>
      <c r="AT17" s="14" t="s">
        <v>159</v>
      </c>
      <c r="AU17" s="14" t="s">
        <v>159</v>
      </c>
      <c r="AV17" s="14" t="s">
        <v>167</v>
      </c>
      <c r="AW17" s="14" t="s">
        <v>159</v>
      </c>
      <c r="AX17" s="14" t="s">
        <v>193</v>
      </c>
      <c r="AY17" s="14" t="s">
        <v>159</v>
      </c>
    </row>
    <row r="18" spans="1:51" ht="15" x14ac:dyDescent="0.2">
      <c r="A18" s="25">
        <v>439</v>
      </c>
      <c r="B18" s="25" t="b">
        <v>1</v>
      </c>
      <c r="C18" s="25" t="s">
        <v>2324</v>
      </c>
      <c r="D18" s="25"/>
      <c r="E18" s="25"/>
      <c r="F18" s="25"/>
      <c r="G18" s="25"/>
      <c r="H18">
        <v>33.967498779296797</v>
      </c>
      <c r="I18">
        <v>-118.14640045166</v>
      </c>
      <c r="J18" t="s">
        <v>153</v>
      </c>
      <c r="K18" t="s">
        <v>154</v>
      </c>
      <c r="L18" t="s">
        <v>174</v>
      </c>
      <c r="M18" t="s">
        <v>274</v>
      </c>
      <c r="N18" t="s">
        <v>263</v>
      </c>
      <c r="O18" t="s">
        <v>463</v>
      </c>
      <c r="P18" s="21" t="s">
        <v>160</v>
      </c>
      <c r="Q18" s="21" t="s">
        <v>160</v>
      </c>
      <c r="R18" s="21" t="s">
        <v>159</v>
      </c>
      <c r="S18" s="21" t="s">
        <v>160</v>
      </c>
      <c r="T18" s="21" t="s">
        <v>160</v>
      </c>
      <c r="U18" s="21" t="s">
        <v>159</v>
      </c>
      <c r="V18" s="21" t="s">
        <v>159</v>
      </c>
      <c r="W18" s="21" t="s">
        <v>159</v>
      </c>
      <c r="X18" s="21" t="s">
        <v>160</v>
      </c>
      <c r="Y18" s="21" t="s">
        <v>159</v>
      </c>
      <c r="Z18" s="21" t="s">
        <v>159</v>
      </c>
      <c r="AA18" s="21" t="s">
        <v>159</v>
      </c>
      <c r="AB18" s="21">
        <v>0</v>
      </c>
      <c r="AC18" s="21" t="s">
        <v>160</v>
      </c>
      <c r="AD18" t="s">
        <v>164</v>
      </c>
      <c r="AE18" t="s">
        <v>192</v>
      </c>
      <c r="AF18" t="s">
        <v>164</v>
      </c>
      <c r="AG18" t="s">
        <v>163</v>
      </c>
      <c r="AH18" s="17" t="s">
        <v>192</v>
      </c>
      <c r="AI18" t="s">
        <v>179</v>
      </c>
      <c r="AJ18" t="s">
        <v>179</v>
      </c>
      <c r="AK18">
        <v>2000</v>
      </c>
      <c r="AL18" t="s">
        <v>160</v>
      </c>
      <c r="AM18" t="s">
        <v>159</v>
      </c>
      <c r="AN18" t="s">
        <v>180</v>
      </c>
      <c r="AO18" t="s">
        <v>159</v>
      </c>
      <c r="AP18" t="s">
        <v>159</v>
      </c>
      <c r="AQ18" t="s">
        <v>159</v>
      </c>
      <c r="AR18" t="s">
        <v>159</v>
      </c>
      <c r="AS18" t="s">
        <v>159</v>
      </c>
      <c r="AT18" t="s">
        <v>159</v>
      </c>
      <c r="AU18" t="s">
        <v>159</v>
      </c>
      <c r="AV18" t="s">
        <v>167</v>
      </c>
      <c r="AW18" t="s">
        <v>159</v>
      </c>
      <c r="AX18" t="s">
        <v>182</v>
      </c>
      <c r="AY18" t="s">
        <v>159</v>
      </c>
    </row>
    <row r="19" spans="1:51" ht="15" x14ac:dyDescent="0.2">
      <c r="A19" s="25">
        <v>529</v>
      </c>
      <c r="B19" s="25" t="b">
        <v>1</v>
      </c>
      <c r="C19" s="25" t="s">
        <v>2327</v>
      </c>
      <c r="D19" s="25"/>
      <c r="E19" s="25"/>
      <c r="F19" s="25"/>
      <c r="G19" s="25"/>
      <c r="H19">
        <v>37.770294189453097</v>
      </c>
      <c r="I19">
        <v>-122.440704345703</v>
      </c>
      <c r="J19" t="s">
        <v>153</v>
      </c>
      <c r="K19" t="s">
        <v>154</v>
      </c>
      <c r="L19" t="s">
        <v>174</v>
      </c>
      <c r="M19" t="s">
        <v>208</v>
      </c>
      <c r="N19" t="s">
        <v>237</v>
      </c>
      <c r="O19" t="s">
        <v>1606</v>
      </c>
      <c r="P19" s="21" t="s">
        <v>160</v>
      </c>
      <c r="Q19" s="21" t="s">
        <v>159</v>
      </c>
      <c r="R19" s="21" t="s">
        <v>159</v>
      </c>
      <c r="S19" s="21" t="s">
        <v>159</v>
      </c>
      <c r="T19" s="21" t="s">
        <v>159</v>
      </c>
      <c r="U19" s="21" t="s">
        <v>159</v>
      </c>
      <c r="V19" s="21" t="s">
        <v>159</v>
      </c>
      <c r="W19" s="21" t="s">
        <v>160</v>
      </c>
      <c r="X19" s="21" t="s">
        <v>159</v>
      </c>
      <c r="Y19" s="21" t="s">
        <v>159</v>
      </c>
      <c r="Z19" s="21" t="s">
        <v>159</v>
      </c>
      <c r="AA19" s="21" t="s">
        <v>159</v>
      </c>
      <c r="AB19" s="21">
        <v>0</v>
      </c>
      <c r="AC19" s="21" t="s">
        <v>160</v>
      </c>
      <c r="AD19" t="s">
        <v>163</v>
      </c>
      <c r="AE19" t="s">
        <v>164</v>
      </c>
      <c r="AF19" t="s">
        <v>192</v>
      </c>
      <c r="AG19" t="s">
        <v>192</v>
      </c>
      <c r="AH19" s="17" t="s">
        <v>164</v>
      </c>
      <c r="AI19" t="s">
        <v>179</v>
      </c>
      <c r="AJ19" t="s">
        <v>179</v>
      </c>
      <c r="AK19">
        <v>1999</v>
      </c>
      <c r="AL19" t="s">
        <v>160</v>
      </c>
      <c r="AM19" t="s">
        <v>159</v>
      </c>
      <c r="AN19" t="s">
        <v>180</v>
      </c>
      <c r="AO19" t="s">
        <v>159</v>
      </c>
      <c r="AP19" t="s">
        <v>159</v>
      </c>
      <c r="AQ19" t="s">
        <v>159</v>
      </c>
      <c r="AR19" t="s">
        <v>159</v>
      </c>
      <c r="AS19" t="s">
        <v>159</v>
      </c>
      <c r="AT19" t="s">
        <v>159</v>
      </c>
      <c r="AU19" t="s">
        <v>159</v>
      </c>
      <c r="AV19" t="s">
        <v>167</v>
      </c>
      <c r="AW19" t="s">
        <v>159</v>
      </c>
      <c r="AX19" t="s">
        <v>2328</v>
      </c>
      <c r="AY19" t="s">
        <v>159</v>
      </c>
    </row>
    <row r="20" spans="1:51" s="7" customFormat="1" ht="15" x14ac:dyDescent="0.2">
      <c r="A20" s="25">
        <v>590</v>
      </c>
      <c r="B20" s="25" t="b">
        <v>1</v>
      </c>
      <c r="C20" s="25" t="s">
        <v>2331</v>
      </c>
      <c r="D20" s="25"/>
      <c r="E20" s="25"/>
      <c r="F20" s="25"/>
      <c r="G20" s="25"/>
      <c r="H20" s="7">
        <v>33.9776000976562</v>
      </c>
      <c r="I20" s="7">
        <v>-117.737503051757</v>
      </c>
      <c r="J20" s="7" t="s">
        <v>153</v>
      </c>
      <c r="K20" s="7" t="s">
        <v>154</v>
      </c>
      <c r="L20" s="7" t="s">
        <v>174</v>
      </c>
      <c r="M20" s="7" t="s">
        <v>226</v>
      </c>
      <c r="N20" s="7" t="s">
        <v>176</v>
      </c>
      <c r="O20" s="7" t="s">
        <v>868</v>
      </c>
      <c r="P20" s="21" t="s">
        <v>160</v>
      </c>
      <c r="Q20" s="21" t="s">
        <v>159</v>
      </c>
      <c r="R20" s="21" t="s">
        <v>160</v>
      </c>
      <c r="S20" s="21" t="s">
        <v>159</v>
      </c>
      <c r="T20" s="21" t="s">
        <v>159</v>
      </c>
      <c r="U20" s="21" t="s">
        <v>160</v>
      </c>
      <c r="V20" s="21" t="s">
        <v>159</v>
      </c>
      <c r="W20" s="21" t="s">
        <v>159</v>
      </c>
      <c r="X20" s="21" t="s">
        <v>159</v>
      </c>
      <c r="Y20" s="21" t="s">
        <v>160</v>
      </c>
      <c r="Z20" s="21" t="s">
        <v>160</v>
      </c>
      <c r="AA20" s="21" t="s">
        <v>160</v>
      </c>
      <c r="AB20" s="21">
        <v>2</v>
      </c>
      <c r="AC20" s="21" t="s">
        <v>160</v>
      </c>
      <c r="AD20" s="7" t="s">
        <v>198</v>
      </c>
      <c r="AE20" s="7" t="s">
        <v>163</v>
      </c>
      <c r="AF20" s="7" t="s">
        <v>192</v>
      </c>
      <c r="AG20" s="7" t="s">
        <v>162</v>
      </c>
      <c r="AH20" s="17" t="s">
        <v>163</v>
      </c>
      <c r="AI20" s="7" t="s">
        <v>179</v>
      </c>
      <c r="AJ20" s="7" t="s">
        <v>179</v>
      </c>
      <c r="AK20" s="7">
        <v>2001</v>
      </c>
      <c r="AL20" s="7" t="s">
        <v>160</v>
      </c>
      <c r="AM20" s="7" t="s">
        <v>159</v>
      </c>
      <c r="AN20" s="7" t="s">
        <v>180</v>
      </c>
      <c r="AO20" s="7" t="s">
        <v>159</v>
      </c>
      <c r="AP20" s="7" t="s">
        <v>159</v>
      </c>
      <c r="AQ20" s="7" t="s">
        <v>159</v>
      </c>
      <c r="AR20" s="7" t="s">
        <v>159</v>
      </c>
      <c r="AS20" s="7" t="s">
        <v>159</v>
      </c>
      <c r="AT20" s="7" t="s">
        <v>159</v>
      </c>
      <c r="AU20" s="7" t="s">
        <v>159</v>
      </c>
      <c r="AV20" s="7" t="s">
        <v>167</v>
      </c>
      <c r="AW20" s="7" t="s">
        <v>159</v>
      </c>
      <c r="AX20" s="7" t="s">
        <v>2332</v>
      </c>
      <c r="AY20" s="7" t="s">
        <v>159</v>
      </c>
    </row>
    <row r="21" spans="1:51" ht="15" x14ac:dyDescent="0.2">
      <c r="A21" s="25">
        <v>630</v>
      </c>
      <c r="B21" s="25" t="b">
        <v>1</v>
      </c>
      <c r="C21" s="25" t="s">
        <v>2335</v>
      </c>
      <c r="D21" s="25"/>
      <c r="E21" s="25"/>
      <c r="F21" s="25"/>
      <c r="G21" s="25"/>
      <c r="H21">
        <v>40.698104858398402</v>
      </c>
      <c r="I21">
        <v>-111.99990081787099</v>
      </c>
      <c r="J21" t="s">
        <v>153</v>
      </c>
      <c r="K21" t="s">
        <v>154</v>
      </c>
      <c r="L21" t="s">
        <v>174</v>
      </c>
      <c r="M21" t="s">
        <v>274</v>
      </c>
      <c r="N21" t="s">
        <v>176</v>
      </c>
      <c r="O21" t="s">
        <v>2336</v>
      </c>
      <c r="P21" s="21"/>
      <c r="Q21" s="21" t="s">
        <v>159</v>
      </c>
      <c r="R21" s="21" t="s">
        <v>160</v>
      </c>
      <c r="S21" s="21" t="s">
        <v>160</v>
      </c>
      <c r="T21" s="21" t="s">
        <v>159</v>
      </c>
      <c r="U21" s="21" t="s">
        <v>160</v>
      </c>
      <c r="V21" s="21" t="s">
        <v>159</v>
      </c>
      <c r="W21" s="21" t="s">
        <v>159</v>
      </c>
      <c r="X21" s="21" t="s">
        <v>159</v>
      </c>
      <c r="Y21" s="21" t="s">
        <v>159</v>
      </c>
      <c r="Z21" s="21" t="s">
        <v>159</v>
      </c>
      <c r="AA21" s="21" t="s">
        <v>159</v>
      </c>
      <c r="AB21" s="21">
        <v>0</v>
      </c>
      <c r="AC21" s="21" t="s">
        <v>160</v>
      </c>
      <c r="AD21" t="s">
        <v>192</v>
      </c>
      <c r="AE21" t="s">
        <v>164</v>
      </c>
      <c r="AF21" t="s">
        <v>163</v>
      </c>
      <c r="AG21" t="s">
        <v>192</v>
      </c>
      <c r="AH21" s="17" t="s">
        <v>192</v>
      </c>
      <c r="AI21" t="s">
        <v>179</v>
      </c>
      <c r="AJ21" t="s">
        <v>179</v>
      </c>
      <c r="AK21">
        <v>2000</v>
      </c>
      <c r="AL21" t="s">
        <v>160</v>
      </c>
      <c r="AM21" t="s">
        <v>159</v>
      </c>
      <c r="AN21" t="s">
        <v>180</v>
      </c>
      <c r="AO21" t="s">
        <v>159</v>
      </c>
      <c r="AP21" t="s">
        <v>159</v>
      </c>
      <c r="AQ21" t="s">
        <v>159</v>
      </c>
      <c r="AR21" t="s">
        <v>159</v>
      </c>
      <c r="AS21" t="s">
        <v>159</v>
      </c>
      <c r="AT21" t="s">
        <v>159</v>
      </c>
      <c r="AU21" t="s">
        <v>159</v>
      </c>
      <c r="AV21" t="s">
        <v>167</v>
      </c>
      <c r="AW21" t="s">
        <v>159</v>
      </c>
      <c r="AX21" t="s">
        <v>193</v>
      </c>
      <c r="AY21" t="s">
        <v>159</v>
      </c>
    </row>
    <row r="22" spans="1:51" ht="15" x14ac:dyDescent="0.2">
      <c r="A22" s="25">
        <v>551</v>
      </c>
      <c r="B22" s="25" t="b">
        <v>1</v>
      </c>
      <c r="C22" s="25" t="s">
        <v>2339</v>
      </c>
      <c r="D22" s="25"/>
      <c r="E22" s="25"/>
      <c r="F22" s="25"/>
      <c r="G22" s="25"/>
      <c r="H22">
        <v>33.210906982421797</v>
      </c>
      <c r="I22">
        <v>-117.22320556640599</v>
      </c>
      <c r="J22" t="s">
        <v>153</v>
      </c>
      <c r="K22" t="s">
        <v>154</v>
      </c>
      <c r="L22" t="s">
        <v>174</v>
      </c>
      <c r="M22" t="s">
        <v>226</v>
      </c>
      <c r="N22" t="s">
        <v>176</v>
      </c>
      <c r="O22" t="s">
        <v>2340</v>
      </c>
      <c r="P22" s="21" t="s">
        <v>159</v>
      </c>
      <c r="Q22" s="21" t="s">
        <v>159</v>
      </c>
      <c r="R22" s="21" t="s">
        <v>159</v>
      </c>
      <c r="S22" s="21" t="s">
        <v>159</v>
      </c>
      <c r="T22" s="21" t="s">
        <v>159</v>
      </c>
      <c r="U22" s="21" t="s">
        <v>159</v>
      </c>
      <c r="V22" s="21" t="s">
        <v>159</v>
      </c>
      <c r="W22" s="21" t="s">
        <v>160</v>
      </c>
      <c r="X22" s="21" t="s">
        <v>159</v>
      </c>
      <c r="Y22" s="21" t="s">
        <v>159</v>
      </c>
      <c r="Z22" s="21" t="s">
        <v>159</v>
      </c>
      <c r="AA22" s="21" t="s">
        <v>160</v>
      </c>
      <c r="AB22" s="21">
        <v>1</v>
      </c>
      <c r="AC22" s="21" t="s">
        <v>160</v>
      </c>
      <c r="AD22" t="s">
        <v>163</v>
      </c>
      <c r="AE22" t="s">
        <v>163</v>
      </c>
      <c r="AF22" t="s">
        <v>163</v>
      </c>
      <c r="AG22" t="s">
        <v>163</v>
      </c>
      <c r="AH22" s="17" t="s">
        <v>164</v>
      </c>
      <c r="AI22" t="s">
        <v>179</v>
      </c>
      <c r="AJ22" t="s">
        <v>179</v>
      </c>
      <c r="AK22">
        <v>2000</v>
      </c>
      <c r="AL22" t="s">
        <v>160</v>
      </c>
      <c r="AM22" t="s">
        <v>159</v>
      </c>
      <c r="AN22" t="s">
        <v>210</v>
      </c>
      <c r="AO22" t="s">
        <v>159</v>
      </c>
      <c r="AP22" t="s">
        <v>159</v>
      </c>
      <c r="AQ22" t="s">
        <v>159</v>
      </c>
      <c r="AR22" t="s">
        <v>159</v>
      </c>
      <c r="AS22" t="s">
        <v>159</v>
      </c>
      <c r="AT22" t="s">
        <v>159</v>
      </c>
      <c r="AU22" t="s">
        <v>159</v>
      </c>
      <c r="AV22" t="s">
        <v>181</v>
      </c>
      <c r="AW22" t="s">
        <v>159</v>
      </c>
      <c r="AX22" t="s">
        <v>193</v>
      </c>
      <c r="AY22" s="11" t="s">
        <v>160</v>
      </c>
    </row>
    <row r="23" spans="1:51" s="7" customFormat="1" ht="15" x14ac:dyDescent="0.2">
      <c r="A23" s="25">
        <v>964</v>
      </c>
      <c r="B23" s="25" t="b">
        <v>1</v>
      </c>
      <c r="C23" s="25" t="s">
        <v>2489</v>
      </c>
      <c r="D23" s="25"/>
      <c r="E23" s="25"/>
      <c r="F23" s="25"/>
      <c r="G23" s="25"/>
      <c r="H23" s="7">
        <v>33.967498779296797</v>
      </c>
      <c r="I23" s="7">
        <v>-118.14640045166</v>
      </c>
      <c r="J23" s="7" t="s">
        <v>153</v>
      </c>
      <c r="K23" s="7" t="s">
        <v>154</v>
      </c>
      <c r="L23" s="7" t="s">
        <v>174</v>
      </c>
      <c r="M23" s="7" t="s">
        <v>274</v>
      </c>
      <c r="N23" s="7" t="s">
        <v>263</v>
      </c>
      <c r="O23" s="7" t="s">
        <v>441</v>
      </c>
      <c r="P23" s="21" t="s">
        <v>160</v>
      </c>
      <c r="Q23" s="21" t="s">
        <v>160</v>
      </c>
      <c r="R23" s="21" t="s">
        <v>159</v>
      </c>
      <c r="S23" s="21" t="s">
        <v>160</v>
      </c>
      <c r="T23" s="21" t="s">
        <v>160</v>
      </c>
      <c r="U23" s="21" t="s">
        <v>160</v>
      </c>
      <c r="V23" s="21" t="s">
        <v>159</v>
      </c>
      <c r="W23" s="21" t="s">
        <v>159</v>
      </c>
      <c r="X23" s="21" t="s">
        <v>159</v>
      </c>
      <c r="Y23" s="21" t="s">
        <v>160</v>
      </c>
      <c r="Z23" s="21" t="s">
        <v>159</v>
      </c>
      <c r="AA23" s="21" t="s">
        <v>159</v>
      </c>
      <c r="AB23" s="21">
        <v>2</v>
      </c>
      <c r="AC23" s="21" t="s">
        <v>160</v>
      </c>
      <c r="AD23" s="7" t="s">
        <v>198</v>
      </c>
      <c r="AE23" s="7" t="s">
        <v>164</v>
      </c>
      <c r="AF23" s="7" t="s">
        <v>164</v>
      </c>
      <c r="AG23" s="7" t="s">
        <v>163</v>
      </c>
      <c r="AH23" s="17" t="s">
        <v>164</v>
      </c>
      <c r="AI23" s="7" t="s">
        <v>179</v>
      </c>
      <c r="AJ23" s="7" t="s">
        <v>179</v>
      </c>
      <c r="AK23" s="7">
        <v>2000</v>
      </c>
      <c r="AL23" s="7" t="s">
        <v>160</v>
      </c>
      <c r="AM23" s="7" t="s">
        <v>159</v>
      </c>
      <c r="AN23" s="7" t="s">
        <v>180</v>
      </c>
      <c r="AO23" s="7" t="s">
        <v>159</v>
      </c>
      <c r="AP23" s="7" t="s">
        <v>159</v>
      </c>
      <c r="AQ23" s="7" t="s">
        <v>159</v>
      </c>
      <c r="AR23" s="7" t="s">
        <v>159</v>
      </c>
      <c r="AS23" s="7" t="s">
        <v>159</v>
      </c>
      <c r="AT23" s="7" t="s">
        <v>159</v>
      </c>
      <c r="AU23" s="7" t="s">
        <v>159</v>
      </c>
      <c r="AV23" s="7" t="s">
        <v>167</v>
      </c>
      <c r="AW23" s="7" t="s">
        <v>159</v>
      </c>
      <c r="AX23" s="7" t="s">
        <v>2332</v>
      </c>
      <c r="AY23" s="7" t="s">
        <v>159</v>
      </c>
    </row>
    <row r="24" spans="1:51" ht="15" x14ac:dyDescent="0.2">
      <c r="A24" s="25">
        <v>993</v>
      </c>
      <c r="B24" s="25" t="b">
        <v>1</v>
      </c>
      <c r="C24" s="25" t="s">
        <v>2491</v>
      </c>
      <c r="D24" s="25"/>
      <c r="E24" s="25"/>
      <c r="F24" s="25"/>
      <c r="G24" s="25"/>
      <c r="H24">
        <v>37.770294189453097</v>
      </c>
      <c r="I24">
        <v>-122.440704345703</v>
      </c>
      <c r="J24" t="s">
        <v>153</v>
      </c>
      <c r="K24" t="s">
        <v>154</v>
      </c>
      <c r="L24" t="s">
        <v>174</v>
      </c>
      <c r="M24" t="s">
        <v>274</v>
      </c>
      <c r="N24" t="s">
        <v>176</v>
      </c>
      <c r="O24" t="s">
        <v>790</v>
      </c>
      <c r="P24" s="21"/>
      <c r="Q24" s="21" t="s">
        <v>159</v>
      </c>
      <c r="R24" s="21" t="s">
        <v>160</v>
      </c>
      <c r="S24" s="21" t="s">
        <v>159</v>
      </c>
      <c r="T24" s="21" t="s">
        <v>159</v>
      </c>
      <c r="U24" s="21" t="s">
        <v>159</v>
      </c>
      <c r="V24" s="21" t="s">
        <v>159</v>
      </c>
      <c r="W24" s="21" t="s">
        <v>160</v>
      </c>
      <c r="X24" s="21" t="s">
        <v>160</v>
      </c>
      <c r="Y24" s="21" t="s">
        <v>160</v>
      </c>
      <c r="Z24" s="21" t="s">
        <v>159</v>
      </c>
      <c r="AA24" s="21" t="s">
        <v>159</v>
      </c>
      <c r="AB24" s="21">
        <v>2</v>
      </c>
      <c r="AC24" s="21" t="s">
        <v>160</v>
      </c>
      <c r="AD24" t="s">
        <v>163</v>
      </c>
      <c r="AE24" t="s">
        <v>192</v>
      </c>
      <c r="AF24" t="s">
        <v>163</v>
      </c>
      <c r="AG24" t="s">
        <v>163</v>
      </c>
      <c r="AH24" s="17" t="s">
        <v>163</v>
      </c>
      <c r="AI24" t="s">
        <v>179</v>
      </c>
      <c r="AJ24" t="s">
        <v>179</v>
      </c>
      <c r="AK24">
        <v>2001</v>
      </c>
      <c r="AL24" t="s">
        <v>160</v>
      </c>
      <c r="AM24" t="s">
        <v>159</v>
      </c>
      <c r="AN24" t="s">
        <v>180</v>
      </c>
      <c r="AO24" t="s">
        <v>159</v>
      </c>
      <c r="AP24" t="s">
        <v>159</v>
      </c>
      <c r="AQ24" t="s">
        <v>159</v>
      </c>
      <c r="AR24" t="s">
        <v>159</v>
      </c>
      <c r="AS24" t="s">
        <v>159</v>
      </c>
      <c r="AT24" t="s">
        <v>159</v>
      </c>
      <c r="AU24" t="s">
        <v>159</v>
      </c>
      <c r="AV24" t="s">
        <v>167</v>
      </c>
      <c r="AW24" t="s">
        <v>159</v>
      </c>
      <c r="AX24" t="s">
        <v>2328</v>
      </c>
      <c r="AY24" t="s">
        <v>159</v>
      </c>
    </row>
    <row r="25" spans="1:51" ht="15" x14ac:dyDescent="0.2">
      <c r="A25" s="25">
        <v>1028</v>
      </c>
      <c r="B25" s="25" t="b">
        <v>1</v>
      </c>
      <c r="C25" s="25" t="s">
        <v>2494</v>
      </c>
      <c r="D25" s="25"/>
      <c r="E25" s="25"/>
      <c r="F25" s="25"/>
      <c r="G25" s="25"/>
      <c r="H25">
        <v>37.770294189453097</v>
      </c>
      <c r="I25">
        <v>-122.440704345703</v>
      </c>
      <c r="J25" t="s">
        <v>153</v>
      </c>
      <c r="K25" t="s">
        <v>154</v>
      </c>
      <c r="L25" t="s">
        <v>174</v>
      </c>
      <c r="M25" t="s">
        <v>226</v>
      </c>
      <c r="N25" t="s">
        <v>237</v>
      </c>
      <c r="O25" t="s">
        <v>2495</v>
      </c>
      <c r="P25" s="21"/>
      <c r="Q25" s="21" t="s">
        <v>160</v>
      </c>
      <c r="R25" s="21" t="s">
        <v>159</v>
      </c>
      <c r="S25" s="21" t="s">
        <v>160</v>
      </c>
      <c r="T25" s="21" t="s">
        <v>160</v>
      </c>
      <c r="U25" s="21" t="s">
        <v>160</v>
      </c>
      <c r="V25" s="21" t="s">
        <v>159</v>
      </c>
      <c r="W25" s="21" t="s">
        <v>159</v>
      </c>
      <c r="X25" s="21" t="s">
        <v>160</v>
      </c>
      <c r="Y25" s="21" t="s">
        <v>160</v>
      </c>
      <c r="Z25" s="21" t="s">
        <v>159</v>
      </c>
      <c r="AA25" s="21" t="s">
        <v>160</v>
      </c>
      <c r="AB25" s="21">
        <v>0</v>
      </c>
      <c r="AC25" s="21" t="s">
        <v>160</v>
      </c>
      <c r="AD25" t="s">
        <v>164</v>
      </c>
      <c r="AE25" t="s">
        <v>198</v>
      </c>
      <c r="AF25" t="s">
        <v>164</v>
      </c>
      <c r="AG25" t="s">
        <v>163</v>
      </c>
      <c r="AH25" s="17" t="s">
        <v>164</v>
      </c>
      <c r="AI25" t="s">
        <v>179</v>
      </c>
      <c r="AJ25" t="s">
        <v>179</v>
      </c>
      <c r="AK25">
        <v>2001</v>
      </c>
      <c r="AL25" t="s">
        <v>160</v>
      </c>
      <c r="AM25" t="s">
        <v>159</v>
      </c>
      <c r="AN25" t="s">
        <v>180</v>
      </c>
      <c r="AO25" t="s">
        <v>159</v>
      </c>
      <c r="AP25" t="s">
        <v>159</v>
      </c>
      <c r="AQ25" t="s">
        <v>159</v>
      </c>
      <c r="AR25" t="s">
        <v>159</v>
      </c>
      <c r="AS25" t="s">
        <v>159</v>
      </c>
      <c r="AT25" t="s">
        <v>159</v>
      </c>
      <c r="AU25" t="s">
        <v>159</v>
      </c>
      <c r="AV25" t="s">
        <v>167</v>
      </c>
      <c r="AW25" t="s">
        <v>160</v>
      </c>
      <c r="AX25" t="s">
        <v>2328</v>
      </c>
      <c r="AY25" t="s">
        <v>159</v>
      </c>
    </row>
    <row r="26" spans="1:51" s="7" customFormat="1" ht="15" x14ac:dyDescent="0.2">
      <c r="A26" s="25">
        <v>1082</v>
      </c>
      <c r="B26" s="25" t="b">
        <v>1</v>
      </c>
      <c r="C26" s="25" t="s">
        <v>2496</v>
      </c>
      <c r="D26" s="25"/>
      <c r="E26" s="25"/>
      <c r="F26" s="25"/>
      <c r="G26" s="25"/>
      <c r="H26" s="7">
        <v>33.9776000976562</v>
      </c>
      <c r="I26" s="7">
        <v>-117.737503051757</v>
      </c>
      <c r="J26" s="7" t="s">
        <v>153</v>
      </c>
      <c r="K26" s="7" t="s">
        <v>154</v>
      </c>
      <c r="L26" s="7" t="s">
        <v>174</v>
      </c>
      <c r="M26" s="7" t="s">
        <v>226</v>
      </c>
      <c r="N26" s="7" t="s">
        <v>263</v>
      </c>
      <c r="O26" s="7" t="s">
        <v>340</v>
      </c>
      <c r="P26" s="21" t="s">
        <v>160</v>
      </c>
      <c r="Q26" s="21" t="s">
        <v>160</v>
      </c>
      <c r="R26" s="21" t="s">
        <v>159</v>
      </c>
      <c r="S26" s="21" t="s">
        <v>160</v>
      </c>
      <c r="T26" s="21" t="s">
        <v>160</v>
      </c>
      <c r="U26" s="21" t="s">
        <v>159</v>
      </c>
      <c r="V26" s="21" t="s">
        <v>160</v>
      </c>
      <c r="W26" s="21" t="s">
        <v>160</v>
      </c>
      <c r="X26" s="21" t="s">
        <v>159</v>
      </c>
      <c r="Y26" s="21" t="s">
        <v>159</v>
      </c>
      <c r="Z26" s="21" t="s">
        <v>160</v>
      </c>
      <c r="AA26" s="21" t="s">
        <v>160</v>
      </c>
      <c r="AB26" s="21">
        <v>3</v>
      </c>
      <c r="AC26" s="21" t="s">
        <v>160</v>
      </c>
      <c r="AD26" s="7" t="s">
        <v>164</v>
      </c>
      <c r="AE26" s="7" t="s">
        <v>162</v>
      </c>
      <c r="AF26" s="7" t="s">
        <v>192</v>
      </c>
      <c r="AG26" s="7" t="s">
        <v>164</v>
      </c>
      <c r="AH26" s="17" t="s">
        <v>192</v>
      </c>
      <c r="AI26" s="7" t="s">
        <v>179</v>
      </c>
      <c r="AJ26" s="7" t="s">
        <v>179</v>
      </c>
      <c r="AK26" s="7">
        <v>2002</v>
      </c>
      <c r="AL26" s="7" t="s">
        <v>160</v>
      </c>
      <c r="AM26" s="7" t="s">
        <v>159</v>
      </c>
      <c r="AN26" s="7" t="s">
        <v>180</v>
      </c>
      <c r="AO26" s="7" t="s">
        <v>159</v>
      </c>
      <c r="AP26" s="7" t="s">
        <v>159</v>
      </c>
      <c r="AQ26" s="7" t="s">
        <v>159</v>
      </c>
      <c r="AR26" s="7" t="s">
        <v>159</v>
      </c>
      <c r="AS26" s="7" t="s">
        <v>159</v>
      </c>
      <c r="AT26" s="7" t="s">
        <v>159</v>
      </c>
      <c r="AU26" s="7" t="s">
        <v>159</v>
      </c>
      <c r="AV26" s="7" t="s">
        <v>167</v>
      </c>
      <c r="AW26" s="7" t="s">
        <v>159</v>
      </c>
      <c r="AX26" s="7" t="s">
        <v>2332</v>
      </c>
      <c r="AY26" s="7" t="s">
        <v>159</v>
      </c>
    </row>
    <row r="27" spans="1:51" ht="15" x14ac:dyDescent="0.2">
      <c r="A27" s="25">
        <v>1175</v>
      </c>
      <c r="B27" s="25" t="b">
        <v>1</v>
      </c>
      <c r="C27" s="25" t="s">
        <v>2556</v>
      </c>
      <c r="D27" s="25"/>
      <c r="E27" s="25"/>
      <c r="F27" s="25"/>
      <c r="G27" s="25"/>
      <c r="H27">
        <v>34.439804077148402</v>
      </c>
      <c r="I27">
        <v>-119.73149871826099</v>
      </c>
      <c r="J27" t="s">
        <v>153</v>
      </c>
      <c r="K27" t="s">
        <v>154</v>
      </c>
      <c r="L27" t="s">
        <v>174</v>
      </c>
      <c r="M27" t="s">
        <v>274</v>
      </c>
      <c r="N27" t="s">
        <v>157</v>
      </c>
      <c r="O27" t="s">
        <v>2557</v>
      </c>
      <c r="P27" s="21" t="s">
        <v>160</v>
      </c>
      <c r="Q27" s="21" t="s">
        <v>160</v>
      </c>
      <c r="R27" s="21" t="s">
        <v>159</v>
      </c>
      <c r="S27" s="21" t="s">
        <v>159</v>
      </c>
      <c r="T27" s="21" t="s">
        <v>159</v>
      </c>
      <c r="U27" s="21" t="s">
        <v>159</v>
      </c>
      <c r="V27" s="21" t="s">
        <v>159</v>
      </c>
      <c r="W27" s="21" t="s">
        <v>159</v>
      </c>
      <c r="X27" s="21" t="s">
        <v>160</v>
      </c>
      <c r="Y27" s="21" t="s">
        <v>160</v>
      </c>
      <c r="Z27" s="21" t="s">
        <v>159</v>
      </c>
      <c r="AA27" s="21" t="s">
        <v>159</v>
      </c>
      <c r="AB27" s="21" t="s">
        <v>2558</v>
      </c>
      <c r="AC27" s="21" t="s">
        <v>160</v>
      </c>
      <c r="AD27" t="s">
        <v>192</v>
      </c>
      <c r="AE27" t="s">
        <v>163</v>
      </c>
      <c r="AF27" t="s">
        <v>163</v>
      </c>
      <c r="AG27" t="s">
        <v>192</v>
      </c>
      <c r="AH27" s="17" t="s">
        <v>163</v>
      </c>
      <c r="AI27" t="s">
        <v>179</v>
      </c>
      <c r="AJ27" t="s">
        <v>179</v>
      </c>
      <c r="AK27">
        <v>2000</v>
      </c>
      <c r="AL27" t="s">
        <v>160</v>
      </c>
      <c r="AM27" t="s">
        <v>159</v>
      </c>
      <c r="AN27" t="s">
        <v>180</v>
      </c>
      <c r="AO27" t="s">
        <v>159</v>
      </c>
      <c r="AP27" t="s">
        <v>159</v>
      </c>
      <c r="AQ27" t="s">
        <v>159</v>
      </c>
      <c r="AR27" t="s">
        <v>159</v>
      </c>
      <c r="AS27" t="s">
        <v>159</v>
      </c>
      <c r="AT27" t="s">
        <v>159</v>
      </c>
      <c r="AU27" t="s">
        <v>159</v>
      </c>
      <c r="AV27" t="s">
        <v>181</v>
      </c>
      <c r="AW27" t="s">
        <v>159</v>
      </c>
      <c r="AX27" t="s">
        <v>193</v>
      </c>
      <c r="AY27" s="11" t="s">
        <v>160</v>
      </c>
    </row>
    <row r="28" spans="1:51" ht="15" x14ac:dyDescent="0.2">
      <c r="A28" s="25">
        <v>270</v>
      </c>
      <c r="B28" s="25" t="b">
        <v>1</v>
      </c>
      <c r="C28" s="25" t="s">
        <v>2594</v>
      </c>
      <c r="D28" s="25"/>
      <c r="E28" s="25"/>
      <c r="F28" s="25"/>
      <c r="G28" s="25"/>
      <c r="H28">
        <v>44.865798950195298</v>
      </c>
      <c r="I28">
        <v>-123.04679870605401</v>
      </c>
      <c r="J28" t="s">
        <v>153</v>
      </c>
      <c r="K28" t="s">
        <v>154</v>
      </c>
      <c r="L28" t="s">
        <v>174</v>
      </c>
      <c r="M28" t="s">
        <v>274</v>
      </c>
      <c r="N28" t="s">
        <v>263</v>
      </c>
      <c r="O28" t="s">
        <v>2595</v>
      </c>
      <c r="P28" s="21" t="s">
        <v>160</v>
      </c>
      <c r="Q28" s="21" t="s">
        <v>159</v>
      </c>
      <c r="R28" s="21" t="s">
        <v>160</v>
      </c>
      <c r="S28" s="21" t="s">
        <v>159</v>
      </c>
      <c r="T28" s="21" t="s">
        <v>159</v>
      </c>
      <c r="U28" s="21" t="s">
        <v>160</v>
      </c>
      <c r="V28" s="21" t="s">
        <v>159</v>
      </c>
      <c r="W28" s="21" t="s">
        <v>160</v>
      </c>
      <c r="X28" s="21" t="s">
        <v>159</v>
      </c>
      <c r="Y28" s="21" t="s">
        <v>159</v>
      </c>
      <c r="Z28" s="21" t="s">
        <v>159</v>
      </c>
      <c r="AA28" s="21" t="s">
        <v>160</v>
      </c>
      <c r="AB28" s="21">
        <v>1</v>
      </c>
      <c r="AC28" s="21" t="s">
        <v>160</v>
      </c>
      <c r="AD28" t="s">
        <v>192</v>
      </c>
      <c r="AE28" t="s">
        <v>162</v>
      </c>
      <c r="AF28" t="s">
        <v>164</v>
      </c>
      <c r="AG28" t="s">
        <v>164</v>
      </c>
      <c r="AH28" s="17" t="s">
        <v>192</v>
      </c>
      <c r="AI28" t="s">
        <v>179</v>
      </c>
      <c r="AJ28" t="s">
        <v>179</v>
      </c>
      <c r="AK28">
        <v>2002</v>
      </c>
      <c r="AL28" t="s">
        <v>160</v>
      </c>
      <c r="AM28" t="s">
        <v>159</v>
      </c>
      <c r="AN28" t="s">
        <v>180</v>
      </c>
      <c r="AO28" t="s">
        <v>159</v>
      </c>
      <c r="AP28" t="s">
        <v>159</v>
      </c>
      <c r="AQ28" t="s">
        <v>159</v>
      </c>
      <c r="AR28" t="s">
        <v>159</v>
      </c>
      <c r="AS28" t="s">
        <v>159</v>
      </c>
      <c r="AT28" t="s">
        <v>159</v>
      </c>
      <c r="AU28" t="s">
        <v>159</v>
      </c>
      <c r="AV28" t="s">
        <v>167</v>
      </c>
      <c r="AW28" t="s">
        <v>160</v>
      </c>
      <c r="AX28" t="s">
        <v>182</v>
      </c>
      <c r="AY28" t="s">
        <v>159</v>
      </c>
    </row>
    <row r="29" spans="1:51" ht="15" x14ac:dyDescent="0.2">
      <c r="A29" s="25">
        <v>195</v>
      </c>
      <c r="B29" s="25" t="b">
        <v>1</v>
      </c>
      <c r="C29" s="25" t="s">
        <v>2638</v>
      </c>
      <c r="D29" s="25"/>
      <c r="E29" s="25"/>
      <c r="F29" s="25"/>
      <c r="G29" s="25"/>
      <c r="H29">
        <v>39.924102783203097</v>
      </c>
      <c r="I29">
        <v>-105.063903808593</v>
      </c>
      <c r="J29" t="s">
        <v>153</v>
      </c>
      <c r="K29" t="s">
        <v>154</v>
      </c>
      <c r="L29" t="s">
        <v>174</v>
      </c>
      <c r="M29" t="s">
        <v>274</v>
      </c>
      <c r="N29" t="s">
        <v>176</v>
      </c>
      <c r="O29" t="s">
        <v>2639</v>
      </c>
      <c r="P29" s="21" t="s">
        <v>160</v>
      </c>
      <c r="Q29" s="21" t="s">
        <v>160</v>
      </c>
      <c r="R29" s="21" t="s">
        <v>159</v>
      </c>
      <c r="S29" s="21" t="s">
        <v>160</v>
      </c>
      <c r="T29" s="21" t="s">
        <v>159</v>
      </c>
      <c r="U29" s="21" t="s">
        <v>160</v>
      </c>
      <c r="V29" s="21" t="s">
        <v>159</v>
      </c>
      <c r="W29" s="21" t="s">
        <v>159</v>
      </c>
      <c r="X29" s="21" t="s">
        <v>159</v>
      </c>
      <c r="Y29" s="21" t="s">
        <v>160</v>
      </c>
      <c r="Z29" s="21" t="s">
        <v>160</v>
      </c>
      <c r="AA29" s="21" t="s">
        <v>159</v>
      </c>
      <c r="AB29" s="21">
        <v>1</v>
      </c>
      <c r="AC29" s="21" t="s">
        <v>160</v>
      </c>
      <c r="AD29" t="s">
        <v>164</v>
      </c>
      <c r="AE29" t="s">
        <v>162</v>
      </c>
      <c r="AF29" t="s">
        <v>164</v>
      </c>
      <c r="AG29" t="s">
        <v>192</v>
      </c>
      <c r="AH29" s="17" t="s">
        <v>164</v>
      </c>
      <c r="AI29" t="s">
        <v>179</v>
      </c>
      <c r="AJ29" t="s">
        <v>179</v>
      </c>
      <c r="AK29">
        <v>2002</v>
      </c>
      <c r="AL29" t="s">
        <v>160</v>
      </c>
      <c r="AM29" t="s">
        <v>159</v>
      </c>
      <c r="AN29" t="s">
        <v>180</v>
      </c>
      <c r="AO29" t="s">
        <v>159</v>
      </c>
      <c r="AP29" t="s">
        <v>159</v>
      </c>
      <c r="AQ29" t="s">
        <v>159</v>
      </c>
      <c r="AR29" t="s">
        <v>159</v>
      </c>
      <c r="AS29" t="s">
        <v>159</v>
      </c>
      <c r="AT29" t="s">
        <v>159</v>
      </c>
      <c r="AU29" t="s">
        <v>159</v>
      </c>
      <c r="AV29" t="s">
        <v>167</v>
      </c>
      <c r="AW29" t="s">
        <v>160</v>
      </c>
      <c r="AX29" t="s">
        <v>2328</v>
      </c>
      <c r="AY29" t="s">
        <v>159</v>
      </c>
    </row>
    <row r="30" spans="1:51" ht="15" x14ac:dyDescent="0.2">
      <c r="A30" s="25">
        <v>257</v>
      </c>
      <c r="B30" s="25" t="b">
        <v>1</v>
      </c>
      <c r="C30" s="25" t="s">
        <v>2645</v>
      </c>
      <c r="D30" s="25"/>
      <c r="E30" s="25"/>
      <c r="F30" s="25"/>
      <c r="G30" s="25"/>
      <c r="H30">
        <v>29.743896484375</v>
      </c>
      <c r="I30">
        <v>-95.606697082519503</v>
      </c>
      <c r="J30" t="s">
        <v>153</v>
      </c>
      <c r="K30" t="s">
        <v>154</v>
      </c>
      <c r="L30" t="s">
        <v>174</v>
      </c>
      <c r="M30" t="s">
        <v>274</v>
      </c>
      <c r="N30" t="s">
        <v>237</v>
      </c>
      <c r="O30" t="s">
        <v>2646</v>
      </c>
      <c r="P30" s="21"/>
      <c r="Q30" s="21" t="s">
        <v>160</v>
      </c>
      <c r="R30" s="21" t="s">
        <v>160</v>
      </c>
      <c r="S30" s="21" t="s">
        <v>159</v>
      </c>
      <c r="T30" s="21" t="s">
        <v>160</v>
      </c>
      <c r="U30" s="21" t="s">
        <v>159</v>
      </c>
      <c r="V30" s="21" t="s">
        <v>159</v>
      </c>
      <c r="W30" s="21" t="s">
        <v>160</v>
      </c>
      <c r="X30" s="21" t="s">
        <v>160</v>
      </c>
      <c r="Y30" s="21" t="s">
        <v>160</v>
      </c>
      <c r="Z30" s="21" t="s">
        <v>159</v>
      </c>
      <c r="AA30" s="21" t="s">
        <v>160</v>
      </c>
      <c r="AB30" s="21">
        <v>2</v>
      </c>
      <c r="AC30" s="21" t="s">
        <v>160</v>
      </c>
      <c r="AD30" t="s">
        <v>164</v>
      </c>
      <c r="AE30" t="s">
        <v>162</v>
      </c>
      <c r="AF30" t="s">
        <v>164</v>
      </c>
      <c r="AG30" t="s">
        <v>192</v>
      </c>
      <c r="AH30" s="17" t="s">
        <v>162</v>
      </c>
      <c r="AI30" t="s">
        <v>179</v>
      </c>
      <c r="AJ30" t="s">
        <v>179</v>
      </c>
      <c r="AK30">
        <v>2002</v>
      </c>
      <c r="AL30" t="s">
        <v>160</v>
      </c>
      <c r="AM30" t="s">
        <v>159</v>
      </c>
      <c r="AN30" t="s">
        <v>180</v>
      </c>
      <c r="AO30" t="s">
        <v>159</v>
      </c>
      <c r="AP30" t="s">
        <v>159</v>
      </c>
      <c r="AQ30" t="s">
        <v>159</v>
      </c>
      <c r="AR30" t="s">
        <v>159</v>
      </c>
      <c r="AS30" t="s">
        <v>159</v>
      </c>
      <c r="AT30" t="s">
        <v>159</v>
      </c>
      <c r="AU30" t="s">
        <v>159</v>
      </c>
      <c r="AV30" t="s">
        <v>167</v>
      </c>
      <c r="AW30" t="s">
        <v>159</v>
      </c>
      <c r="AX30" t="s">
        <v>182</v>
      </c>
      <c r="AY30" t="s">
        <v>159</v>
      </c>
    </row>
    <row r="31" spans="1:51" s="7" customFormat="1" ht="15" x14ac:dyDescent="0.2">
      <c r="A31" s="25">
        <v>287</v>
      </c>
      <c r="B31" s="25" t="b">
        <v>1</v>
      </c>
      <c r="C31" s="25" t="s">
        <v>2649</v>
      </c>
      <c r="D31" s="25"/>
      <c r="E31" s="25"/>
      <c r="F31" s="25"/>
      <c r="G31" s="25"/>
      <c r="H31" s="7">
        <v>29.618392944335898</v>
      </c>
      <c r="I31" s="7">
        <v>-95.609298706054602</v>
      </c>
      <c r="J31" s="7" t="s">
        <v>153</v>
      </c>
      <c r="K31" s="7" t="s">
        <v>154</v>
      </c>
      <c r="L31" s="7" t="s">
        <v>174</v>
      </c>
      <c r="M31" s="7" t="s">
        <v>274</v>
      </c>
      <c r="N31" s="7" t="s">
        <v>157</v>
      </c>
      <c r="O31" s="7" t="s">
        <v>2650</v>
      </c>
      <c r="P31" s="21" t="s">
        <v>160</v>
      </c>
      <c r="Q31" s="21" t="s">
        <v>160</v>
      </c>
      <c r="R31" s="21" t="s">
        <v>159</v>
      </c>
      <c r="S31" s="21" t="s">
        <v>160</v>
      </c>
      <c r="T31" s="21" t="s">
        <v>159</v>
      </c>
      <c r="U31" s="21" t="s">
        <v>159</v>
      </c>
      <c r="V31" s="21" t="s">
        <v>160</v>
      </c>
      <c r="W31" s="21" t="s">
        <v>160</v>
      </c>
      <c r="X31" s="21" t="s">
        <v>160</v>
      </c>
      <c r="Y31" s="21" t="s">
        <v>159</v>
      </c>
      <c r="Z31" s="21" t="s">
        <v>159</v>
      </c>
      <c r="AA31" s="21" t="s">
        <v>159</v>
      </c>
      <c r="AB31" s="21">
        <v>2</v>
      </c>
      <c r="AC31" s="21" t="s">
        <v>160</v>
      </c>
      <c r="AD31" s="7" t="s">
        <v>198</v>
      </c>
      <c r="AE31" s="7" t="s">
        <v>162</v>
      </c>
      <c r="AF31" s="7" t="s">
        <v>164</v>
      </c>
      <c r="AG31" s="7" t="s">
        <v>163</v>
      </c>
      <c r="AH31" s="17" t="s">
        <v>164</v>
      </c>
      <c r="AI31" s="7" t="s">
        <v>179</v>
      </c>
      <c r="AJ31" s="7" t="s">
        <v>179</v>
      </c>
      <c r="AL31" s="7" t="s">
        <v>160</v>
      </c>
      <c r="AM31" s="7" t="s">
        <v>159</v>
      </c>
      <c r="AN31" s="7" t="s">
        <v>180</v>
      </c>
      <c r="AO31" s="7" t="s">
        <v>159</v>
      </c>
      <c r="AP31" s="7" t="s">
        <v>159</v>
      </c>
      <c r="AQ31" s="7" t="s">
        <v>159</v>
      </c>
      <c r="AR31" s="7" t="s">
        <v>159</v>
      </c>
      <c r="AS31" s="7" t="s">
        <v>159</v>
      </c>
      <c r="AT31" s="7" t="s">
        <v>159</v>
      </c>
      <c r="AU31" s="7" t="s">
        <v>159</v>
      </c>
      <c r="AV31" s="7" t="s">
        <v>167</v>
      </c>
      <c r="AW31" s="7" t="s">
        <v>159</v>
      </c>
      <c r="AX31" s="7" t="s">
        <v>2332</v>
      </c>
      <c r="AY31" s="7" t="s">
        <v>159</v>
      </c>
    </row>
    <row r="32" spans="1:51" ht="15" x14ac:dyDescent="0.2">
      <c r="A32" s="25">
        <v>183</v>
      </c>
      <c r="B32" s="25" t="b">
        <v>1</v>
      </c>
      <c r="C32" s="25" t="s">
        <v>2676</v>
      </c>
      <c r="D32" s="25"/>
      <c r="E32" s="25"/>
      <c r="F32" s="25"/>
      <c r="G32" s="25"/>
      <c r="H32">
        <v>36.668304443359297</v>
      </c>
      <c r="I32">
        <v>116.997192382812</v>
      </c>
      <c r="J32" t="s">
        <v>153</v>
      </c>
      <c r="K32" t="s">
        <v>154</v>
      </c>
      <c r="L32" t="s">
        <v>174</v>
      </c>
      <c r="M32" t="s">
        <v>310</v>
      </c>
      <c r="N32" t="s">
        <v>2254</v>
      </c>
      <c r="O32" t="s">
        <v>2580</v>
      </c>
      <c r="P32" s="21" t="s">
        <v>160</v>
      </c>
      <c r="Q32" s="21" t="s">
        <v>160</v>
      </c>
      <c r="R32" s="21" t="s">
        <v>159</v>
      </c>
      <c r="S32" s="21" t="s">
        <v>159</v>
      </c>
      <c r="T32" s="21" t="s">
        <v>160</v>
      </c>
      <c r="U32" s="21" t="s">
        <v>159</v>
      </c>
      <c r="V32" s="21" t="s">
        <v>159</v>
      </c>
      <c r="W32" s="21" t="s">
        <v>159</v>
      </c>
      <c r="X32" s="21" t="s">
        <v>159</v>
      </c>
      <c r="Y32" s="21" t="s">
        <v>160</v>
      </c>
      <c r="Z32" s="21" t="s">
        <v>160</v>
      </c>
      <c r="AA32" s="21" t="s">
        <v>160</v>
      </c>
      <c r="AB32" s="21">
        <v>2</v>
      </c>
      <c r="AC32" s="21" t="s">
        <v>160</v>
      </c>
      <c r="AD32" t="s">
        <v>163</v>
      </c>
      <c r="AE32" t="s">
        <v>163</v>
      </c>
      <c r="AF32" t="s">
        <v>163</v>
      </c>
      <c r="AG32" t="s">
        <v>163</v>
      </c>
      <c r="AH32" s="17" t="s">
        <v>163</v>
      </c>
      <c r="AI32" t="s">
        <v>165</v>
      </c>
      <c r="AJ32" t="s">
        <v>165</v>
      </c>
      <c r="AK32">
        <v>2000</v>
      </c>
      <c r="AL32" t="s">
        <v>160</v>
      </c>
      <c r="AM32" t="s">
        <v>159</v>
      </c>
      <c r="AN32" t="s">
        <v>322</v>
      </c>
      <c r="AO32" t="s">
        <v>159</v>
      </c>
      <c r="AP32" t="s">
        <v>159</v>
      </c>
      <c r="AQ32" t="s">
        <v>159</v>
      </c>
      <c r="AR32" t="s">
        <v>159</v>
      </c>
      <c r="AS32" t="s">
        <v>159</v>
      </c>
      <c r="AT32" t="s">
        <v>159</v>
      </c>
      <c r="AU32" t="s">
        <v>159</v>
      </c>
      <c r="AV32" t="s">
        <v>167</v>
      </c>
      <c r="AW32" t="s">
        <v>160</v>
      </c>
      <c r="AX32" t="s">
        <v>193</v>
      </c>
      <c r="AY32" s="11" t="s">
        <v>160</v>
      </c>
    </row>
    <row r="34" spans="12:30" x14ac:dyDescent="0.15">
      <c r="L34">
        <f>27/29*100</f>
        <v>93.103448275862064</v>
      </c>
      <c r="O34">
        <f>20/29*100</f>
        <v>68.965517241379317</v>
      </c>
      <c r="R34">
        <f>COUNTIF(R4:R32, "Yes")/31*(100)</f>
        <v>29.032258064516132</v>
      </c>
      <c r="U34">
        <f>COUNTIF(U4:U32,"Yes")/31</f>
        <v>0.22580645161290322</v>
      </c>
      <c r="AD34">
        <f>COUNTIF(AD3:AD32, "Agree")</f>
        <v>10</v>
      </c>
    </row>
    <row r="35" spans="12:30" x14ac:dyDescent="0.15">
      <c r="AD35">
        <f>COUNTIF(AD4:AD33, "Neutral")</f>
        <v>5</v>
      </c>
    </row>
    <row r="36" spans="12:30" x14ac:dyDescent="0.15">
      <c r="AD36">
        <f>15/29</f>
        <v>0.51724137931034486</v>
      </c>
    </row>
  </sheetData>
  <autoFilter ref="A1:AY3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251A-4A0F-C743-8D90-2A7341DDEEC8}">
  <dimension ref="A1:AN32"/>
  <sheetViews>
    <sheetView tabSelected="1" topLeftCell="S1" workbookViewId="0">
      <selection activeCell="AC11" sqref="AC11"/>
    </sheetView>
  </sheetViews>
  <sheetFormatPr baseColWidth="10" defaultRowHeight="13" x14ac:dyDescent="0.15"/>
  <cols>
    <col min="1" max="1" width="28.6640625" bestFit="1" customWidth="1"/>
    <col min="4" max="4" width="135.1640625" bestFit="1" customWidth="1"/>
    <col min="39" max="39" width="31.5" customWidth="1"/>
  </cols>
  <sheetData>
    <row r="1" spans="1:40" x14ac:dyDescent="0.1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>
        <v>10</v>
      </c>
      <c r="Q1" s="1">
        <v>11</v>
      </c>
      <c r="R1" s="1">
        <v>12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>
        <v>22</v>
      </c>
      <c r="AL1" s="1">
        <v>23</v>
      </c>
      <c r="AM1" s="1">
        <v>24</v>
      </c>
      <c r="AN1" s="1">
        <v>26</v>
      </c>
    </row>
    <row r="2" spans="1:40" ht="92" customHeight="1" x14ac:dyDescent="0.2">
      <c r="A2" s="15" t="s">
        <v>50</v>
      </c>
      <c r="B2" s="15" t="s">
        <v>51</v>
      </c>
      <c r="C2" s="15" t="s">
        <v>52</v>
      </c>
      <c r="D2" s="15" t="s">
        <v>53</v>
      </c>
      <c r="E2" s="29" t="s">
        <v>54</v>
      </c>
      <c r="F2" s="30" t="s">
        <v>55</v>
      </c>
      <c r="G2" s="30" t="s">
        <v>56</v>
      </c>
      <c r="H2" s="30" t="s">
        <v>57</v>
      </c>
      <c r="I2" s="30" t="s">
        <v>58</v>
      </c>
      <c r="J2" s="30" t="s">
        <v>59</v>
      </c>
      <c r="K2" s="30" t="s">
        <v>60</v>
      </c>
      <c r="L2" s="30" t="s">
        <v>61</v>
      </c>
      <c r="M2" s="30" t="s">
        <v>62</v>
      </c>
      <c r="N2" s="30" t="s">
        <v>63</v>
      </c>
      <c r="O2" s="30" t="s">
        <v>64</v>
      </c>
      <c r="P2" s="30" t="s">
        <v>65</v>
      </c>
      <c r="Q2" s="30" t="s">
        <v>66</v>
      </c>
      <c r="R2" s="30" t="s">
        <v>67</v>
      </c>
      <c r="S2" s="15" t="s">
        <v>68</v>
      </c>
      <c r="T2" s="15" t="s">
        <v>69</v>
      </c>
      <c r="U2" s="15" t="s">
        <v>70</v>
      </c>
      <c r="V2" s="15" t="s">
        <v>71</v>
      </c>
      <c r="W2" s="31" t="s">
        <v>72</v>
      </c>
      <c r="X2" s="15" t="s">
        <v>73</v>
      </c>
      <c r="Y2" s="15" t="s">
        <v>74</v>
      </c>
      <c r="Z2" s="15" t="s">
        <v>75</v>
      </c>
      <c r="AA2" s="15" t="s">
        <v>76</v>
      </c>
      <c r="AB2" s="15" t="s">
        <v>77</v>
      </c>
      <c r="AC2" s="15" t="s">
        <v>78</v>
      </c>
      <c r="AD2" s="15" t="s">
        <v>79</v>
      </c>
      <c r="AE2" s="15" t="s">
        <v>80</v>
      </c>
      <c r="AF2" s="15" t="s">
        <v>81</v>
      </c>
      <c r="AG2" s="15" t="s">
        <v>82</v>
      </c>
      <c r="AH2" s="15" t="s">
        <v>83</v>
      </c>
      <c r="AI2" s="15" t="s">
        <v>84</v>
      </c>
      <c r="AJ2" s="15" t="s">
        <v>85</v>
      </c>
      <c r="AK2" s="15" t="s">
        <v>86</v>
      </c>
      <c r="AL2" s="15" t="s">
        <v>87</v>
      </c>
      <c r="AM2" s="15" t="s">
        <v>88</v>
      </c>
      <c r="AN2" s="15" t="s">
        <v>90</v>
      </c>
    </row>
    <row r="3" spans="1:40" ht="15" x14ac:dyDescent="0.2">
      <c r="A3" s="1" t="s">
        <v>174</v>
      </c>
      <c r="B3" s="1" t="s">
        <v>175</v>
      </c>
      <c r="C3" s="1" t="s">
        <v>176</v>
      </c>
      <c r="D3" s="1" t="s">
        <v>177</v>
      </c>
      <c r="E3" s="32" t="s">
        <v>160</v>
      </c>
      <c r="F3" s="33" t="s">
        <v>159</v>
      </c>
      <c r="G3" s="33" t="s">
        <v>159</v>
      </c>
      <c r="H3" s="33" t="s">
        <v>159</v>
      </c>
      <c r="I3" s="33" t="s">
        <v>159</v>
      </c>
      <c r="J3" s="33" t="s">
        <v>159</v>
      </c>
      <c r="K3" s="33" t="s">
        <v>159</v>
      </c>
      <c r="L3" s="33" t="s">
        <v>159</v>
      </c>
      <c r="M3" s="33"/>
      <c r="N3" s="33" t="s">
        <v>159</v>
      </c>
      <c r="O3" s="33" t="s">
        <v>159</v>
      </c>
      <c r="P3" s="33" t="s">
        <v>159</v>
      </c>
      <c r="Q3" s="33" t="s">
        <v>178</v>
      </c>
      <c r="R3" s="33" t="s">
        <v>159</v>
      </c>
      <c r="S3" s="1" t="s">
        <v>162</v>
      </c>
      <c r="T3" s="1" t="s">
        <v>163</v>
      </c>
      <c r="U3" s="1" t="s">
        <v>162</v>
      </c>
      <c r="V3" s="1" t="s">
        <v>162</v>
      </c>
      <c r="W3" s="34" t="s">
        <v>163</v>
      </c>
      <c r="X3" s="1" t="s">
        <v>179</v>
      </c>
      <c r="Y3" s="1" t="s">
        <v>179</v>
      </c>
      <c r="Z3" s="1">
        <v>1998</v>
      </c>
      <c r="AA3" s="1" t="s">
        <v>160</v>
      </c>
      <c r="AB3" s="1" t="s">
        <v>159</v>
      </c>
      <c r="AC3" s="1" t="s">
        <v>180</v>
      </c>
      <c r="AD3" s="1" t="s">
        <v>159</v>
      </c>
      <c r="AE3" s="1" t="s">
        <v>159</v>
      </c>
      <c r="AF3" s="1" t="s">
        <v>159</v>
      </c>
      <c r="AG3" s="1" t="s">
        <v>159</v>
      </c>
      <c r="AH3" s="1" t="s">
        <v>159</v>
      </c>
      <c r="AI3" s="1" t="s">
        <v>159</v>
      </c>
      <c r="AJ3" s="1" t="s">
        <v>159</v>
      </c>
      <c r="AK3" s="1" t="s">
        <v>181</v>
      </c>
      <c r="AL3" s="1" t="s">
        <v>159</v>
      </c>
      <c r="AM3" s="1" t="s">
        <v>182</v>
      </c>
      <c r="AN3" s="1" t="s">
        <v>159</v>
      </c>
    </row>
    <row r="4" spans="1:40" ht="15" x14ac:dyDescent="0.2">
      <c r="A4" s="36" t="s">
        <v>174</v>
      </c>
      <c r="B4" s="36" t="s">
        <v>175</v>
      </c>
      <c r="C4" s="36" t="s">
        <v>176</v>
      </c>
      <c r="D4" s="36" t="s">
        <v>186</v>
      </c>
      <c r="E4" s="33" t="s">
        <v>159</v>
      </c>
      <c r="F4" s="33" t="s">
        <v>159</v>
      </c>
      <c r="G4" s="33" t="s">
        <v>160</v>
      </c>
      <c r="H4" s="33" t="s">
        <v>160</v>
      </c>
      <c r="I4" s="33" t="s">
        <v>159</v>
      </c>
      <c r="J4" s="33" t="s">
        <v>159</v>
      </c>
      <c r="K4" s="33" t="s">
        <v>159</v>
      </c>
      <c r="L4" s="33"/>
      <c r="M4" s="33" t="s">
        <v>160</v>
      </c>
      <c r="N4" s="33" t="s">
        <v>160</v>
      </c>
      <c r="O4" s="33" t="s">
        <v>160</v>
      </c>
      <c r="P4" s="33" t="s">
        <v>160</v>
      </c>
      <c r="Q4" s="33">
        <v>4</v>
      </c>
      <c r="R4" s="33" t="s">
        <v>160</v>
      </c>
      <c r="S4" s="36" t="s">
        <v>163</v>
      </c>
      <c r="T4" s="36" t="s">
        <v>163</v>
      </c>
      <c r="U4" s="36" t="s">
        <v>163</v>
      </c>
      <c r="V4" s="36" t="s">
        <v>163</v>
      </c>
      <c r="W4" s="37" t="s">
        <v>163</v>
      </c>
      <c r="X4" s="36" t="s">
        <v>165</v>
      </c>
      <c r="Y4" s="36" t="s">
        <v>165</v>
      </c>
      <c r="Z4" s="36">
        <v>1999</v>
      </c>
      <c r="AA4" s="36" t="s">
        <v>160</v>
      </c>
      <c r="AB4" s="36" t="s">
        <v>159</v>
      </c>
      <c r="AC4" s="36" t="s">
        <v>180</v>
      </c>
      <c r="AD4" s="36" t="s">
        <v>159</v>
      </c>
      <c r="AE4" s="36" t="s">
        <v>159</v>
      </c>
      <c r="AF4" s="36" t="s">
        <v>159</v>
      </c>
      <c r="AG4" s="36" t="s">
        <v>159</v>
      </c>
      <c r="AH4" s="36" t="s">
        <v>159</v>
      </c>
      <c r="AI4" s="36" t="s">
        <v>159</v>
      </c>
      <c r="AJ4" s="36" t="s">
        <v>159</v>
      </c>
      <c r="AK4" s="36" t="s">
        <v>167</v>
      </c>
      <c r="AL4" s="36" t="s">
        <v>160</v>
      </c>
      <c r="AM4" s="36" t="s">
        <v>193</v>
      </c>
      <c r="AN4" s="36" t="s">
        <v>160</v>
      </c>
    </row>
    <row r="5" spans="1:40" ht="15" x14ac:dyDescent="0.2">
      <c r="A5" s="1" t="s">
        <v>174</v>
      </c>
      <c r="B5" s="1" t="s">
        <v>175</v>
      </c>
      <c r="C5" s="1" t="s">
        <v>176</v>
      </c>
      <c r="D5" s="1" t="s">
        <v>191</v>
      </c>
      <c r="E5" s="32" t="s">
        <v>160</v>
      </c>
      <c r="F5" s="33" t="s">
        <v>159</v>
      </c>
      <c r="G5" s="33" t="s">
        <v>159</v>
      </c>
      <c r="H5" s="33" t="s">
        <v>159</v>
      </c>
      <c r="I5" s="33" t="s">
        <v>160</v>
      </c>
      <c r="J5" s="33" t="s">
        <v>159</v>
      </c>
      <c r="K5" s="33" t="s">
        <v>159</v>
      </c>
      <c r="L5" s="33" t="s">
        <v>160</v>
      </c>
      <c r="M5" s="33" t="s">
        <v>159</v>
      </c>
      <c r="N5" s="33" t="s">
        <v>160</v>
      </c>
      <c r="O5" s="33" t="s">
        <v>159</v>
      </c>
      <c r="P5" s="33" t="s">
        <v>159</v>
      </c>
      <c r="Q5" s="33">
        <v>3</v>
      </c>
      <c r="R5" s="33" t="s">
        <v>159</v>
      </c>
      <c r="S5" s="1" t="s">
        <v>164</v>
      </c>
      <c r="T5" s="1" t="s">
        <v>192</v>
      </c>
      <c r="U5" s="1" t="s">
        <v>162</v>
      </c>
      <c r="V5" s="1" t="s">
        <v>162</v>
      </c>
      <c r="W5" s="34" t="s">
        <v>162</v>
      </c>
      <c r="X5" s="1" t="s">
        <v>165</v>
      </c>
      <c r="Y5" s="1" t="s">
        <v>165</v>
      </c>
      <c r="Z5" s="1">
        <v>1998</v>
      </c>
      <c r="AA5" s="1" t="s">
        <v>160</v>
      </c>
      <c r="AB5" s="1" t="s">
        <v>159</v>
      </c>
      <c r="AC5" s="1" t="s">
        <v>180</v>
      </c>
      <c r="AD5" s="1" t="s">
        <v>159</v>
      </c>
      <c r="AE5" s="1" t="s">
        <v>159</v>
      </c>
      <c r="AF5" s="1" t="s">
        <v>159</v>
      </c>
      <c r="AG5" s="1" t="s">
        <v>159</v>
      </c>
      <c r="AH5" s="1" t="s">
        <v>160</v>
      </c>
      <c r="AI5" s="1" t="s">
        <v>160</v>
      </c>
      <c r="AJ5" s="1" t="s">
        <v>159</v>
      </c>
      <c r="AK5" s="1" t="s">
        <v>181</v>
      </c>
      <c r="AL5" s="1" t="s">
        <v>159</v>
      </c>
      <c r="AM5" s="1" t="s">
        <v>193</v>
      </c>
      <c r="AN5" s="1" t="s">
        <v>159</v>
      </c>
    </row>
    <row r="6" spans="1:40" ht="15" x14ac:dyDescent="0.2">
      <c r="A6" s="1" t="s">
        <v>174</v>
      </c>
      <c r="B6" s="1" t="s">
        <v>175</v>
      </c>
      <c r="C6" s="1" t="s">
        <v>157</v>
      </c>
      <c r="D6" s="1" t="s">
        <v>197</v>
      </c>
      <c r="E6" s="32" t="s">
        <v>160</v>
      </c>
      <c r="F6" s="33" t="s">
        <v>159</v>
      </c>
      <c r="G6" s="33" t="s">
        <v>159</v>
      </c>
      <c r="H6" s="33" t="s">
        <v>159</v>
      </c>
      <c r="I6" s="33" t="s">
        <v>159</v>
      </c>
      <c r="J6" s="33" t="s">
        <v>159</v>
      </c>
      <c r="K6" s="33" t="s">
        <v>159</v>
      </c>
      <c r="L6" s="33" t="s">
        <v>159</v>
      </c>
      <c r="M6" s="33" t="s">
        <v>159</v>
      </c>
      <c r="N6" s="33" t="s">
        <v>159</v>
      </c>
      <c r="O6" s="33" t="s">
        <v>159</v>
      </c>
      <c r="P6" s="33" t="s">
        <v>159</v>
      </c>
      <c r="Q6" s="33">
        <v>0</v>
      </c>
      <c r="R6" s="33" t="s">
        <v>159</v>
      </c>
      <c r="S6" s="1" t="s">
        <v>198</v>
      </c>
      <c r="T6" s="1" t="s">
        <v>198</v>
      </c>
      <c r="U6" s="1" t="s">
        <v>198</v>
      </c>
      <c r="V6" s="1" t="s">
        <v>198</v>
      </c>
      <c r="W6" s="34" t="s">
        <v>198</v>
      </c>
      <c r="X6" s="1" t="s">
        <v>165</v>
      </c>
      <c r="Y6" s="1" t="s">
        <v>165</v>
      </c>
      <c r="Z6" s="1">
        <v>1999</v>
      </c>
      <c r="AA6" s="1" t="s">
        <v>160</v>
      </c>
      <c r="AB6" s="1" t="s">
        <v>159</v>
      </c>
      <c r="AC6" s="1" t="s">
        <v>180</v>
      </c>
      <c r="AD6" s="1" t="s">
        <v>159</v>
      </c>
      <c r="AE6" s="1" t="s">
        <v>159</v>
      </c>
      <c r="AF6" s="1" t="s">
        <v>159</v>
      </c>
      <c r="AG6" s="35"/>
      <c r="AH6" s="1" t="s">
        <v>159</v>
      </c>
      <c r="AI6" s="1" t="s">
        <v>159</v>
      </c>
      <c r="AJ6" s="1" t="s">
        <v>159</v>
      </c>
      <c r="AK6" s="1" t="s">
        <v>167</v>
      </c>
      <c r="AL6" s="1" t="s">
        <v>159</v>
      </c>
      <c r="AM6" s="1" t="s">
        <v>182</v>
      </c>
      <c r="AN6" s="1" t="s">
        <v>159</v>
      </c>
    </row>
    <row r="7" spans="1:40" ht="15" x14ac:dyDescent="0.2">
      <c r="A7" s="1" t="s">
        <v>174</v>
      </c>
      <c r="B7" s="1" t="s">
        <v>175</v>
      </c>
      <c r="C7" s="1" t="s">
        <v>157</v>
      </c>
      <c r="D7" s="1" t="s">
        <v>202</v>
      </c>
      <c r="E7" s="32" t="s">
        <v>160</v>
      </c>
      <c r="F7" s="33" t="s">
        <v>160</v>
      </c>
      <c r="G7" s="33" t="s">
        <v>159</v>
      </c>
      <c r="H7" s="33" t="s">
        <v>159</v>
      </c>
      <c r="I7" s="33" t="s">
        <v>159</v>
      </c>
      <c r="J7" s="33" t="s">
        <v>159</v>
      </c>
      <c r="K7" s="33" t="s">
        <v>160</v>
      </c>
      <c r="L7" s="33" t="s">
        <v>160</v>
      </c>
      <c r="M7" s="33" t="s">
        <v>159</v>
      </c>
      <c r="N7" s="33" t="s">
        <v>159</v>
      </c>
      <c r="O7" s="33" t="s">
        <v>159</v>
      </c>
      <c r="P7" s="33" t="s">
        <v>159</v>
      </c>
      <c r="Q7" s="33">
        <v>1</v>
      </c>
      <c r="R7" s="33" t="s">
        <v>159</v>
      </c>
      <c r="S7" s="1" t="s">
        <v>198</v>
      </c>
      <c r="T7" s="1" t="s">
        <v>163</v>
      </c>
      <c r="U7" s="1" t="s">
        <v>163</v>
      </c>
      <c r="V7" s="1" t="s">
        <v>163</v>
      </c>
      <c r="W7" s="34" t="s">
        <v>163</v>
      </c>
      <c r="X7" s="1" t="s">
        <v>165</v>
      </c>
      <c r="Y7" s="1" t="s">
        <v>165</v>
      </c>
      <c r="Z7" s="1">
        <v>1998</v>
      </c>
      <c r="AA7" s="1" t="s">
        <v>160</v>
      </c>
      <c r="AB7" s="1" t="s">
        <v>159</v>
      </c>
      <c r="AC7" s="1" t="s">
        <v>203</v>
      </c>
      <c r="AD7" s="1" t="s">
        <v>159</v>
      </c>
      <c r="AE7" s="1" t="s">
        <v>159</v>
      </c>
      <c r="AF7" s="1" t="s">
        <v>159</v>
      </c>
      <c r="AG7" s="1" t="s">
        <v>159</v>
      </c>
      <c r="AH7" s="1" t="s">
        <v>159</v>
      </c>
      <c r="AI7" s="1" t="s">
        <v>159</v>
      </c>
      <c r="AJ7" s="35"/>
      <c r="AK7" s="1" t="s">
        <v>167</v>
      </c>
      <c r="AL7" s="1" t="s">
        <v>159</v>
      </c>
      <c r="AM7" s="1" t="s">
        <v>204</v>
      </c>
      <c r="AN7" s="1" t="s">
        <v>159</v>
      </c>
    </row>
    <row r="8" spans="1:40" ht="15" x14ac:dyDescent="0.2">
      <c r="A8" s="1" t="s">
        <v>174</v>
      </c>
      <c r="B8" s="1" t="s">
        <v>208</v>
      </c>
      <c r="C8" s="1" t="s">
        <v>176</v>
      </c>
      <c r="D8" s="1" t="s">
        <v>209</v>
      </c>
      <c r="E8" s="32" t="s">
        <v>160</v>
      </c>
      <c r="F8" s="33" t="s">
        <v>160</v>
      </c>
      <c r="G8" s="33" t="s">
        <v>160</v>
      </c>
      <c r="H8" s="33" t="s">
        <v>160</v>
      </c>
      <c r="I8" s="33" t="s">
        <v>159</v>
      </c>
      <c r="J8" s="33" t="s">
        <v>159</v>
      </c>
      <c r="K8" s="33" t="s">
        <v>159</v>
      </c>
      <c r="L8" s="33" t="s">
        <v>160</v>
      </c>
      <c r="M8" s="33" t="s">
        <v>160</v>
      </c>
      <c r="N8" s="33" t="s">
        <v>159</v>
      </c>
      <c r="O8" s="33" t="s">
        <v>159</v>
      </c>
      <c r="P8" s="33" t="s">
        <v>159</v>
      </c>
      <c r="Q8" s="33">
        <v>0</v>
      </c>
      <c r="R8" s="33" t="s">
        <v>159</v>
      </c>
      <c r="S8" s="1" t="s">
        <v>163</v>
      </c>
      <c r="T8" s="1" t="s">
        <v>163</v>
      </c>
      <c r="U8" s="1" t="s">
        <v>163</v>
      </c>
      <c r="V8" s="1" t="s">
        <v>163</v>
      </c>
      <c r="W8" s="34" t="s">
        <v>164</v>
      </c>
      <c r="X8" s="1" t="s">
        <v>165</v>
      </c>
      <c r="Y8" s="1" t="s">
        <v>165</v>
      </c>
      <c r="Z8" s="1">
        <v>2000</v>
      </c>
      <c r="AA8" s="1" t="s">
        <v>160</v>
      </c>
      <c r="AB8" s="1" t="s">
        <v>159</v>
      </c>
      <c r="AC8" s="1" t="s">
        <v>210</v>
      </c>
      <c r="AD8" s="1" t="s">
        <v>159</v>
      </c>
      <c r="AE8" s="1" t="s">
        <v>159</v>
      </c>
      <c r="AF8" s="1" t="s">
        <v>159</v>
      </c>
      <c r="AG8" s="1" t="s">
        <v>159</v>
      </c>
      <c r="AH8" s="1" t="s">
        <v>159</v>
      </c>
      <c r="AI8" s="1" t="s">
        <v>159</v>
      </c>
      <c r="AJ8" s="35"/>
      <c r="AK8" s="1" t="s">
        <v>181</v>
      </c>
      <c r="AL8" s="1" t="s">
        <v>159</v>
      </c>
      <c r="AM8" s="1" t="s">
        <v>211</v>
      </c>
      <c r="AN8" s="1" t="s">
        <v>159</v>
      </c>
    </row>
    <row r="9" spans="1:40" ht="15" x14ac:dyDescent="0.2">
      <c r="A9" s="1" t="s">
        <v>174</v>
      </c>
      <c r="B9" s="1" t="s">
        <v>175</v>
      </c>
      <c r="C9" s="1" t="s">
        <v>157</v>
      </c>
      <c r="D9" s="1" t="s">
        <v>215</v>
      </c>
      <c r="E9" s="32" t="s">
        <v>160</v>
      </c>
      <c r="F9" s="33" t="s">
        <v>160</v>
      </c>
      <c r="G9" s="33" t="s">
        <v>159</v>
      </c>
      <c r="H9" s="33" t="s">
        <v>159</v>
      </c>
      <c r="I9" s="33" t="s">
        <v>159</v>
      </c>
      <c r="J9" s="33" t="s">
        <v>159</v>
      </c>
      <c r="K9" s="33" t="s">
        <v>159</v>
      </c>
      <c r="L9" s="33" t="s">
        <v>160</v>
      </c>
      <c r="M9" s="33" t="s">
        <v>159</v>
      </c>
      <c r="N9" s="33" t="s">
        <v>159</v>
      </c>
      <c r="O9" s="33" t="s">
        <v>159</v>
      </c>
      <c r="P9" s="33" t="s">
        <v>159</v>
      </c>
      <c r="Q9" s="33">
        <v>0</v>
      </c>
      <c r="R9" s="33" t="s">
        <v>159</v>
      </c>
      <c r="S9" s="1" t="s">
        <v>192</v>
      </c>
      <c r="T9" s="1" t="s">
        <v>163</v>
      </c>
      <c r="U9" s="1" t="s">
        <v>163</v>
      </c>
      <c r="V9" s="1" t="s">
        <v>163</v>
      </c>
      <c r="W9" s="34" t="s">
        <v>192</v>
      </c>
      <c r="X9" s="1" t="s">
        <v>165</v>
      </c>
      <c r="Y9" s="1" t="s">
        <v>165</v>
      </c>
      <c r="Z9" s="1">
        <v>1997</v>
      </c>
      <c r="AA9" s="1" t="s">
        <v>160</v>
      </c>
      <c r="AB9" s="1" t="s">
        <v>159</v>
      </c>
      <c r="AC9" s="1" t="s">
        <v>210</v>
      </c>
      <c r="AD9" s="1" t="s">
        <v>159</v>
      </c>
      <c r="AE9" s="1" t="s">
        <v>159</v>
      </c>
      <c r="AF9" s="1" t="s">
        <v>159</v>
      </c>
      <c r="AG9" s="1" t="s">
        <v>159</v>
      </c>
      <c r="AH9" s="1" t="s">
        <v>159</v>
      </c>
      <c r="AI9" s="1" t="s">
        <v>160</v>
      </c>
      <c r="AJ9" s="1" t="s">
        <v>159</v>
      </c>
      <c r="AK9" s="1" t="s">
        <v>181</v>
      </c>
      <c r="AL9" s="1" t="s">
        <v>159</v>
      </c>
      <c r="AM9" s="1" t="s">
        <v>216</v>
      </c>
      <c r="AN9" s="1" t="s">
        <v>159</v>
      </c>
    </row>
    <row r="10" spans="1:40" ht="15" x14ac:dyDescent="0.2">
      <c r="A10" s="35" t="s">
        <v>174</v>
      </c>
      <c r="B10" s="35" t="s">
        <v>175</v>
      </c>
      <c r="C10" s="35" t="s">
        <v>157</v>
      </c>
      <c r="D10" s="35" t="s">
        <v>220</v>
      </c>
      <c r="E10" s="32" t="s">
        <v>159</v>
      </c>
      <c r="F10" s="33" t="s">
        <v>159</v>
      </c>
      <c r="G10" s="33" t="s">
        <v>159</v>
      </c>
      <c r="H10" s="33" t="s">
        <v>159</v>
      </c>
      <c r="I10" s="33" t="s">
        <v>159</v>
      </c>
      <c r="J10" s="33" t="s">
        <v>159</v>
      </c>
      <c r="K10" s="33" t="s">
        <v>159</v>
      </c>
      <c r="L10" s="33" t="s">
        <v>159</v>
      </c>
      <c r="M10" s="33" t="s">
        <v>159</v>
      </c>
      <c r="N10" s="33" t="s">
        <v>159</v>
      </c>
      <c r="O10" s="33" t="s">
        <v>159</v>
      </c>
      <c r="P10" s="33" t="s">
        <v>159</v>
      </c>
      <c r="Q10" s="33">
        <v>0</v>
      </c>
      <c r="R10" s="33" t="s">
        <v>159</v>
      </c>
      <c r="S10" s="35" t="s">
        <v>163</v>
      </c>
      <c r="T10" s="35" t="s">
        <v>163</v>
      </c>
      <c r="U10" s="35" t="s">
        <v>163</v>
      </c>
      <c r="V10" s="35" t="s">
        <v>162</v>
      </c>
      <c r="W10" s="34" t="s">
        <v>163</v>
      </c>
      <c r="X10" s="35" t="s">
        <v>165</v>
      </c>
      <c r="Y10" s="35" t="s">
        <v>165</v>
      </c>
      <c r="Z10" s="35">
        <v>31769</v>
      </c>
      <c r="AA10" s="35" t="s">
        <v>160</v>
      </c>
      <c r="AB10" s="35" t="s">
        <v>159</v>
      </c>
      <c r="AC10" s="35" t="s">
        <v>166</v>
      </c>
      <c r="AD10" s="35" t="s">
        <v>159</v>
      </c>
      <c r="AE10" s="35" t="s">
        <v>159</v>
      </c>
      <c r="AF10" s="35" t="s">
        <v>159</v>
      </c>
      <c r="AG10" s="35" t="s">
        <v>159</v>
      </c>
      <c r="AH10" s="35" t="s">
        <v>159</v>
      </c>
      <c r="AI10" s="35" t="s">
        <v>159</v>
      </c>
      <c r="AJ10" s="35"/>
      <c r="AK10" s="35" t="s">
        <v>222</v>
      </c>
      <c r="AL10" s="35" t="s">
        <v>159</v>
      </c>
      <c r="AM10" s="35" t="s">
        <v>182</v>
      </c>
      <c r="AN10" s="35" t="s">
        <v>160</v>
      </c>
    </row>
    <row r="11" spans="1:40" ht="15" x14ac:dyDescent="0.2">
      <c r="A11" s="36" t="s">
        <v>174</v>
      </c>
      <c r="B11" s="36" t="s">
        <v>226</v>
      </c>
      <c r="C11" s="36" t="s">
        <v>157</v>
      </c>
      <c r="D11" s="36" t="s">
        <v>227</v>
      </c>
      <c r="E11" s="33" t="s">
        <v>160</v>
      </c>
      <c r="F11" s="33" t="s">
        <v>160</v>
      </c>
      <c r="G11" s="33" t="s">
        <v>160</v>
      </c>
      <c r="H11" s="33" t="s">
        <v>159</v>
      </c>
      <c r="I11" s="33" t="s">
        <v>159</v>
      </c>
      <c r="J11" s="33" t="s">
        <v>159</v>
      </c>
      <c r="K11" s="33" t="s">
        <v>159</v>
      </c>
      <c r="L11" s="33" t="s">
        <v>160</v>
      </c>
      <c r="M11" s="33" t="s">
        <v>159</v>
      </c>
      <c r="N11" s="33" t="s">
        <v>160</v>
      </c>
      <c r="O11" s="33" t="s">
        <v>160</v>
      </c>
      <c r="P11" s="33" t="s">
        <v>159</v>
      </c>
      <c r="Q11" s="33">
        <v>0</v>
      </c>
      <c r="R11" s="33" t="s">
        <v>159</v>
      </c>
      <c r="S11" s="36" t="s">
        <v>163</v>
      </c>
      <c r="T11" s="36" t="s">
        <v>192</v>
      </c>
      <c r="U11" s="36" t="s">
        <v>164</v>
      </c>
      <c r="V11" s="36" t="s">
        <v>163</v>
      </c>
      <c r="W11" s="37" t="s">
        <v>192</v>
      </c>
      <c r="X11" s="36" t="s">
        <v>165</v>
      </c>
      <c r="Y11" s="36" t="s">
        <v>165</v>
      </c>
      <c r="Z11" s="36">
        <v>1997</v>
      </c>
      <c r="AA11" s="36" t="s">
        <v>160</v>
      </c>
      <c r="AB11" s="36" t="s">
        <v>159</v>
      </c>
      <c r="AC11" s="36" t="s">
        <v>210</v>
      </c>
      <c r="AD11" s="36" t="s">
        <v>159</v>
      </c>
      <c r="AE11" s="36" t="s">
        <v>159</v>
      </c>
      <c r="AF11" s="36" t="s">
        <v>159</v>
      </c>
      <c r="AG11" s="36" t="s">
        <v>160</v>
      </c>
      <c r="AH11" s="36" t="s">
        <v>160</v>
      </c>
      <c r="AI11" s="36" t="s">
        <v>160</v>
      </c>
      <c r="AJ11" s="36" t="s">
        <v>159</v>
      </c>
      <c r="AK11" s="36" t="s">
        <v>181</v>
      </c>
      <c r="AL11" s="36" t="s">
        <v>159</v>
      </c>
      <c r="AM11" s="36" t="s">
        <v>228</v>
      </c>
      <c r="AN11" s="36" t="s">
        <v>160</v>
      </c>
    </row>
    <row r="12" spans="1:40" ht="15" x14ac:dyDescent="0.2">
      <c r="A12" s="1" t="s">
        <v>174</v>
      </c>
      <c r="B12" s="1" t="s">
        <v>208</v>
      </c>
      <c r="C12" s="1" t="s">
        <v>176</v>
      </c>
      <c r="D12" s="1" t="s">
        <v>774</v>
      </c>
      <c r="E12" s="32" t="s">
        <v>159</v>
      </c>
      <c r="F12" s="33" t="s">
        <v>160</v>
      </c>
      <c r="G12" s="33" t="s">
        <v>160</v>
      </c>
      <c r="H12" s="33" t="s">
        <v>160</v>
      </c>
      <c r="I12" s="33" t="s">
        <v>160</v>
      </c>
      <c r="J12" s="33" t="s">
        <v>159</v>
      </c>
      <c r="K12" s="33" t="s">
        <v>160</v>
      </c>
      <c r="L12" s="33" t="s">
        <v>160</v>
      </c>
      <c r="M12" s="33" t="s">
        <v>159</v>
      </c>
      <c r="N12" s="33" t="s">
        <v>160</v>
      </c>
      <c r="O12" s="33" t="s">
        <v>160</v>
      </c>
      <c r="P12" s="33" t="s">
        <v>160</v>
      </c>
      <c r="Q12" s="33">
        <v>3</v>
      </c>
      <c r="R12" s="33" t="s">
        <v>160</v>
      </c>
      <c r="S12" s="1" t="s">
        <v>163</v>
      </c>
      <c r="T12" s="1" t="s">
        <v>162</v>
      </c>
      <c r="U12" s="1" t="s">
        <v>162</v>
      </c>
      <c r="V12" s="1" t="s">
        <v>163</v>
      </c>
      <c r="W12" s="34" t="s">
        <v>163</v>
      </c>
      <c r="X12" s="1" t="s">
        <v>179</v>
      </c>
      <c r="Y12" s="1" t="s">
        <v>179</v>
      </c>
      <c r="Z12" s="1">
        <v>2000</v>
      </c>
      <c r="AA12" s="1" t="s">
        <v>160</v>
      </c>
      <c r="AB12" s="1" t="s">
        <v>159</v>
      </c>
      <c r="AC12" s="1" t="s">
        <v>166</v>
      </c>
      <c r="AD12" s="1" t="s">
        <v>159</v>
      </c>
      <c r="AE12" s="1" t="s">
        <v>159</v>
      </c>
      <c r="AF12" s="1" t="s">
        <v>159</v>
      </c>
      <c r="AG12" s="1" t="s">
        <v>159</v>
      </c>
      <c r="AH12" s="1" t="s">
        <v>159</v>
      </c>
      <c r="AI12" s="1" t="s">
        <v>159</v>
      </c>
      <c r="AJ12" s="1" t="s">
        <v>159</v>
      </c>
      <c r="AK12" s="1" t="s">
        <v>167</v>
      </c>
      <c r="AL12" s="1" t="s">
        <v>160</v>
      </c>
      <c r="AM12" s="1" t="s">
        <v>193</v>
      </c>
      <c r="AN12" s="38" t="s">
        <v>160</v>
      </c>
    </row>
    <row r="13" spans="1:40" ht="15" x14ac:dyDescent="0.2">
      <c r="A13" s="1" t="s">
        <v>174</v>
      </c>
      <c r="B13" s="1" t="s">
        <v>208</v>
      </c>
      <c r="C13" s="1" t="s">
        <v>263</v>
      </c>
      <c r="D13" s="1" t="s">
        <v>701</v>
      </c>
      <c r="E13" s="32" t="s">
        <v>159</v>
      </c>
      <c r="F13" s="33" t="s">
        <v>159</v>
      </c>
      <c r="G13" s="33" t="s">
        <v>159</v>
      </c>
      <c r="H13" s="33" t="s">
        <v>159</v>
      </c>
      <c r="I13" s="33" t="s">
        <v>160</v>
      </c>
      <c r="J13" s="33" t="s">
        <v>160</v>
      </c>
      <c r="K13" s="33" t="s">
        <v>160</v>
      </c>
      <c r="L13" s="33" t="s">
        <v>160</v>
      </c>
      <c r="M13" s="33" t="s">
        <v>160</v>
      </c>
      <c r="N13" s="33" t="s">
        <v>160</v>
      </c>
      <c r="O13" s="33" t="s">
        <v>159</v>
      </c>
      <c r="P13" s="33" t="s">
        <v>159</v>
      </c>
      <c r="Q13" s="33">
        <v>1</v>
      </c>
      <c r="R13" s="33" t="s">
        <v>159</v>
      </c>
      <c r="S13" s="1" t="s">
        <v>192</v>
      </c>
      <c r="T13" s="1" t="s">
        <v>164</v>
      </c>
      <c r="U13" s="1" t="s">
        <v>164</v>
      </c>
      <c r="V13" s="1" t="s">
        <v>192</v>
      </c>
      <c r="W13" s="34" t="s">
        <v>192</v>
      </c>
      <c r="X13" s="1" t="s">
        <v>179</v>
      </c>
      <c r="Y13" s="1" t="s">
        <v>165</v>
      </c>
      <c r="Z13" s="1">
        <v>2000</v>
      </c>
      <c r="AA13" s="1" t="s">
        <v>160</v>
      </c>
      <c r="AB13" s="1" t="s">
        <v>159</v>
      </c>
      <c r="AC13" s="1" t="s">
        <v>180</v>
      </c>
      <c r="AD13" s="1" t="s">
        <v>159</v>
      </c>
      <c r="AE13" s="1" t="s">
        <v>159</v>
      </c>
      <c r="AF13" s="1" t="s">
        <v>159</v>
      </c>
      <c r="AG13" s="1" t="s">
        <v>159</v>
      </c>
      <c r="AH13" s="1" t="s">
        <v>159</v>
      </c>
      <c r="AI13" s="1" t="s">
        <v>159</v>
      </c>
      <c r="AJ13" s="1" t="s">
        <v>159</v>
      </c>
      <c r="AK13" s="1" t="s">
        <v>167</v>
      </c>
      <c r="AL13" s="1" t="s">
        <v>159</v>
      </c>
      <c r="AM13" s="1" t="s">
        <v>182</v>
      </c>
      <c r="AN13" s="38" t="s">
        <v>160</v>
      </c>
    </row>
    <row r="14" spans="1:40" ht="15" x14ac:dyDescent="0.2">
      <c r="A14" s="36" t="s">
        <v>155</v>
      </c>
      <c r="B14" s="36" t="s">
        <v>175</v>
      </c>
      <c r="C14" s="36" t="s">
        <v>157</v>
      </c>
      <c r="D14" s="36" t="s">
        <v>2298</v>
      </c>
      <c r="E14" s="33" t="s">
        <v>159</v>
      </c>
      <c r="F14" s="33" t="s">
        <v>159</v>
      </c>
      <c r="G14" s="33" t="s">
        <v>159</v>
      </c>
      <c r="H14" s="33" t="s">
        <v>159</v>
      </c>
      <c r="I14" s="33" t="s">
        <v>159</v>
      </c>
      <c r="J14" s="33" t="s">
        <v>159</v>
      </c>
      <c r="K14" s="33" t="s">
        <v>159</v>
      </c>
      <c r="L14" s="33" t="s">
        <v>159</v>
      </c>
      <c r="M14" s="33" t="s">
        <v>159</v>
      </c>
      <c r="N14" s="33" t="s">
        <v>159</v>
      </c>
      <c r="O14" s="33" t="s">
        <v>159</v>
      </c>
      <c r="P14" s="33" t="s">
        <v>159</v>
      </c>
      <c r="Q14" s="33">
        <v>0</v>
      </c>
      <c r="R14" s="33" t="s">
        <v>159</v>
      </c>
      <c r="S14" s="36" t="s">
        <v>164</v>
      </c>
      <c r="T14" s="36" t="s">
        <v>164</v>
      </c>
      <c r="U14" s="36" t="s">
        <v>164</v>
      </c>
      <c r="V14" s="36" t="s">
        <v>164</v>
      </c>
      <c r="W14" s="37" t="s">
        <v>192</v>
      </c>
      <c r="X14" s="36" t="s">
        <v>165</v>
      </c>
      <c r="Y14" s="36" t="s">
        <v>165</v>
      </c>
      <c r="Z14" s="36">
        <v>1999</v>
      </c>
      <c r="AA14" s="36" t="s">
        <v>160</v>
      </c>
      <c r="AB14" s="36" t="s">
        <v>159</v>
      </c>
      <c r="AC14" s="36" t="s">
        <v>180</v>
      </c>
      <c r="AD14" s="36" t="s">
        <v>159</v>
      </c>
      <c r="AE14" s="36" t="s">
        <v>159</v>
      </c>
      <c r="AF14" s="36" t="s">
        <v>159</v>
      </c>
      <c r="AG14" s="36" t="s">
        <v>159</v>
      </c>
      <c r="AH14" s="36" t="s">
        <v>159</v>
      </c>
      <c r="AI14" s="36" t="s">
        <v>160</v>
      </c>
      <c r="AJ14" s="36" t="s">
        <v>159</v>
      </c>
      <c r="AK14" s="36" t="s">
        <v>181</v>
      </c>
      <c r="AL14" s="36" t="s">
        <v>159</v>
      </c>
      <c r="AM14" s="36" t="s">
        <v>182</v>
      </c>
      <c r="AN14" s="36" t="s">
        <v>160</v>
      </c>
    </row>
    <row r="15" spans="1:40" ht="15" x14ac:dyDescent="0.2">
      <c r="A15" s="39" t="s">
        <v>155</v>
      </c>
      <c r="B15" s="39" t="s">
        <v>156</v>
      </c>
      <c r="C15" s="39" t="s">
        <v>176</v>
      </c>
      <c r="D15" s="39" t="s">
        <v>2303</v>
      </c>
      <c r="E15" s="32" t="s">
        <v>159</v>
      </c>
      <c r="F15" s="33" t="s">
        <v>159</v>
      </c>
      <c r="G15" s="33" t="s">
        <v>159</v>
      </c>
      <c r="H15" s="33" t="s">
        <v>159</v>
      </c>
      <c r="I15" s="33" t="s">
        <v>159</v>
      </c>
      <c r="J15" s="33" t="s">
        <v>159</v>
      </c>
      <c r="K15" s="33" t="s">
        <v>159</v>
      </c>
      <c r="L15" s="33" t="s">
        <v>160</v>
      </c>
      <c r="M15" s="33" t="s">
        <v>159</v>
      </c>
      <c r="N15" s="33" t="s">
        <v>159</v>
      </c>
      <c r="O15" s="33" t="s">
        <v>159</v>
      </c>
      <c r="P15" s="33" t="s">
        <v>159</v>
      </c>
      <c r="Q15" s="33"/>
      <c r="R15" s="33" t="s">
        <v>159</v>
      </c>
      <c r="S15" s="39" t="s">
        <v>162</v>
      </c>
      <c r="T15" s="39" t="s">
        <v>163</v>
      </c>
      <c r="U15" s="39" t="s">
        <v>162</v>
      </c>
      <c r="V15" s="39" t="s">
        <v>162</v>
      </c>
      <c r="W15" s="34" t="s">
        <v>163</v>
      </c>
      <c r="X15" s="39" t="s">
        <v>165</v>
      </c>
      <c r="Y15" s="39" t="s">
        <v>165</v>
      </c>
      <c r="Z15" s="39">
        <v>1994</v>
      </c>
      <c r="AA15" s="39" t="s">
        <v>160</v>
      </c>
      <c r="AB15" s="39" t="s">
        <v>159</v>
      </c>
      <c r="AC15" s="39" t="s">
        <v>1366</v>
      </c>
      <c r="AD15" s="39" t="s">
        <v>159</v>
      </c>
      <c r="AE15" s="39" t="s">
        <v>159</v>
      </c>
      <c r="AF15" s="39" t="s">
        <v>159</v>
      </c>
      <c r="AG15" s="39" t="s">
        <v>159</v>
      </c>
      <c r="AH15" s="39" t="s">
        <v>159</v>
      </c>
      <c r="AI15" s="39" t="s">
        <v>159</v>
      </c>
      <c r="AJ15" s="39" t="s">
        <v>159</v>
      </c>
      <c r="AK15" s="39" t="s">
        <v>181</v>
      </c>
      <c r="AL15" s="39" t="s">
        <v>159</v>
      </c>
      <c r="AM15" s="39" t="s">
        <v>2304</v>
      </c>
      <c r="AN15" s="40" t="s">
        <v>160</v>
      </c>
    </row>
    <row r="16" spans="1:40" ht="15" x14ac:dyDescent="0.2">
      <c r="A16" s="41" t="s">
        <v>174</v>
      </c>
      <c r="B16" s="41" t="s">
        <v>226</v>
      </c>
      <c r="C16" s="41" t="s">
        <v>176</v>
      </c>
      <c r="D16" s="41" t="s">
        <v>976</v>
      </c>
      <c r="E16" s="32" t="s">
        <v>160</v>
      </c>
      <c r="F16" s="33" t="s">
        <v>160</v>
      </c>
      <c r="G16" s="33" t="s">
        <v>159</v>
      </c>
      <c r="H16" s="33" t="s">
        <v>159</v>
      </c>
      <c r="I16" s="33" t="s">
        <v>160</v>
      </c>
      <c r="J16" s="33" t="s">
        <v>159</v>
      </c>
      <c r="K16" s="33" t="s">
        <v>159</v>
      </c>
      <c r="L16" s="33" t="s">
        <v>159</v>
      </c>
      <c r="M16" s="33" t="s">
        <v>159</v>
      </c>
      <c r="N16" s="33" t="s">
        <v>159</v>
      </c>
      <c r="O16" s="33" t="s">
        <v>159</v>
      </c>
      <c r="P16" s="33" t="s">
        <v>160</v>
      </c>
      <c r="Q16" s="33">
        <v>1</v>
      </c>
      <c r="R16" s="33" t="s">
        <v>160</v>
      </c>
      <c r="S16" s="41" t="s">
        <v>163</v>
      </c>
      <c r="T16" s="41" t="s">
        <v>162</v>
      </c>
      <c r="U16" s="41" t="s">
        <v>163</v>
      </c>
      <c r="V16" s="41" t="s">
        <v>192</v>
      </c>
      <c r="W16" s="34" t="s">
        <v>162</v>
      </c>
      <c r="X16" s="41" t="s">
        <v>179</v>
      </c>
      <c r="Y16" s="41" t="s">
        <v>179</v>
      </c>
      <c r="Z16" s="41">
        <v>1997</v>
      </c>
      <c r="AA16" s="41" t="s">
        <v>160</v>
      </c>
      <c r="AB16" s="41" t="s">
        <v>159</v>
      </c>
      <c r="AC16" s="41" t="s">
        <v>180</v>
      </c>
      <c r="AD16" s="41" t="s">
        <v>159</v>
      </c>
      <c r="AE16" s="41" t="s">
        <v>159</v>
      </c>
      <c r="AF16" s="41" t="s">
        <v>159</v>
      </c>
      <c r="AG16" s="41" t="s">
        <v>159</v>
      </c>
      <c r="AH16" s="41" t="s">
        <v>159</v>
      </c>
      <c r="AI16" s="41" t="s">
        <v>159</v>
      </c>
      <c r="AJ16" s="41" t="s">
        <v>159</v>
      </c>
      <c r="AK16" s="41" t="s">
        <v>167</v>
      </c>
      <c r="AL16" s="41" t="s">
        <v>159</v>
      </c>
      <c r="AM16" s="41" t="s">
        <v>193</v>
      </c>
      <c r="AN16" s="41" t="s">
        <v>159</v>
      </c>
    </row>
    <row r="17" spans="1:40" ht="15" x14ac:dyDescent="0.2">
      <c r="A17" s="35" t="s">
        <v>174</v>
      </c>
      <c r="B17" s="35" t="s">
        <v>274</v>
      </c>
      <c r="C17" s="35" t="s">
        <v>263</v>
      </c>
      <c r="D17" s="35" t="s">
        <v>463</v>
      </c>
      <c r="E17" s="32" t="s">
        <v>160</v>
      </c>
      <c r="F17" s="33" t="s">
        <v>160</v>
      </c>
      <c r="G17" s="33" t="s">
        <v>159</v>
      </c>
      <c r="H17" s="33" t="s">
        <v>160</v>
      </c>
      <c r="I17" s="33" t="s">
        <v>160</v>
      </c>
      <c r="J17" s="33" t="s">
        <v>159</v>
      </c>
      <c r="K17" s="33" t="s">
        <v>159</v>
      </c>
      <c r="L17" s="33" t="s">
        <v>159</v>
      </c>
      <c r="M17" s="33" t="s">
        <v>160</v>
      </c>
      <c r="N17" s="33" t="s">
        <v>159</v>
      </c>
      <c r="O17" s="33" t="s">
        <v>159</v>
      </c>
      <c r="P17" s="33" t="s">
        <v>159</v>
      </c>
      <c r="Q17" s="33">
        <v>0</v>
      </c>
      <c r="R17" s="33" t="s">
        <v>160</v>
      </c>
      <c r="S17" s="35" t="s">
        <v>164</v>
      </c>
      <c r="T17" s="35" t="s">
        <v>192</v>
      </c>
      <c r="U17" s="35" t="s">
        <v>164</v>
      </c>
      <c r="V17" s="35" t="s">
        <v>163</v>
      </c>
      <c r="W17" s="34" t="s">
        <v>192</v>
      </c>
      <c r="X17" s="35" t="s">
        <v>179</v>
      </c>
      <c r="Y17" s="35" t="s">
        <v>179</v>
      </c>
      <c r="Z17" s="35">
        <v>2000</v>
      </c>
      <c r="AA17" s="35" t="s">
        <v>160</v>
      </c>
      <c r="AB17" s="35" t="s">
        <v>159</v>
      </c>
      <c r="AC17" s="35" t="s">
        <v>180</v>
      </c>
      <c r="AD17" s="35" t="s">
        <v>159</v>
      </c>
      <c r="AE17" s="35" t="s">
        <v>159</v>
      </c>
      <c r="AF17" s="35" t="s">
        <v>159</v>
      </c>
      <c r="AG17" s="35" t="s">
        <v>159</v>
      </c>
      <c r="AH17" s="35" t="s">
        <v>159</v>
      </c>
      <c r="AI17" s="35" t="s">
        <v>159</v>
      </c>
      <c r="AJ17" s="35" t="s">
        <v>159</v>
      </c>
      <c r="AK17" s="35" t="s">
        <v>167</v>
      </c>
      <c r="AL17" s="35" t="s">
        <v>159</v>
      </c>
      <c r="AM17" s="35" t="s">
        <v>182</v>
      </c>
      <c r="AN17" s="35" t="s">
        <v>159</v>
      </c>
    </row>
    <row r="18" spans="1:40" ht="15" x14ac:dyDescent="0.2">
      <c r="A18" s="35" t="s">
        <v>174</v>
      </c>
      <c r="B18" s="35" t="s">
        <v>208</v>
      </c>
      <c r="C18" s="35" t="s">
        <v>237</v>
      </c>
      <c r="D18" s="35" t="s">
        <v>1606</v>
      </c>
      <c r="E18" s="32" t="s">
        <v>160</v>
      </c>
      <c r="F18" s="33" t="s">
        <v>159</v>
      </c>
      <c r="G18" s="33" t="s">
        <v>159</v>
      </c>
      <c r="H18" s="33" t="s">
        <v>159</v>
      </c>
      <c r="I18" s="33" t="s">
        <v>159</v>
      </c>
      <c r="J18" s="33" t="s">
        <v>159</v>
      </c>
      <c r="K18" s="33" t="s">
        <v>159</v>
      </c>
      <c r="L18" s="33" t="s">
        <v>160</v>
      </c>
      <c r="M18" s="33" t="s">
        <v>159</v>
      </c>
      <c r="N18" s="33" t="s">
        <v>159</v>
      </c>
      <c r="O18" s="33" t="s">
        <v>159</v>
      </c>
      <c r="P18" s="33" t="s">
        <v>159</v>
      </c>
      <c r="Q18" s="33">
        <v>0</v>
      </c>
      <c r="R18" s="33" t="s">
        <v>160</v>
      </c>
      <c r="S18" s="35" t="s">
        <v>163</v>
      </c>
      <c r="T18" s="35" t="s">
        <v>164</v>
      </c>
      <c r="U18" s="35" t="s">
        <v>192</v>
      </c>
      <c r="V18" s="35" t="s">
        <v>192</v>
      </c>
      <c r="W18" s="34" t="s">
        <v>164</v>
      </c>
      <c r="X18" s="35" t="s">
        <v>179</v>
      </c>
      <c r="Y18" s="35" t="s">
        <v>179</v>
      </c>
      <c r="Z18" s="35">
        <v>1999</v>
      </c>
      <c r="AA18" s="35" t="s">
        <v>160</v>
      </c>
      <c r="AB18" s="35" t="s">
        <v>159</v>
      </c>
      <c r="AC18" s="35" t="s">
        <v>180</v>
      </c>
      <c r="AD18" s="35" t="s">
        <v>159</v>
      </c>
      <c r="AE18" s="35" t="s">
        <v>159</v>
      </c>
      <c r="AF18" s="35" t="s">
        <v>159</v>
      </c>
      <c r="AG18" s="35" t="s">
        <v>159</v>
      </c>
      <c r="AH18" s="35" t="s">
        <v>159</v>
      </c>
      <c r="AI18" s="35" t="s">
        <v>159</v>
      </c>
      <c r="AJ18" s="35" t="s">
        <v>159</v>
      </c>
      <c r="AK18" s="35" t="s">
        <v>167</v>
      </c>
      <c r="AL18" s="35" t="s">
        <v>159</v>
      </c>
      <c r="AM18" s="35" t="s">
        <v>2328</v>
      </c>
      <c r="AN18" s="35" t="s">
        <v>159</v>
      </c>
    </row>
    <row r="19" spans="1:40" ht="15" x14ac:dyDescent="0.2">
      <c r="A19" s="39" t="s">
        <v>174</v>
      </c>
      <c r="B19" s="39" t="s">
        <v>226</v>
      </c>
      <c r="C19" s="39" t="s">
        <v>176</v>
      </c>
      <c r="D19" s="39" t="s">
        <v>868</v>
      </c>
      <c r="E19" s="32" t="s">
        <v>160</v>
      </c>
      <c r="F19" s="33" t="s">
        <v>159</v>
      </c>
      <c r="G19" s="33" t="s">
        <v>160</v>
      </c>
      <c r="H19" s="33" t="s">
        <v>159</v>
      </c>
      <c r="I19" s="33" t="s">
        <v>159</v>
      </c>
      <c r="J19" s="33" t="s">
        <v>160</v>
      </c>
      <c r="K19" s="33" t="s">
        <v>159</v>
      </c>
      <c r="L19" s="33" t="s">
        <v>159</v>
      </c>
      <c r="M19" s="33" t="s">
        <v>159</v>
      </c>
      <c r="N19" s="33" t="s">
        <v>160</v>
      </c>
      <c r="O19" s="33" t="s">
        <v>160</v>
      </c>
      <c r="P19" s="33" t="s">
        <v>160</v>
      </c>
      <c r="Q19" s="33">
        <v>2</v>
      </c>
      <c r="R19" s="33" t="s">
        <v>160</v>
      </c>
      <c r="S19" s="39" t="s">
        <v>198</v>
      </c>
      <c r="T19" s="39" t="s">
        <v>163</v>
      </c>
      <c r="U19" s="39" t="s">
        <v>192</v>
      </c>
      <c r="V19" s="39" t="s">
        <v>162</v>
      </c>
      <c r="W19" s="34" t="s">
        <v>163</v>
      </c>
      <c r="X19" s="39" t="s">
        <v>179</v>
      </c>
      <c r="Y19" s="39" t="s">
        <v>179</v>
      </c>
      <c r="Z19" s="39">
        <v>2001</v>
      </c>
      <c r="AA19" s="39" t="s">
        <v>160</v>
      </c>
      <c r="AB19" s="39" t="s">
        <v>159</v>
      </c>
      <c r="AC19" s="39" t="s">
        <v>180</v>
      </c>
      <c r="AD19" s="39" t="s">
        <v>159</v>
      </c>
      <c r="AE19" s="39" t="s">
        <v>159</v>
      </c>
      <c r="AF19" s="39" t="s">
        <v>159</v>
      </c>
      <c r="AG19" s="39" t="s">
        <v>159</v>
      </c>
      <c r="AH19" s="39" t="s">
        <v>159</v>
      </c>
      <c r="AI19" s="39" t="s">
        <v>159</v>
      </c>
      <c r="AJ19" s="39" t="s">
        <v>159</v>
      </c>
      <c r="AK19" s="39" t="s">
        <v>167</v>
      </c>
      <c r="AL19" s="39" t="s">
        <v>159</v>
      </c>
      <c r="AM19" s="39" t="s">
        <v>2332</v>
      </c>
      <c r="AN19" s="39" t="s">
        <v>159</v>
      </c>
    </row>
    <row r="20" spans="1:40" ht="15" x14ac:dyDescent="0.2">
      <c r="A20" s="35" t="s">
        <v>174</v>
      </c>
      <c r="B20" s="35" t="s">
        <v>274</v>
      </c>
      <c r="C20" s="35" t="s">
        <v>176</v>
      </c>
      <c r="D20" s="35" t="s">
        <v>2336</v>
      </c>
      <c r="E20" s="32"/>
      <c r="F20" s="33" t="s">
        <v>159</v>
      </c>
      <c r="G20" s="33" t="s">
        <v>160</v>
      </c>
      <c r="H20" s="33" t="s">
        <v>160</v>
      </c>
      <c r="I20" s="33" t="s">
        <v>159</v>
      </c>
      <c r="J20" s="33" t="s">
        <v>160</v>
      </c>
      <c r="K20" s="33" t="s">
        <v>159</v>
      </c>
      <c r="L20" s="33" t="s">
        <v>159</v>
      </c>
      <c r="M20" s="33" t="s">
        <v>159</v>
      </c>
      <c r="N20" s="33" t="s">
        <v>159</v>
      </c>
      <c r="O20" s="33" t="s">
        <v>159</v>
      </c>
      <c r="P20" s="33" t="s">
        <v>159</v>
      </c>
      <c r="Q20" s="33">
        <v>0</v>
      </c>
      <c r="R20" s="33" t="s">
        <v>160</v>
      </c>
      <c r="S20" s="35" t="s">
        <v>192</v>
      </c>
      <c r="T20" s="35" t="s">
        <v>164</v>
      </c>
      <c r="U20" s="35" t="s">
        <v>163</v>
      </c>
      <c r="V20" s="35" t="s">
        <v>192</v>
      </c>
      <c r="W20" s="34" t="s">
        <v>192</v>
      </c>
      <c r="X20" s="35" t="s">
        <v>179</v>
      </c>
      <c r="Y20" s="35" t="s">
        <v>179</v>
      </c>
      <c r="Z20" s="35">
        <v>2000</v>
      </c>
      <c r="AA20" s="35" t="s">
        <v>160</v>
      </c>
      <c r="AB20" s="35" t="s">
        <v>159</v>
      </c>
      <c r="AC20" s="35" t="s">
        <v>180</v>
      </c>
      <c r="AD20" s="35" t="s">
        <v>159</v>
      </c>
      <c r="AE20" s="35" t="s">
        <v>159</v>
      </c>
      <c r="AF20" s="35" t="s">
        <v>159</v>
      </c>
      <c r="AG20" s="35" t="s">
        <v>159</v>
      </c>
      <c r="AH20" s="35" t="s">
        <v>159</v>
      </c>
      <c r="AI20" s="35" t="s">
        <v>159</v>
      </c>
      <c r="AJ20" s="35" t="s">
        <v>159</v>
      </c>
      <c r="AK20" s="35" t="s">
        <v>167</v>
      </c>
      <c r="AL20" s="35" t="s">
        <v>159</v>
      </c>
      <c r="AM20" s="35" t="s">
        <v>193</v>
      </c>
      <c r="AN20" s="35" t="s">
        <v>159</v>
      </c>
    </row>
    <row r="21" spans="1:40" ht="15" x14ac:dyDescent="0.2">
      <c r="A21" s="35" t="s">
        <v>174</v>
      </c>
      <c r="B21" s="35" t="s">
        <v>226</v>
      </c>
      <c r="C21" s="35" t="s">
        <v>176</v>
      </c>
      <c r="D21" s="35" t="s">
        <v>2340</v>
      </c>
      <c r="E21" s="32" t="s">
        <v>159</v>
      </c>
      <c r="F21" s="33" t="s">
        <v>159</v>
      </c>
      <c r="G21" s="33" t="s">
        <v>159</v>
      </c>
      <c r="H21" s="33" t="s">
        <v>159</v>
      </c>
      <c r="I21" s="33" t="s">
        <v>159</v>
      </c>
      <c r="J21" s="33" t="s">
        <v>159</v>
      </c>
      <c r="K21" s="33" t="s">
        <v>159</v>
      </c>
      <c r="L21" s="33" t="s">
        <v>160</v>
      </c>
      <c r="M21" s="33" t="s">
        <v>159</v>
      </c>
      <c r="N21" s="33" t="s">
        <v>159</v>
      </c>
      <c r="O21" s="33" t="s">
        <v>159</v>
      </c>
      <c r="P21" s="33" t="s">
        <v>160</v>
      </c>
      <c r="Q21" s="33">
        <v>1</v>
      </c>
      <c r="R21" s="33" t="s">
        <v>160</v>
      </c>
      <c r="S21" s="35" t="s">
        <v>163</v>
      </c>
      <c r="T21" s="35" t="s">
        <v>163</v>
      </c>
      <c r="U21" s="35" t="s">
        <v>163</v>
      </c>
      <c r="V21" s="35" t="s">
        <v>163</v>
      </c>
      <c r="W21" s="34" t="s">
        <v>164</v>
      </c>
      <c r="X21" s="35" t="s">
        <v>179</v>
      </c>
      <c r="Y21" s="35" t="s">
        <v>179</v>
      </c>
      <c r="Z21" s="35">
        <v>2000</v>
      </c>
      <c r="AA21" s="35" t="s">
        <v>160</v>
      </c>
      <c r="AB21" s="35" t="s">
        <v>159</v>
      </c>
      <c r="AC21" s="35" t="s">
        <v>210</v>
      </c>
      <c r="AD21" s="35" t="s">
        <v>159</v>
      </c>
      <c r="AE21" s="35" t="s">
        <v>159</v>
      </c>
      <c r="AF21" s="35" t="s">
        <v>159</v>
      </c>
      <c r="AG21" s="35" t="s">
        <v>159</v>
      </c>
      <c r="AH21" s="35" t="s">
        <v>159</v>
      </c>
      <c r="AI21" s="35" t="s">
        <v>159</v>
      </c>
      <c r="AJ21" s="35" t="s">
        <v>159</v>
      </c>
      <c r="AK21" s="35" t="s">
        <v>181</v>
      </c>
      <c r="AL21" s="35" t="s">
        <v>159</v>
      </c>
      <c r="AM21" s="35" t="s">
        <v>193</v>
      </c>
      <c r="AN21" s="40" t="s">
        <v>160</v>
      </c>
    </row>
    <row r="22" spans="1:40" ht="15" x14ac:dyDescent="0.2">
      <c r="A22" s="39" t="s">
        <v>174</v>
      </c>
      <c r="B22" s="39" t="s">
        <v>274</v>
      </c>
      <c r="C22" s="39" t="s">
        <v>263</v>
      </c>
      <c r="D22" s="39" t="s">
        <v>441</v>
      </c>
      <c r="E22" s="32" t="s">
        <v>160</v>
      </c>
      <c r="F22" s="33" t="s">
        <v>160</v>
      </c>
      <c r="G22" s="33" t="s">
        <v>159</v>
      </c>
      <c r="H22" s="33" t="s">
        <v>160</v>
      </c>
      <c r="I22" s="33" t="s">
        <v>160</v>
      </c>
      <c r="J22" s="33" t="s">
        <v>160</v>
      </c>
      <c r="K22" s="33" t="s">
        <v>159</v>
      </c>
      <c r="L22" s="33" t="s">
        <v>159</v>
      </c>
      <c r="M22" s="33" t="s">
        <v>159</v>
      </c>
      <c r="N22" s="33" t="s">
        <v>160</v>
      </c>
      <c r="O22" s="33" t="s">
        <v>159</v>
      </c>
      <c r="P22" s="33" t="s">
        <v>159</v>
      </c>
      <c r="Q22" s="33">
        <v>2</v>
      </c>
      <c r="R22" s="33" t="s">
        <v>160</v>
      </c>
      <c r="S22" s="39" t="s">
        <v>198</v>
      </c>
      <c r="T22" s="39" t="s">
        <v>164</v>
      </c>
      <c r="U22" s="39" t="s">
        <v>164</v>
      </c>
      <c r="V22" s="39" t="s">
        <v>163</v>
      </c>
      <c r="W22" s="34" t="s">
        <v>164</v>
      </c>
      <c r="X22" s="39" t="s">
        <v>179</v>
      </c>
      <c r="Y22" s="39" t="s">
        <v>179</v>
      </c>
      <c r="Z22" s="39">
        <v>2000</v>
      </c>
      <c r="AA22" s="39" t="s">
        <v>160</v>
      </c>
      <c r="AB22" s="39" t="s">
        <v>159</v>
      </c>
      <c r="AC22" s="39" t="s">
        <v>180</v>
      </c>
      <c r="AD22" s="39" t="s">
        <v>159</v>
      </c>
      <c r="AE22" s="39" t="s">
        <v>159</v>
      </c>
      <c r="AF22" s="39" t="s">
        <v>159</v>
      </c>
      <c r="AG22" s="39" t="s">
        <v>159</v>
      </c>
      <c r="AH22" s="39" t="s">
        <v>159</v>
      </c>
      <c r="AI22" s="39" t="s">
        <v>159</v>
      </c>
      <c r="AJ22" s="39" t="s">
        <v>159</v>
      </c>
      <c r="AK22" s="39" t="s">
        <v>167</v>
      </c>
      <c r="AL22" s="39" t="s">
        <v>159</v>
      </c>
      <c r="AM22" s="39" t="s">
        <v>2332</v>
      </c>
      <c r="AN22" s="39" t="s">
        <v>159</v>
      </c>
    </row>
    <row r="23" spans="1:40" ht="15" x14ac:dyDescent="0.2">
      <c r="A23" s="35" t="s">
        <v>174</v>
      </c>
      <c r="B23" s="35" t="s">
        <v>274</v>
      </c>
      <c r="C23" s="35" t="s">
        <v>176</v>
      </c>
      <c r="D23" s="35" t="s">
        <v>790</v>
      </c>
      <c r="E23" s="32"/>
      <c r="F23" s="33" t="s">
        <v>159</v>
      </c>
      <c r="G23" s="33" t="s">
        <v>160</v>
      </c>
      <c r="H23" s="33" t="s">
        <v>159</v>
      </c>
      <c r="I23" s="33" t="s">
        <v>159</v>
      </c>
      <c r="J23" s="33" t="s">
        <v>159</v>
      </c>
      <c r="K23" s="33" t="s">
        <v>159</v>
      </c>
      <c r="L23" s="33" t="s">
        <v>160</v>
      </c>
      <c r="M23" s="33" t="s">
        <v>160</v>
      </c>
      <c r="N23" s="33" t="s">
        <v>160</v>
      </c>
      <c r="O23" s="33" t="s">
        <v>159</v>
      </c>
      <c r="P23" s="33" t="s">
        <v>159</v>
      </c>
      <c r="Q23" s="33">
        <v>2</v>
      </c>
      <c r="R23" s="33" t="s">
        <v>160</v>
      </c>
      <c r="S23" s="35" t="s">
        <v>163</v>
      </c>
      <c r="T23" s="35" t="s">
        <v>192</v>
      </c>
      <c r="U23" s="35" t="s">
        <v>163</v>
      </c>
      <c r="V23" s="35" t="s">
        <v>163</v>
      </c>
      <c r="W23" s="34" t="s">
        <v>163</v>
      </c>
      <c r="X23" s="35" t="s">
        <v>179</v>
      </c>
      <c r="Y23" s="35" t="s">
        <v>179</v>
      </c>
      <c r="Z23" s="35">
        <v>2001</v>
      </c>
      <c r="AA23" s="35" t="s">
        <v>160</v>
      </c>
      <c r="AB23" s="35" t="s">
        <v>159</v>
      </c>
      <c r="AC23" s="35" t="s">
        <v>180</v>
      </c>
      <c r="AD23" s="35" t="s">
        <v>159</v>
      </c>
      <c r="AE23" s="35" t="s">
        <v>159</v>
      </c>
      <c r="AF23" s="35" t="s">
        <v>159</v>
      </c>
      <c r="AG23" s="35" t="s">
        <v>159</v>
      </c>
      <c r="AH23" s="35" t="s">
        <v>159</v>
      </c>
      <c r="AI23" s="35" t="s">
        <v>159</v>
      </c>
      <c r="AJ23" s="35" t="s">
        <v>159</v>
      </c>
      <c r="AK23" s="35" t="s">
        <v>167</v>
      </c>
      <c r="AL23" s="35" t="s">
        <v>159</v>
      </c>
      <c r="AM23" s="35" t="s">
        <v>2328</v>
      </c>
      <c r="AN23" s="35" t="s">
        <v>159</v>
      </c>
    </row>
    <row r="24" spans="1:40" ht="15" x14ac:dyDescent="0.2">
      <c r="A24" s="35" t="s">
        <v>174</v>
      </c>
      <c r="B24" s="35" t="s">
        <v>226</v>
      </c>
      <c r="C24" s="35" t="s">
        <v>237</v>
      </c>
      <c r="D24" s="35" t="s">
        <v>2495</v>
      </c>
      <c r="E24" s="32"/>
      <c r="F24" s="33" t="s">
        <v>160</v>
      </c>
      <c r="G24" s="33" t="s">
        <v>159</v>
      </c>
      <c r="H24" s="33" t="s">
        <v>160</v>
      </c>
      <c r="I24" s="33" t="s">
        <v>160</v>
      </c>
      <c r="J24" s="33" t="s">
        <v>160</v>
      </c>
      <c r="K24" s="33" t="s">
        <v>159</v>
      </c>
      <c r="L24" s="33" t="s">
        <v>159</v>
      </c>
      <c r="M24" s="33" t="s">
        <v>160</v>
      </c>
      <c r="N24" s="33" t="s">
        <v>160</v>
      </c>
      <c r="O24" s="33" t="s">
        <v>159</v>
      </c>
      <c r="P24" s="33" t="s">
        <v>160</v>
      </c>
      <c r="Q24" s="33">
        <v>0</v>
      </c>
      <c r="R24" s="33" t="s">
        <v>160</v>
      </c>
      <c r="S24" s="35" t="s">
        <v>164</v>
      </c>
      <c r="T24" s="35" t="s">
        <v>198</v>
      </c>
      <c r="U24" s="35" t="s">
        <v>164</v>
      </c>
      <c r="V24" s="35" t="s">
        <v>163</v>
      </c>
      <c r="W24" s="34" t="s">
        <v>164</v>
      </c>
      <c r="X24" s="35" t="s">
        <v>179</v>
      </c>
      <c r="Y24" s="35" t="s">
        <v>179</v>
      </c>
      <c r="Z24" s="35">
        <v>2001</v>
      </c>
      <c r="AA24" s="35" t="s">
        <v>160</v>
      </c>
      <c r="AB24" s="35" t="s">
        <v>159</v>
      </c>
      <c r="AC24" s="35" t="s">
        <v>180</v>
      </c>
      <c r="AD24" s="35" t="s">
        <v>159</v>
      </c>
      <c r="AE24" s="35" t="s">
        <v>159</v>
      </c>
      <c r="AF24" s="35" t="s">
        <v>159</v>
      </c>
      <c r="AG24" s="35" t="s">
        <v>159</v>
      </c>
      <c r="AH24" s="35" t="s">
        <v>159</v>
      </c>
      <c r="AI24" s="35" t="s">
        <v>159</v>
      </c>
      <c r="AJ24" s="35" t="s">
        <v>159</v>
      </c>
      <c r="AK24" s="35" t="s">
        <v>167</v>
      </c>
      <c r="AL24" s="35" t="s">
        <v>160</v>
      </c>
      <c r="AM24" s="35" t="s">
        <v>2328</v>
      </c>
      <c r="AN24" s="35" t="s">
        <v>159</v>
      </c>
    </row>
    <row r="25" spans="1:40" ht="15" x14ac:dyDescent="0.2">
      <c r="A25" s="39" t="s">
        <v>174</v>
      </c>
      <c r="B25" s="39" t="s">
        <v>226</v>
      </c>
      <c r="C25" s="39" t="s">
        <v>263</v>
      </c>
      <c r="D25" s="39" t="s">
        <v>340</v>
      </c>
      <c r="E25" s="32" t="s">
        <v>160</v>
      </c>
      <c r="F25" s="33" t="s">
        <v>160</v>
      </c>
      <c r="G25" s="33" t="s">
        <v>159</v>
      </c>
      <c r="H25" s="33" t="s">
        <v>160</v>
      </c>
      <c r="I25" s="33" t="s">
        <v>160</v>
      </c>
      <c r="J25" s="33" t="s">
        <v>159</v>
      </c>
      <c r="K25" s="33" t="s">
        <v>160</v>
      </c>
      <c r="L25" s="33" t="s">
        <v>160</v>
      </c>
      <c r="M25" s="33" t="s">
        <v>159</v>
      </c>
      <c r="N25" s="33" t="s">
        <v>159</v>
      </c>
      <c r="O25" s="33" t="s">
        <v>160</v>
      </c>
      <c r="P25" s="33" t="s">
        <v>160</v>
      </c>
      <c r="Q25" s="33">
        <v>3</v>
      </c>
      <c r="R25" s="33" t="s">
        <v>160</v>
      </c>
      <c r="S25" s="39" t="s">
        <v>164</v>
      </c>
      <c r="T25" s="39" t="s">
        <v>162</v>
      </c>
      <c r="U25" s="39" t="s">
        <v>192</v>
      </c>
      <c r="V25" s="39" t="s">
        <v>164</v>
      </c>
      <c r="W25" s="34" t="s">
        <v>192</v>
      </c>
      <c r="X25" s="39" t="s">
        <v>179</v>
      </c>
      <c r="Y25" s="39" t="s">
        <v>179</v>
      </c>
      <c r="Z25" s="39">
        <v>2002</v>
      </c>
      <c r="AA25" s="39" t="s">
        <v>160</v>
      </c>
      <c r="AB25" s="39" t="s">
        <v>159</v>
      </c>
      <c r="AC25" s="39" t="s">
        <v>180</v>
      </c>
      <c r="AD25" s="39" t="s">
        <v>159</v>
      </c>
      <c r="AE25" s="39" t="s">
        <v>159</v>
      </c>
      <c r="AF25" s="39" t="s">
        <v>159</v>
      </c>
      <c r="AG25" s="39" t="s">
        <v>159</v>
      </c>
      <c r="AH25" s="39" t="s">
        <v>159</v>
      </c>
      <c r="AI25" s="39" t="s">
        <v>159</v>
      </c>
      <c r="AJ25" s="39" t="s">
        <v>159</v>
      </c>
      <c r="AK25" s="39" t="s">
        <v>167</v>
      </c>
      <c r="AL25" s="39" t="s">
        <v>159</v>
      </c>
      <c r="AM25" s="39" t="s">
        <v>2332</v>
      </c>
      <c r="AN25" s="39" t="s">
        <v>159</v>
      </c>
    </row>
    <row r="26" spans="1:40" ht="15" x14ac:dyDescent="0.2">
      <c r="A26" s="35" t="s">
        <v>174</v>
      </c>
      <c r="B26" s="35" t="s">
        <v>274</v>
      </c>
      <c r="C26" s="35" t="s">
        <v>157</v>
      </c>
      <c r="D26" s="35" t="s">
        <v>2557</v>
      </c>
      <c r="E26" s="32" t="s">
        <v>160</v>
      </c>
      <c r="F26" s="33" t="s">
        <v>160</v>
      </c>
      <c r="G26" s="33" t="s">
        <v>159</v>
      </c>
      <c r="H26" s="33" t="s">
        <v>159</v>
      </c>
      <c r="I26" s="33" t="s">
        <v>159</v>
      </c>
      <c r="J26" s="33" t="s">
        <v>159</v>
      </c>
      <c r="K26" s="33" t="s">
        <v>159</v>
      </c>
      <c r="L26" s="33" t="s">
        <v>159</v>
      </c>
      <c r="M26" s="33" t="s">
        <v>160</v>
      </c>
      <c r="N26" s="33" t="s">
        <v>160</v>
      </c>
      <c r="O26" s="33" t="s">
        <v>159</v>
      </c>
      <c r="P26" s="33" t="s">
        <v>159</v>
      </c>
      <c r="Q26" s="33" t="s">
        <v>2558</v>
      </c>
      <c r="R26" s="33" t="s">
        <v>160</v>
      </c>
      <c r="S26" s="35" t="s">
        <v>192</v>
      </c>
      <c r="T26" s="35" t="s">
        <v>163</v>
      </c>
      <c r="U26" s="35" t="s">
        <v>163</v>
      </c>
      <c r="V26" s="35" t="s">
        <v>192</v>
      </c>
      <c r="W26" s="34" t="s">
        <v>163</v>
      </c>
      <c r="X26" s="35" t="s">
        <v>179</v>
      </c>
      <c r="Y26" s="35" t="s">
        <v>179</v>
      </c>
      <c r="Z26" s="35">
        <v>2000</v>
      </c>
      <c r="AA26" s="35" t="s">
        <v>160</v>
      </c>
      <c r="AB26" s="35" t="s">
        <v>159</v>
      </c>
      <c r="AC26" s="35" t="s">
        <v>180</v>
      </c>
      <c r="AD26" s="35" t="s">
        <v>159</v>
      </c>
      <c r="AE26" s="35" t="s">
        <v>159</v>
      </c>
      <c r="AF26" s="35" t="s">
        <v>159</v>
      </c>
      <c r="AG26" s="35" t="s">
        <v>159</v>
      </c>
      <c r="AH26" s="35" t="s">
        <v>159</v>
      </c>
      <c r="AI26" s="35" t="s">
        <v>159</v>
      </c>
      <c r="AJ26" s="35" t="s">
        <v>159</v>
      </c>
      <c r="AK26" s="35" t="s">
        <v>181</v>
      </c>
      <c r="AL26" s="35" t="s">
        <v>159</v>
      </c>
      <c r="AM26" s="35" t="s">
        <v>193</v>
      </c>
      <c r="AN26" s="40" t="s">
        <v>160</v>
      </c>
    </row>
    <row r="27" spans="1:40" ht="15" x14ac:dyDescent="0.2">
      <c r="A27" s="35" t="s">
        <v>174</v>
      </c>
      <c r="B27" s="35" t="s">
        <v>274</v>
      </c>
      <c r="C27" s="35" t="s">
        <v>263</v>
      </c>
      <c r="D27" s="35" t="s">
        <v>2595</v>
      </c>
      <c r="E27" s="32" t="s">
        <v>160</v>
      </c>
      <c r="F27" s="33" t="s">
        <v>159</v>
      </c>
      <c r="G27" s="33" t="s">
        <v>160</v>
      </c>
      <c r="H27" s="33" t="s">
        <v>159</v>
      </c>
      <c r="I27" s="33" t="s">
        <v>159</v>
      </c>
      <c r="J27" s="33" t="s">
        <v>160</v>
      </c>
      <c r="K27" s="33" t="s">
        <v>159</v>
      </c>
      <c r="L27" s="33" t="s">
        <v>160</v>
      </c>
      <c r="M27" s="33" t="s">
        <v>159</v>
      </c>
      <c r="N27" s="33" t="s">
        <v>159</v>
      </c>
      <c r="O27" s="33" t="s">
        <v>159</v>
      </c>
      <c r="P27" s="33" t="s">
        <v>160</v>
      </c>
      <c r="Q27" s="33">
        <v>1</v>
      </c>
      <c r="R27" s="33" t="s">
        <v>160</v>
      </c>
      <c r="S27" s="35" t="s">
        <v>192</v>
      </c>
      <c r="T27" s="35" t="s">
        <v>162</v>
      </c>
      <c r="U27" s="35" t="s">
        <v>164</v>
      </c>
      <c r="V27" s="35" t="s">
        <v>164</v>
      </c>
      <c r="W27" s="34" t="s">
        <v>192</v>
      </c>
      <c r="X27" s="35" t="s">
        <v>179</v>
      </c>
      <c r="Y27" s="35" t="s">
        <v>179</v>
      </c>
      <c r="Z27" s="35">
        <v>2002</v>
      </c>
      <c r="AA27" s="35" t="s">
        <v>160</v>
      </c>
      <c r="AB27" s="35" t="s">
        <v>159</v>
      </c>
      <c r="AC27" s="35" t="s">
        <v>180</v>
      </c>
      <c r="AD27" s="35" t="s">
        <v>159</v>
      </c>
      <c r="AE27" s="35" t="s">
        <v>159</v>
      </c>
      <c r="AF27" s="35" t="s">
        <v>159</v>
      </c>
      <c r="AG27" s="35" t="s">
        <v>159</v>
      </c>
      <c r="AH27" s="35" t="s">
        <v>159</v>
      </c>
      <c r="AI27" s="35" t="s">
        <v>159</v>
      </c>
      <c r="AJ27" s="35" t="s">
        <v>159</v>
      </c>
      <c r="AK27" s="35" t="s">
        <v>167</v>
      </c>
      <c r="AL27" s="35" t="s">
        <v>160</v>
      </c>
      <c r="AM27" s="35" t="s">
        <v>182</v>
      </c>
      <c r="AN27" s="35" t="s">
        <v>159</v>
      </c>
    </row>
    <row r="28" spans="1:40" ht="15" x14ac:dyDescent="0.2">
      <c r="A28" s="35" t="s">
        <v>174</v>
      </c>
      <c r="B28" s="35" t="s">
        <v>274</v>
      </c>
      <c r="C28" s="35" t="s">
        <v>176</v>
      </c>
      <c r="D28" s="35" t="s">
        <v>2639</v>
      </c>
      <c r="E28" s="32" t="s">
        <v>160</v>
      </c>
      <c r="F28" s="33" t="s">
        <v>160</v>
      </c>
      <c r="G28" s="33" t="s">
        <v>159</v>
      </c>
      <c r="H28" s="33" t="s">
        <v>160</v>
      </c>
      <c r="I28" s="33" t="s">
        <v>159</v>
      </c>
      <c r="J28" s="33" t="s">
        <v>160</v>
      </c>
      <c r="K28" s="33" t="s">
        <v>159</v>
      </c>
      <c r="L28" s="33" t="s">
        <v>159</v>
      </c>
      <c r="M28" s="33" t="s">
        <v>159</v>
      </c>
      <c r="N28" s="33" t="s">
        <v>160</v>
      </c>
      <c r="O28" s="33" t="s">
        <v>160</v>
      </c>
      <c r="P28" s="33" t="s">
        <v>159</v>
      </c>
      <c r="Q28" s="33">
        <v>1</v>
      </c>
      <c r="R28" s="33" t="s">
        <v>160</v>
      </c>
      <c r="S28" s="35" t="s">
        <v>164</v>
      </c>
      <c r="T28" s="35" t="s">
        <v>162</v>
      </c>
      <c r="U28" s="35" t="s">
        <v>164</v>
      </c>
      <c r="V28" s="35" t="s">
        <v>192</v>
      </c>
      <c r="W28" s="34" t="s">
        <v>164</v>
      </c>
      <c r="X28" s="35" t="s">
        <v>179</v>
      </c>
      <c r="Y28" s="35" t="s">
        <v>179</v>
      </c>
      <c r="Z28" s="35">
        <v>2002</v>
      </c>
      <c r="AA28" s="35" t="s">
        <v>160</v>
      </c>
      <c r="AB28" s="35" t="s">
        <v>159</v>
      </c>
      <c r="AC28" s="35" t="s">
        <v>180</v>
      </c>
      <c r="AD28" s="35" t="s">
        <v>159</v>
      </c>
      <c r="AE28" s="35" t="s">
        <v>159</v>
      </c>
      <c r="AF28" s="35" t="s">
        <v>159</v>
      </c>
      <c r="AG28" s="35" t="s">
        <v>159</v>
      </c>
      <c r="AH28" s="35" t="s">
        <v>159</v>
      </c>
      <c r="AI28" s="35" t="s">
        <v>159</v>
      </c>
      <c r="AJ28" s="35" t="s">
        <v>159</v>
      </c>
      <c r="AK28" s="35" t="s">
        <v>167</v>
      </c>
      <c r="AL28" s="35" t="s">
        <v>160</v>
      </c>
      <c r="AM28" s="35" t="s">
        <v>2328</v>
      </c>
      <c r="AN28" s="35" t="s">
        <v>159</v>
      </c>
    </row>
    <row r="29" spans="1:40" ht="15" x14ac:dyDescent="0.2">
      <c r="A29" s="35" t="s">
        <v>174</v>
      </c>
      <c r="B29" s="35" t="s">
        <v>274</v>
      </c>
      <c r="C29" s="35" t="s">
        <v>237</v>
      </c>
      <c r="D29" s="35" t="s">
        <v>2646</v>
      </c>
      <c r="E29" s="32"/>
      <c r="F29" s="33" t="s">
        <v>160</v>
      </c>
      <c r="G29" s="33" t="s">
        <v>160</v>
      </c>
      <c r="H29" s="33" t="s">
        <v>159</v>
      </c>
      <c r="I29" s="33" t="s">
        <v>160</v>
      </c>
      <c r="J29" s="33" t="s">
        <v>159</v>
      </c>
      <c r="K29" s="33" t="s">
        <v>159</v>
      </c>
      <c r="L29" s="33" t="s">
        <v>160</v>
      </c>
      <c r="M29" s="33" t="s">
        <v>160</v>
      </c>
      <c r="N29" s="33" t="s">
        <v>160</v>
      </c>
      <c r="O29" s="33" t="s">
        <v>159</v>
      </c>
      <c r="P29" s="33" t="s">
        <v>160</v>
      </c>
      <c r="Q29" s="33">
        <v>2</v>
      </c>
      <c r="R29" s="33" t="s">
        <v>160</v>
      </c>
      <c r="S29" s="35" t="s">
        <v>164</v>
      </c>
      <c r="T29" s="35" t="s">
        <v>162</v>
      </c>
      <c r="U29" s="35" t="s">
        <v>164</v>
      </c>
      <c r="V29" s="35" t="s">
        <v>192</v>
      </c>
      <c r="W29" s="34" t="s">
        <v>162</v>
      </c>
      <c r="X29" s="35" t="s">
        <v>179</v>
      </c>
      <c r="Y29" s="35" t="s">
        <v>179</v>
      </c>
      <c r="Z29" s="35">
        <v>2002</v>
      </c>
      <c r="AA29" s="35" t="s">
        <v>160</v>
      </c>
      <c r="AB29" s="35" t="s">
        <v>159</v>
      </c>
      <c r="AC29" s="35" t="s">
        <v>180</v>
      </c>
      <c r="AD29" s="35" t="s">
        <v>159</v>
      </c>
      <c r="AE29" s="35" t="s">
        <v>159</v>
      </c>
      <c r="AF29" s="35" t="s">
        <v>159</v>
      </c>
      <c r="AG29" s="35" t="s">
        <v>159</v>
      </c>
      <c r="AH29" s="35" t="s">
        <v>159</v>
      </c>
      <c r="AI29" s="35" t="s">
        <v>159</v>
      </c>
      <c r="AJ29" s="35" t="s">
        <v>159</v>
      </c>
      <c r="AK29" s="35" t="s">
        <v>167</v>
      </c>
      <c r="AL29" s="35" t="s">
        <v>159</v>
      </c>
      <c r="AM29" s="35" t="s">
        <v>182</v>
      </c>
      <c r="AN29" s="35" t="s">
        <v>159</v>
      </c>
    </row>
    <row r="30" spans="1:40" ht="15" x14ac:dyDescent="0.2">
      <c r="A30" s="39" t="s">
        <v>174</v>
      </c>
      <c r="B30" s="39" t="s">
        <v>274</v>
      </c>
      <c r="C30" s="39" t="s">
        <v>157</v>
      </c>
      <c r="D30" s="39" t="s">
        <v>2650</v>
      </c>
      <c r="E30" s="32" t="s">
        <v>160</v>
      </c>
      <c r="F30" s="33" t="s">
        <v>160</v>
      </c>
      <c r="G30" s="33" t="s">
        <v>159</v>
      </c>
      <c r="H30" s="33" t="s">
        <v>160</v>
      </c>
      <c r="I30" s="33" t="s">
        <v>159</v>
      </c>
      <c r="J30" s="33" t="s">
        <v>159</v>
      </c>
      <c r="K30" s="33" t="s">
        <v>160</v>
      </c>
      <c r="L30" s="33" t="s">
        <v>160</v>
      </c>
      <c r="M30" s="33" t="s">
        <v>160</v>
      </c>
      <c r="N30" s="33" t="s">
        <v>159</v>
      </c>
      <c r="O30" s="33" t="s">
        <v>159</v>
      </c>
      <c r="P30" s="33" t="s">
        <v>159</v>
      </c>
      <c r="Q30" s="33">
        <v>2</v>
      </c>
      <c r="R30" s="33" t="s">
        <v>160</v>
      </c>
      <c r="S30" s="39" t="s">
        <v>198</v>
      </c>
      <c r="T30" s="39" t="s">
        <v>162</v>
      </c>
      <c r="U30" s="39" t="s">
        <v>164</v>
      </c>
      <c r="V30" s="39" t="s">
        <v>163</v>
      </c>
      <c r="W30" s="34" t="s">
        <v>164</v>
      </c>
      <c r="X30" s="39" t="s">
        <v>179</v>
      </c>
      <c r="Y30" s="39" t="s">
        <v>179</v>
      </c>
      <c r="Z30" s="39"/>
      <c r="AA30" s="39" t="s">
        <v>160</v>
      </c>
      <c r="AB30" s="39" t="s">
        <v>159</v>
      </c>
      <c r="AC30" s="39" t="s">
        <v>180</v>
      </c>
      <c r="AD30" s="39" t="s">
        <v>159</v>
      </c>
      <c r="AE30" s="39" t="s">
        <v>159</v>
      </c>
      <c r="AF30" s="39" t="s">
        <v>159</v>
      </c>
      <c r="AG30" s="39" t="s">
        <v>159</v>
      </c>
      <c r="AH30" s="39" t="s">
        <v>159</v>
      </c>
      <c r="AI30" s="39" t="s">
        <v>159</v>
      </c>
      <c r="AJ30" s="39" t="s">
        <v>159</v>
      </c>
      <c r="AK30" s="39" t="s">
        <v>167</v>
      </c>
      <c r="AL30" s="39" t="s">
        <v>159</v>
      </c>
      <c r="AM30" s="39" t="s">
        <v>2332</v>
      </c>
      <c r="AN30" s="39" t="s">
        <v>159</v>
      </c>
    </row>
    <row r="31" spans="1:40" ht="15" x14ac:dyDescent="0.2">
      <c r="A31" s="35" t="s">
        <v>174</v>
      </c>
      <c r="B31" s="35" t="s">
        <v>310</v>
      </c>
      <c r="C31" s="35" t="s">
        <v>2254</v>
      </c>
      <c r="D31" s="35" t="s">
        <v>2580</v>
      </c>
      <c r="E31" s="32" t="s">
        <v>160</v>
      </c>
      <c r="F31" s="33" t="s">
        <v>160</v>
      </c>
      <c r="G31" s="33" t="s">
        <v>159</v>
      </c>
      <c r="H31" s="33" t="s">
        <v>159</v>
      </c>
      <c r="I31" s="33" t="s">
        <v>160</v>
      </c>
      <c r="J31" s="33" t="s">
        <v>159</v>
      </c>
      <c r="K31" s="33" t="s">
        <v>159</v>
      </c>
      <c r="L31" s="33" t="s">
        <v>159</v>
      </c>
      <c r="M31" s="33" t="s">
        <v>159</v>
      </c>
      <c r="N31" s="33" t="s">
        <v>160</v>
      </c>
      <c r="O31" s="33" t="s">
        <v>160</v>
      </c>
      <c r="P31" s="33" t="s">
        <v>160</v>
      </c>
      <c r="Q31" s="33">
        <v>2</v>
      </c>
      <c r="R31" s="33" t="s">
        <v>160</v>
      </c>
      <c r="S31" s="35" t="s">
        <v>163</v>
      </c>
      <c r="T31" s="35" t="s">
        <v>163</v>
      </c>
      <c r="U31" s="35" t="s">
        <v>163</v>
      </c>
      <c r="V31" s="35" t="s">
        <v>163</v>
      </c>
      <c r="W31" s="34" t="s">
        <v>163</v>
      </c>
      <c r="X31" s="35" t="s">
        <v>165</v>
      </c>
      <c r="Y31" s="35" t="s">
        <v>165</v>
      </c>
      <c r="Z31" s="35">
        <v>2000</v>
      </c>
      <c r="AA31" s="35" t="s">
        <v>160</v>
      </c>
      <c r="AB31" s="35" t="s">
        <v>159</v>
      </c>
      <c r="AC31" s="35" t="s">
        <v>322</v>
      </c>
      <c r="AD31" s="35" t="s">
        <v>159</v>
      </c>
      <c r="AE31" s="35" t="s">
        <v>159</v>
      </c>
      <c r="AF31" s="35" t="s">
        <v>159</v>
      </c>
      <c r="AG31" s="35" t="s">
        <v>159</v>
      </c>
      <c r="AH31" s="35" t="s">
        <v>159</v>
      </c>
      <c r="AI31" s="35" t="s">
        <v>159</v>
      </c>
      <c r="AJ31" s="35" t="s">
        <v>159</v>
      </c>
      <c r="AK31" s="35" t="s">
        <v>167</v>
      </c>
      <c r="AL31" s="35" t="s">
        <v>160</v>
      </c>
      <c r="AM31" s="35" t="s">
        <v>193</v>
      </c>
      <c r="AN31" s="40" t="s">
        <v>160</v>
      </c>
    </row>
    <row r="32" spans="1:40" x14ac:dyDescent="0.15">
      <c r="A32">
        <f t="shared" ref="A32:H32" si="0">SUM(A1:A31)</f>
        <v>1</v>
      </c>
      <c r="B32">
        <f t="shared" si="0"/>
        <v>2</v>
      </c>
      <c r="C32">
        <f t="shared" si="0"/>
        <v>3</v>
      </c>
      <c r="D32">
        <f t="shared" si="0"/>
        <v>4</v>
      </c>
      <c r="E32">
        <f t="shared" si="0"/>
        <v>5</v>
      </c>
      <c r="F32">
        <f t="shared" si="0"/>
        <v>6</v>
      </c>
      <c r="G32">
        <f t="shared" si="0"/>
        <v>7</v>
      </c>
      <c r="H32">
        <f t="shared" si="0"/>
        <v>8</v>
      </c>
      <c r="P32">
        <f>SUM(P1:P31)</f>
        <v>10</v>
      </c>
      <c r="Q32">
        <f>SUM(Q1:Q31)</f>
        <v>42</v>
      </c>
      <c r="R32">
        <f>SUM(R1:R31)</f>
        <v>12</v>
      </c>
      <c r="X32">
        <f t="shared" ref="X32:AC32" si="1">SUM(X1:X31)</f>
        <v>15</v>
      </c>
      <c r="Y32">
        <f t="shared" si="1"/>
        <v>16</v>
      </c>
      <c r="Z32">
        <f t="shared" si="1"/>
        <v>85772</v>
      </c>
      <c r="AA32">
        <f t="shared" si="1"/>
        <v>18</v>
      </c>
      <c r="AB32">
        <f t="shared" si="1"/>
        <v>19</v>
      </c>
      <c r="AC32">
        <f t="shared" si="1"/>
        <v>20</v>
      </c>
      <c r="AK32">
        <f>SUM(AK1:AK31)</f>
        <v>22</v>
      </c>
      <c r="AL32">
        <f>SUM(AL1:AL31)</f>
        <v>23</v>
      </c>
      <c r="AM32">
        <f>SUM(AM1:AM31)</f>
        <v>24</v>
      </c>
      <c r="AN32">
        <f>SUM(AN1:AN31)</f>
        <v>26</v>
      </c>
    </row>
  </sheetData>
  <autoFilter ref="A2:AY32" xr:uid="{0FBC251A-4A0F-C743-8D90-2A7341DDEE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Answers</vt:lpstr>
      <vt:lpstr>Community Colleges</vt:lpstr>
      <vt:lpstr>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Shaw</dc:creator>
  <cp:lastModifiedBy>Yaswanth Gollapudi</cp:lastModifiedBy>
  <dcterms:created xsi:type="dcterms:W3CDTF">2021-04-05T15:26:40Z</dcterms:created>
  <dcterms:modified xsi:type="dcterms:W3CDTF">2025-06-05T09:52:52Z</dcterms:modified>
</cp:coreProperties>
</file>